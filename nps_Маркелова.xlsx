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Настасья\Desktop\"/>
    </mc:Choice>
  </mc:AlternateContent>
  <xr:revisionPtr revIDLastSave="0" documentId="8_{E9018DA7-054B-416C-AF5E-2172BF709885}" xr6:coauthVersionLast="47" xr6:coauthVersionMax="47" xr10:uidLastSave="{00000000-0000-0000-0000-000000000000}"/>
  <bookViews>
    <workbookView xWindow="-120" yWindow="-120" windowWidth="29040" windowHeight="15720" activeTab="8" xr2:uid="{00000000-000D-0000-FFFF-FFFF00000000}"/>
  </bookViews>
  <sheets>
    <sheet name="Данные" sheetId="1" r:id="rId1"/>
    <sheet name="1" sheetId="3" r:id="rId2"/>
    <sheet name="1-1" sheetId="4" r:id="rId3"/>
    <sheet name="2" sheetId="5" r:id="rId4"/>
    <sheet name="3-данные" sheetId="7" r:id="rId5"/>
    <sheet name="3" sheetId="6" r:id="rId6"/>
    <sheet name="3-2" sheetId="8" r:id="rId7"/>
    <sheet name="3-3" sheetId="9" r:id="rId8"/>
    <sheet name="результат" sheetId="2" r:id="rId9"/>
  </sheets>
  <definedNames>
    <definedName name="_xlnm._FilterDatabase" localSheetId="1" hidden="1">'1'!$K$1:$M$1001</definedName>
    <definedName name="_xlnm._FilterDatabase" localSheetId="3" hidden="1">'2'!$A$1:$D$198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9" l="1"/>
  <c r="C3" i="9"/>
  <c r="D3" i="9"/>
  <c r="E3" i="9"/>
  <c r="F3" i="9"/>
  <c r="G3" i="9"/>
  <c r="H3" i="9"/>
  <c r="I3" i="9"/>
  <c r="J3" i="9"/>
  <c r="K3" i="9"/>
  <c r="L3" i="9"/>
  <c r="M3" i="9"/>
  <c r="N3" i="9"/>
  <c r="B4" i="9"/>
  <c r="C4" i="9"/>
  <c r="D4" i="9"/>
  <c r="E4" i="9"/>
  <c r="F4" i="9"/>
  <c r="G4" i="9"/>
  <c r="H4" i="9"/>
  <c r="I4" i="9"/>
  <c r="J4" i="9"/>
  <c r="K4" i="9"/>
  <c r="L4" i="9"/>
  <c r="M4" i="9"/>
  <c r="N4" i="9"/>
  <c r="B5" i="9"/>
  <c r="C5" i="9"/>
  <c r="D5" i="9"/>
  <c r="E5" i="9"/>
  <c r="F5" i="9"/>
  <c r="G5" i="9"/>
  <c r="H5" i="9"/>
  <c r="I5" i="9"/>
  <c r="J5" i="9"/>
  <c r="K5" i="9"/>
  <c r="L5" i="9"/>
  <c r="M5" i="9"/>
  <c r="N5" i="9"/>
  <c r="B6" i="9"/>
  <c r="C6" i="9"/>
  <c r="D6" i="9"/>
  <c r="E6" i="9"/>
  <c r="F6" i="9"/>
  <c r="G6" i="9"/>
  <c r="H6" i="9"/>
  <c r="I6" i="9"/>
  <c r="J6" i="9"/>
  <c r="K6" i="9"/>
  <c r="L6" i="9"/>
  <c r="M6" i="9"/>
  <c r="N6" i="9"/>
  <c r="B7" i="9"/>
  <c r="C7" i="9"/>
  <c r="D7" i="9"/>
  <c r="E7" i="9"/>
  <c r="F7" i="9"/>
  <c r="G7" i="9"/>
  <c r="H7" i="9"/>
  <c r="I7" i="9"/>
  <c r="J7" i="9"/>
  <c r="K7" i="9"/>
  <c r="L7" i="9"/>
  <c r="M7" i="9"/>
  <c r="N7" i="9"/>
  <c r="B8" i="9"/>
  <c r="C8" i="9"/>
  <c r="D8" i="9"/>
  <c r="E8" i="9"/>
  <c r="F8" i="9"/>
  <c r="G8" i="9"/>
  <c r="H8" i="9"/>
  <c r="I8" i="9"/>
  <c r="J8" i="9"/>
  <c r="K8" i="9"/>
  <c r="L8" i="9"/>
  <c r="M8" i="9"/>
  <c r="N8" i="9"/>
  <c r="B9" i="9"/>
  <c r="C9" i="9"/>
  <c r="D9" i="9"/>
  <c r="E9" i="9"/>
  <c r="F9" i="9"/>
  <c r="G9" i="9"/>
  <c r="H9" i="9"/>
  <c r="I9" i="9"/>
  <c r="J9" i="9"/>
  <c r="K9" i="9"/>
  <c r="L9" i="9"/>
  <c r="M9" i="9"/>
  <c r="N9" i="9"/>
  <c r="B10" i="9"/>
  <c r="C10" i="9"/>
  <c r="D10" i="9"/>
  <c r="E10" i="9"/>
  <c r="F10" i="9"/>
  <c r="G10" i="9"/>
  <c r="H10" i="9"/>
  <c r="I10" i="9"/>
  <c r="J10" i="9"/>
  <c r="K10" i="9"/>
  <c r="L10" i="9"/>
  <c r="M10" i="9"/>
  <c r="N10" i="9"/>
  <c r="B11" i="9"/>
  <c r="C11" i="9"/>
  <c r="D11" i="9"/>
  <c r="E11" i="9"/>
  <c r="F11" i="9"/>
  <c r="G11" i="9"/>
  <c r="H11" i="9"/>
  <c r="I11" i="9"/>
  <c r="J11" i="9"/>
  <c r="K11" i="9"/>
  <c r="L11" i="9"/>
  <c r="M11" i="9"/>
  <c r="N11" i="9"/>
  <c r="B12" i="9"/>
  <c r="C12" i="9"/>
  <c r="D12" i="9"/>
  <c r="E12" i="9"/>
  <c r="F12" i="9"/>
  <c r="G12" i="9"/>
  <c r="H12" i="9"/>
  <c r="I12" i="9"/>
  <c r="J12" i="9"/>
  <c r="K12" i="9"/>
  <c r="L12" i="9"/>
  <c r="M12" i="9"/>
  <c r="N12" i="9"/>
  <c r="B13" i="9"/>
  <c r="C13" i="9"/>
  <c r="D13" i="9"/>
  <c r="E13" i="9"/>
  <c r="F13" i="9"/>
  <c r="G13" i="9"/>
  <c r="H13" i="9"/>
  <c r="I13" i="9"/>
  <c r="J13" i="9"/>
  <c r="K13" i="9"/>
  <c r="L13" i="9"/>
  <c r="M13" i="9"/>
  <c r="N13" i="9"/>
  <c r="C2" i="9"/>
  <c r="D2" i="9"/>
  <c r="E2" i="9"/>
  <c r="F2" i="9"/>
  <c r="G2" i="9"/>
  <c r="H2" i="9"/>
  <c r="I2" i="9"/>
  <c r="J2" i="9"/>
  <c r="K2" i="9"/>
  <c r="L2" i="9"/>
  <c r="M2" i="9"/>
  <c r="N2" i="9"/>
  <c r="B2" i="9"/>
  <c r="B3" i="8"/>
  <c r="C3" i="8"/>
  <c r="D3" i="8"/>
  <c r="E3" i="8"/>
  <c r="F3" i="8"/>
  <c r="G3" i="8"/>
  <c r="H3" i="8"/>
  <c r="I3" i="8"/>
  <c r="J3" i="8"/>
  <c r="K3" i="8"/>
  <c r="L3" i="8"/>
  <c r="M3" i="8"/>
  <c r="N3" i="8"/>
  <c r="B4" i="8"/>
  <c r="C4" i="8"/>
  <c r="D4" i="8"/>
  <c r="E4" i="8"/>
  <c r="F4" i="8"/>
  <c r="G4" i="8"/>
  <c r="H4" i="8"/>
  <c r="I4" i="8"/>
  <c r="J4" i="8"/>
  <c r="K4" i="8"/>
  <c r="L4" i="8"/>
  <c r="M4" i="8"/>
  <c r="N4" i="8"/>
  <c r="B5" i="8"/>
  <c r="C5" i="8"/>
  <c r="D5" i="8"/>
  <c r="E5" i="8"/>
  <c r="F5" i="8"/>
  <c r="G5" i="8"/>
  <c r="H5" i="8"/>
  <c r="I5" i="8"/>
  <c r="J5" i="8"/>
  <c r="K5" i="8"/>
  <c r="L5" i="8"/>
  <c r="M5" i="8"/>
  <c r="N5" i="8"/>
  <c r="B6" i="8"/>
  <c r="C6" i="8"/>
  <c r="D6" i="8"/>
  <c r="E6" i="8"/>
  <c r="F6" i="8"/>
  <c r="G6" i="8"/>
  <c r="H6" i="8"/>
  <c r="I6" i="8"/>
  <c r="J6" i="8"/>
  <c r="K6" i="8"/>
  <c r="L6" i="8"/>
  <c r="M6" i="8"/>
  <c r="N6" i="8"/>
  <c r="B7" i="8"/>
  <c r="C7" i="8"/>
  <c r="D7" i="8"/>
  <c r="E7" i="8"/>
  <c r="F7" i="8"/>
  <c r="G7" i="8"/>
  <c r="H7" i="8"/>
  <c r="I7" i="8"/>
  <c r="J7" i="8"/>
  <c r="K7" i="8"/>
  <c r="L7" i="8"/>
  <c r="M7" i="8"/>
  <c r="N7" i="8"/>
  <c r="B8" i="8"/>
  <c r="C8" i="8"/>
  <c r="D8" i="8"/>
  <c r="E8" i="8"/>
  <c r="F8" i="8"/>
  <c r="G8" i="8"/>
  <c r="H8" i="8"/>
  <c r="I8" i="8"/>
  <c r="J8" i="8"/>
  <c r="K8" i="8"/>
  <c r="L8" i="8"/>
  <c r="M8" i="8"/>
  <c r="N8" i="8"/>
  <c r="B9" i="8"/>
  <c r="C9" i="8"/>
  <c r="D9" i="8"/>
  <c r="E9" i="8"/>
  <c r="F9" i="8"/>
  <c r="G9" i="8"/>
  <c r="H9" i="8"/>
  <c r="I9" i="8"/>
  <c r="J9" i="8"/>
  <c r="K9" i="8"/>
  <c r="L9" i="8"/>
  <c r="M9" i="8"/>
  <c r="N9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C2" i="8"/>
  <c r="D2" i="8"/>
  <c r="E2" i="8"/>
  <c r="F2" i="8"/>
  <c r="G2" i="8"/>
  <c r="H2" i="8"/>
  <c r="I2" i="8"/>
  <c r="J2" i="8"/>
  <c r="K2" i="8"/>
  <c r="L2" i="8"/>
  <c r="M2" i="8"/>
  <c r="N2" i="8"/>
  <c r="B2" i="8"/>
  <c r="B3" i="6"/>
  <c r="C3" i="6"/>
  <c r="D3" i="6"/>
  <c r="E3" i="6"/>
  <c r="F3" i="6"/>
  <c r="G3" i="6"/>
  <c r="H3" i="6"/>
  <c r="I3" i="6"/>
  <c r="J3" i="6"/>
  <c r="K3" i="6"/>
  <c r="L3" i="6"/>
  <c r="M3" i="6"/>
  <c r="N3" i="6"/>
  <c r="B4" i="6"/>
  <c r="C4" i="6"/>
  <c r="D4" i="6"/>
  <c r="E4" i="6"/>
  <c r="F4" i="6"/>
  <c r="G4" i="6"/>
  <c r="H4" i="6"/>
  <c r="I4" i="6"/>
  <c r="J4" i="6"/>
  <c r="K4" i="6"/>
  <c r="L4" i="6"/>
  <c r="M4" i="6"/>
  <c r="N4" i="6"/>
  <c r="B5" i="6"/>
  <c r="C5" i="6"/>
  <c r="D5" i="6"/>
  <c r="E5" i="6"/>
  <c r="F5" i="6"/>
  <c r="G5" i="6"/>
  <c r="H5" i="6"/>
  <c r="I5" i="6"/>
  <c r="J5" i="6"/>
  <c r="K5" i="6"/>
  <c r="L5" i="6"/>
  <c r="M5" i="6"/>
  <c r="N5" i="6"/>
  <c r="B6" i="6"/>
  <c r="C6" i="6"/>
  <c r="D6" i="6"/>
  <c r="E6" i="6"/>
  <c r="F6" i="6"/>
  <c r="G6" i="6"/>
  <c r="H6" i="6"/>
  <c r="I6" i="6"/>
  <c r="J6" i="6"/>
  <c r="K6" i="6"/>
  <c r="L6" i="6"/>
  <c r="M6" i="6"/>
  <c r="N6" i="6"/>
  <c r="B7" i="6"/>
  <c r="C7" i="6"/>
  <c r="D7" i="6"/>
  <c r="E7" i="6"/>
  <c r="F7" i="6"/>
  <c r="G7" i="6"/>
  <c r="H7" i="6"/>
  <c r="I7" i="6"/>
  <c r="J7" i="6"/>
  <c r="K7" i="6"/>
  <c r="L7" i="6"/>
  <c r="M7" i="6"/>
  <c r="N7" i="6"/>
  <c r="B8" i="6"/>
  <c r="C8" i="6"/>
  <c r="D8" i="6"/>
  <c r="E8" i="6"/>
  <c r="F8" i="6"/>
  <c r="G8" i="6"/>
  <c r="H8" i="6"/>
  <c r="I8" i="6"/>
  <c r="J8" i="6"/>
  <c r="K8" i="6"/>
  <c r="L8" i="6"/>
  <c r="M8" i="6"/>
  <c r="N8" i="6"/>
  <c r="B9" i="6"/>
  <c r="C9" i="6"/>
  <c r="D9" i="6"/>
  <c r="E9" i="6"/>
  <c r="F9" i="6"/>
  <c r="G9" i="6"/>
  <c r="H9" i="6"/>
  <c r="I9" i="6"/>
  <c r="J9" i="6"/>
  <c r="K9" i="6"/>
  <c r="L9" i="6"/>
  <c r="M9" i="6"/>
  <c r="N9" i="6"/>
  <c r="B10" i="6"/>
  <c r="C10" i="6"/>
  <c r="D10" i="6"/>
  <c r="E10" i="6"/>
  <c r="F10" i="6"/>
  <c r="G10" i="6"/>
  <c r="H10" i="6"/>
  <c r="I10" i="6"/>
  <c r="J10" i="6"/>
  <c r="K10" i="6"/>
  <c r="L10" i="6"/>
  <c r="M10" i="6"/>
  <c r="N10" i="6"/>
  <c r="B11" i="6"/>
  <c r="C11" i="6"/>
  <c r="D11" i="6"/>
  <c r="E11" i="6"/>
  <c r="F11" i="6"/>
  <c r="G11" i="6"/>
  <c r="H11" i="6"/>
  <c r="I11" i="6"/>
  <c r="J11" i="6"/>
  <c r="K11" i="6"/>
  <c r="L11" i="6"/>
  <c r="M11" i="6"/>
  <c r="N11" i="6"/>
  <c r="B12" i="6"/>
  <c r="C12" i="6"/>
  <c r="D12" i="6"/>
  <c r="E12" i="6"/>
  <c r="F12" i="6"/>
  <c r="G12" i="6"/>
  <c r="H12" i="6"/>
  <c r="I12" i="6"/>
  <c r="J12" i="6"/>
  <c r="K12" i="6"/>
  <c r="L12" i="6"/>
  <c r="M12" i="6"/>
  <c r="N12" i="6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C2" i="6"/>
  <c r="D2" i="6"/>
  <c r="E2" i="6"/>
  <c r="F2" i="6"/>
  <c r="G2" i="6"/>
  <c r="H2" i="6"/>
  <c r="I2" i="6"/>
  <c r="J2" i="6"/>
  <c r="K2" i="6"/>
  <c r="L2" i="6"/>
  <c r="M2" i="6"/>
  <c r="N2" i="6"/>
  <c r="B2" i="6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0" i="7"/>
  <c r="H321" i="7"/>
  <c r="H322" i="7"/>
  <c r="H323" i="7"/>
  <c r="H324" i="7"/>
  <c r="H325" i="7"/>
  <c r="H326" i="7"/>
  <c r="H327" i="7"/>
  <c r="H328" i="7"/>
  <c r="H329" i="7"/>
  <c r="H330" i="7"/>
  <c r="H331" i="7"/>
  <c r="H332" i="7"/>
  <c r="H333" i="7"/>
  <c r="H334" i="7"/>
  <c r="H335" i="7"/>
  <c r="H336" i="7"/>
  <c r="H337" i="7"/>
  <c r="H338" i="7"/>
  <c r="H339" i="7"/>
  <c r="H340" i="7"/>
  <c r="H341" i="7"/>
  <c r="H342" i="7"/>
  <c r="H343" i="7"/>
  <c r="H344" i="7"/>
  <c r="H345" i="7"/>
  <c r="H346" i="7"/>
  <c r="H347" i="7"/>
  <c r="H348" i="7"/>
  <c r="H349" i="7"/>
  <c r="H350" i="7"/>
  <c r="H351" i="7"/>
  <c r="H352" i="7"/>
  <c r="H353" i="7"/>
  <c r="H354" i="7"/>
  <c r="H355" i="7"/>
  <c r="H356" i="7"/>
  <c r="H357" i="7"/>
  <c r="H358" i="7"/>
  <c r="H359" i="7"/>
  <c r="H360" i="7"/>
  <c r="H361" i="7"/>
  <c r="H362" i="7"/>
  <c r="H363" i="7"/>
  <c r="H364" i="7"/>
  <c r="H365" i="7"/>
  <c r="H366" i="7"/>
  <c r="H367" i="7"/>
  <c r="H368" i="7"/>
  <c r="H369" i="7"/>
  <c r="H370" i="7"/>
  <c r="H371" i="7"/>
  <c r="H372" i="7"/>
  <c r="H373" i="7"/>
  <c r="H374" i="7"/>
  <c r="H375" i="7"/>
  <c r="H376" i="7"/>
  <c r="H377" i="7"/>
  <c r="H378" i="7"/>
  <c r="H379" i="7"/>
  <c r="H380" i="7"/>
  <c r="H381" i="7"/>
  <c r="H382" i="7"/>
  <c r="H383" i="7"/>
  <c r="H384" i="7"/>
  <c r="H385" i="7"/>
  <c r="H386" i="7"/>
  <c r="H387" i="7"/>
  <c r="H388" i="7"/>
  <c r="H389" i="7"/>
  <c r="H390" i="7"/>
  <c r="H391" i="7"/>
  <c r="H392" i="7"/>
  <c r="H393" i="7"/>
  <c r="H394" i="7"/>
  <c r="H395" i="7"/>
  <c r="H396" i="7"/>
  <c r="H397" i="7"/>
  <c r="H398" i="7"/>
  <c r="H399" i="7"/>
  <c r="H400" i="7"/>
  <c r="H401" i="7"/>
  <c r="H402" i="7"/>
  <c r="H403" i="7"/>
  <c r="H404" i="7"/>
  <c r="H405" i="7"/>
  <c r="H406" i="7"/>
  <c r="H407" i="7"/>
  <c r="H408" i="7"/>
  <c r="H409" i="7"/>
  <c r="H410" i="7"/>
  <c r="H411" i="7"/>
  <c r="H412" i="7"/>
  <c r="H413" i="7"/>
  <c r="H414" i="7"/>
  <c r="H415" i="7"/>
  <c r="H416" i="7"/>
  <c r="H417" i="7"/>
  <c r="H418" i="7"/>
  <c r="H419" i="7"/>
  <c r="H420" i="7"/>
  <c r="H421" i="7"/>
  <c r="H422" i="7"/>
  <c r="H423" i="7"/>
  <c r="H424" i="7"/>
  <c r="H425" i="7"/>
  <c r="H426" i="7"/>
  <c r="H427" i="7"/>
  <c r="H428" i="7"/>
  <c r="H429" i="7"/>
  <c r="H430" i="7"/>
  <c r="H431" i="7"/>
  <c r="H432" i="7"/>
  <c r="H433" i="7"/>
  <c r="H434" i="7"/>
  <c r="H435" i="7"/>
  <c r="H436" i="7"/>
  <c r="H437" i="7"/>
  <c r="H438" i="7"/>
  <c r="H439" i="7"/>
  <c r="H440" i="7"/>
  <c r="H441" i="7"/>
  <c r="H442" i="7"/>
  <c r="H443" i="7"/>
  <c r="H444" i="7"/>
  <c r="H445" i="7"/>
  <c r="H446" i="7"/>
  <c r="H447" i="7"/>
  <c r="H448" i="7"/>
  <c r="H449" i="7"/>
  <c r="H450" i="7"/>
  <c r="H451" i="7"/>
  <c r="H452" i="7"/>
  <c r="H453" i="7"/>
  <c r="H454" i="7"/>
  <c r="H455" i="7"/>
  <c r="H456" i="7"/>
  <c r="H457" i="7"/>
  <c r="H458" i="7"/>
  <c r="H459" i="7"/>
  <c r="H460" i="7"/>
  <c r="H461" i="7"/>
  <c r="H462" i="7"/>
  <c r="H463" i="7"/>
  <c r="H464" i="7"/>
  <c r="H465" i="7"/>
  <c r="H466" i="7"/>
  <c r="H467" i="7"/>
  <c r="H468" i="7"/>
  <c r="H469" i="7"/>
  <c r="H470" i="7"/>
  <c r="H471" i="7"/>
  <c r="H472" i="7"/>
  <c r="H473" i="7"/>
  <c r="H474" i="7"/>
  <c r="H475" i="7"/>
  <c r="H476" i="7"/>
  <c r="H477" i="7"/>
  <c r="H478" i="7"/>
  <c r="H479" i="7"/>
  <c r="H480" i="7"/>
  <c r="H481" i="7"/>
  <c r="H482" i="7"/>
  <c r="H483" i="7"/>
  <c r="H484" i="7"/>
  <c r="H485" i="7"/>
  <c r="H486" i="7"/>
  <c r="H487" i="7"/>
  <c r="H488" i="7"/>
  <c r="H489" i="7"/>
  <c r="H490" i="7"/>
  <c r="H491" i="7"/>
  <c r="H492" i="7"/>
  <c r="H493" i="7"/>
  <c r="H494" i="7"/>
  <c r="H495" i="7"/>
  <c r="H496" i="7"/>
  <c r="H497" i="7"/>
  <c r="H498" i="7"/>
  <c r="H499" i="7"/>
  <c r="H500" i="7"/>
  <c r="H501" i="7"/>
  <c r="H502" i="7"/>
  <c r="H503" i="7"/>
  <c r="H504" i="7"/>
  <c r="H505" i="7"/>
  <c r="H506" i="7"/>
  <c r="H507" i="7"/>
  <c r="H508" i="7"/>
  <c r="H509" i="7"/>
  <c r="H510" i="7"/>
  <c r="H511" i="7"/>
  <c r="H512" i="7"/>
  <c r="H513" i="7"/>
  <c r="H514" i="7"/>
  <c r="H515" i="7"/>
  <c r="H516" i="7"/>
  <c r="H517" i="7"/>
  <c r="H518" i="7"/>
  <c r="H519" i="7"/>
  <c r="H520" i="7"/>
  <c r="H521" i="7"/>
  <c r="H522" i="7"/>
  <c r="H523" i="7"/>
  <c r="H524" i="7"/>
  <c r="H525" i="7"/>
  <c r="H526" i="7"/>
  <c r="H527" i="7"/>
  <c r="H528" i="7"/>
  <c r="H529" i="7"/>
  <c r="H530" i="7"/>
  <c r="H531" i="7"/>
  <c r="H532" i="7"/>
  <c r="H533" i="7"/>
  <c r="H534" i="7"/>
  <c r="H535" i="7"/>
  <c r="H536" i="7"/>
  <c r="H537" i="7"/>
  <c r="H538" i="7"/>
  <c r="H539" i="7"/>
  <c r="H540" i="7"/>
  <c r="H541" i="7"/>
  <c r="H542" i="7"/>
  <c r="H543" i="7"/>
  <c r="H544" i="7"/>
  <c r="H545" i="7"/>
  <c r="H546" i="7"/>
  <c r="H547" i="7"/>
  <c r="H548" i="7"/>
  <c r="H549" i="7"/>
  <c r="H550" i="7"/>
  <c r="H551" i="7"/>
  <c r="H552" i="7"/>
  <c r="H553" i="7"/>
  <c r="H554" i="7"/>
  <c r="H555" i="7"/>
  <c r="H556" i="7"/>
  <c r="H557" i="7"/>
  <c r="H558" i="7"/>
  <c r="H559" i="7"/>
  <c r="H560" i="7"/>
  <c r="H561" i="7"/>
  <c r="H562" i="7"/>
  <c r="H563" i="7"/>
  <c r="H564" i="7"/>
  <c r="H565" i="7"/>
  <c r="H566" i="7"/>
  <c r="H567" i="7"/>
  <c r="H568" i="7"/>
  <c r="H569" i="7"/>
  <c r="H570" i="7"/>
  <c r="H571" i="7"/>
  <c r="H572" i="7"/>
  <c r="H573" i="7"/>
  <c r="H574" i="7"/>
  <c r="H575" i="7"/>
  <c r="H576" i="7"/>
  <c r="H577" i="7"/>
  <c r="H578" i="7"/>
  <c r="H579" i="7"/>
  <c r="H580" i="7"/>
  <c r="H581" i="7"/>
  <c r="H582" i="7"/>
  <c r="H583" i="7"/>
  <c r="H584" i="7"/>
  <c r="H585" i="7"/>
  <c r="H586" i="7"/>
  <c r="H587" i="7"/>
  <c r="H588" i="7"/>
  <c r="H589" i="7"/>
  <c r="H590" i="7"/>
  <c r="H591" i="7"/>
  <c r="H592" i="7"/>
  <c r="H593" i="7"/>
  <c r="H594" i="7"/>
  <c r="H595" i="7"/>
  <c r="H596" i="7"/>
  <c r="H597" i="7"/>
  <c r="H598" i="7"/>
  <c r="H599" i="7"/>
  <c r="H600" i="7"/>
  <c r="H601" i="7"/>
  <c r="H602" i="7"/>
  <c r="H603" i="7"/>
  <c r="H604" i="7"/>
  <c r="H605" i="7"/>
  <c r="H606" i="7"/>
  <c r="H607" i="7"/>
  <c r="H608" i="7"/>
  <c r="H609" i="7"/>
  <c r="H610" i="7"/>
  <c r="H611" i="7"/>
  <c r="H612" i="7"/>
  <c r="H613" i="7"/>
  <c r="H614" i="7"/>
  <c r="H615" i="7"/>
  <c r="H616" i="7"/>
  <c r="H617" i="7"/>
  <c r="H618" i="7"/>
  <c r="H619" i="7"/>
  <c r="H620" i="7"/>
  <c r="H621" i="7"/>
  <c r="H622" i="7"/>
  <c r="H623" i="7"/>
  <c r="H624" i="7"/>
  <c r="H625" i="7"/>
  <c r="H626" i="7"/>
  <c r="H627" i="7"/>
  <c r="H628" i="7"/>
  <c r="H629" i="7"/>
  <c r="H630" i="7"/>
  <c r="H631" i="7"/>
  <c r="H632" i="7"/>
  <c r="H633" i="7"/>
  <c r="H634" i="7"/>
  <c r="H635" i="7"/>
  <c r="H636" i="7"/>
  <c r="H637" i="7"/>
  <c r="H638" i="7"/>
  <c r="H639" i="7"/>
  <c r="H640" i="7"/>
  <c r="H641" i="7"/>
  <c r="H642" i="7"/>
  <c r="H643" i="7"/>
  <c r="H644" i="7"/>
  <c r="H645" i="7"/>
  <c r="H646" i="7"/>
  <c r="H647" i="7"/>
  <c r="H648" i="7"/>
  <c r="H649" i="7"/>
  <c r="H650" i="7"/>
  <c r="H651" i="7"/>
  <c r="H652" i="7"/>
  <c r="H653" i="7"/>
  <c r="H654" i="7"/>
  <c r="H655" i="7"/>
  <c r="H656" i="7"/>
  <c r="H657" i="7"/>
  <c r="H658" i="7"/>
  <c r="H659" i="7"/>
  <c r="H660" i="7"/>
  <c r="H661" i="7"/>
  <c r="H662" i="7"/>
  <c r="H663" i="7"/>
  <c r="H664" i="7"/>
  <c r="H665" i="7"/>
  <c r="H666" i="7"/>
  <c r="H667" i="7"/>
  <c r="H668" i="7"/>
  <c r="H669" i="7"/>
  <c r="H670" i="7"/>
  <c r="H671" i="7"/>
  <c r="H672" i="7"/>
  <c r="H673" i="7"/>
  <c r="H674" i="7"/>
  <c r="H675" i="7"/>
  <c r="H676" i="7"/>
  <c r="H677" i="7"/>
  <c r="H678" i="7"/>
  <c r="H679" i="7"/>
  <c r="H680" i="7"/>
  <c r="H681" i="7"/>
  <c r="H682" i="7"/>
  <c r="H683" i="7"/>
  <c r="H684" i="7"/>
  <c r="H685" i="7"/>
  <c r="H686" i="7"/>
  <c r="H687" i="7"/>
  <c r="H688" i="7"/>
  <c r="H689" i="7"/>
  <c r="H690" i="7"/>
  <c r="H691" i="7"/>
  <c r="H692" i="7"/>
  <c r="H693" i="7"/>
  <c r="H694" i="7"/>
  <c r="H695" i="7"/>
  <c r="H696" i="7"/>
  <c r="H697" i="7"/>
  <c r="H698" i="7"/>
  <c r="H699" i="7"/>
  <c r="H700" i="7"/>
  <c r="H701" i="7"/>
  <c r="H702" i="7"/>
  <c r="H703" i="7"/>
  <c r="H704" i="7"/>
  <c r="H705" i="7"/>
  <c r="H706" i="7"/>
  <c r="H707" i="7"/>
  <c r="H708" i="7"/>
  <c r="H709" i="7"/>
  <c r="H710" i="7"/>
  <c r="H711" i="7"/>
  <c r="H712" i="7"/>
  <c r="H713" i="7"/>
  <c r="H714" i="7"/>
  <c r="H715" i="7"/>
  <c r="H716" i="7"/>
  <c r="H717" i="7"/>
  <c r="H718" i="7"/>
  <c r="H719" i="7"/>
  <c r="H720" i="7"/>
  <c r="H721" i="7"/>
  <c r="H722" i="7"/>
  <c r="H723" i="7"/>
  <c r="H724" i="7"/>
  <c r="H725" i="7"/>
  <c r="H726" i="7"/>
  <c r="H727" i="7"/>
  <c r="H728" i="7"/>
  <c r="H729" i="7"/>
  <c r="H730" i="7"/>
  <c r="H731" i="7"/>
  <c r="H732" i="7"/>
  <c r="H733" i="7"/>
  <c r="H734" i="7"/>
  <c r="H735" i="7"/>
  <c r="H736" i="7"/>
  <c r="H737" i="7"/>
  <c r="H738" i="7"/>
  <c r="H739" i="7"/>
  <c r="H740" i="7"/>
  <c r="H741" i="7"/>
  <c r="H742" i="7"/>
  <c r="H743" i="7"/>
  <c r="H744" i="7"/>
  <c r="H745" i="7"/>
  <c r="H746" i="7"/>
  <c r="H747" i="7"/>
  <c r="H748" i="7"/>
  <c r="H749" i="7"/>
  <c r="H750" i="7"/>
  <c r="H751" i="7"/>
  <c r="H752" i="7"/>
  <c r="H753" i="7"/>
  <c r="H754" i="7"/>
  <c r="H755" i="7"/>
  <c r="H756" i="7"/>
  <c r="H757" i="7"/>
  <c r="H758" i="7"/>
  <c r="H759" i="7"/>
  <c r="H760" i="7"/>
  <c r="H761" i="7"/>
  <c r="H762" i="7"/>
  <c r="H763" i="7"/>
  <c r="H764" i="7"/>
  <c r="H765" i="7"/>
  <c r="H766" i="7"/>
  <c r="H767" i="7"/>
  <c r="H768" i="7"/>
  <c r="H769" i="7"/>
  <c r="H770" i="7"/>
  <c r="H771" i="7"/>
  <c r="H772" i="7"/>
  <c r="H773" i="7"/>
  <c r="H774" i="7"/>
  <c r="H775" i="7"/>
  <c r="H776" i="7"/>
  <c r="H777" i="7"/>
  <c r="H778" i="7"/>
  <c r="H779" i="7"/>
  <c r="H780" i="7"/>
  <c r="H781" i="7"/>
  <c r="H782" i="7"/>
  <c r="H783" i="7"/>
  <c r="H784" i="7"/>
  <c r="H785" i="7"/>
  <c r="H786" i="7"/>
  <c r="H787" i="7"/>
  <c r="H788" i="7"/>
  <c r="H789" i="7"/>
  <c r="H790" i="7"/>
  <c r="H791" i="7"/>
  <c r="H792" i="7"/>
  <c r="H793" i="7"/>
  <c r="H794" i="7"/>
  <c r="H795" i="7"/>
  <c r="H796" i="7"/>
  <c r="H797" i="7"/>
  <c r="H798" i="7"/>
  <c r="H799" i="7"/>
  <c r="H800" i="7"/>
  <c r="H801" i="7"/>
  <c r="H802" i="7"/>
  <c r="H803" i="7"/>
  <c r="H804" i="7"/>
  <c r="H805" i="7"/>
  <c r="H806" i="7"/>
  <c r="H807" i="7"/>
  <c r="H808" i="7"/>
  <c r="H809" i="7"/>
  <c r="H810" i="7"/>
  <c r="H811" i="7"/>
  <c r="H812" i="7"/>
  <c r="H813" i="7"/>
  <c r="H814" i="7"/>
  <c r="H815" i="7"/>
  <c r="H816" i="7"/>
  <c r="H817" i="7"/>
  <c r="H818" i="7"/>
  <c r="H819" i="7"/>
  <c r="H820" i="7"/>
  <c r="H821" i="7"/>
  <c r="H822" i="7"/>
  <c r="H823" i="7"/>
  <c r="H824" i="7"/>
  <c r="H825" i="7"/>
  <c r="H826" i="7"/>
  <c r="H827" i="7"/>
  <c r="H828" i="7"/>
  <c r="H829" i="7"/>
  <c r="H830" i="7"/>
  <c r="H831" i="7"/>
  <c r="H832" i="7"/>
  <c r="H833" i="7"/>
  <c r="H834" i="7"/>
  <c r="H835" i="7"/>
  <c r="H836" i="7"/>
  <c r="H837" i="7"/>
  <c r="H838" i="7"/>
  <c r="H839" i="7"/>
  <c r="H840" i="7"/>
  <c r="H841" i="7"/>
  <c r="H842" i="7"/>
  <c r="H843" i="7"/>
  <c r="H844" i="7"/>
  <c r="H845" i="7"/>
  <c r="H846" i="7"/>
  <c r="H847" i="7"/>
  <c r="H848" i="7"/>
  <c r="H849" i="7"/>
  <c r="H850" i="7"/>
  <c r="H851" i="7"/>
  <c r="H852" i="7"/>
  <c r="H853" i="7"/>
  <c r="H854" i="7"/>
  <c r="H855" i="7"/>
  <c r="H856" i="7"/>
  <c r="H857" i="7"/>
  <c r="H858" i="7"/>
  <c r="H859" i="7"/>
  <c r="H860" i="7"/>
  <c r="H861" i="7"/>
  <c r="H862" i="7"/>
  <c r="H863" i="7"/>
  <c r="H864" i="7"/>
  <c r="H865" i="7"/>
  <c r="H866" i="7"/>
  <c r="H867" i="7"/>
  <c r="H868" i="7"/>
  <c r="H869" i="7"/>
  <c r="H870" i="7"/>
  <c r="H871" i="7"/>
  <c r="H872" i="7"/>
  <c r="H873" i="7"/>
  <c r="H874" i="7"/>
  <c r="H875" i="7"/>
  <c r="H876" i="7"/>
  <c r="H877" i="7"/>
  <c r="H878" i="7"/>
  <c r="H879" i="7"/>
  <c r="H880" i="7"/>
  <c r="H881" i="7"/>
  <c r="H882" i="7"/>
  <c r="H883" i="7"/>
  <c r="H884" i="7"/>
  <c r="H885" i="7"/>
  <c r="H886" i="7"/>
  <c r="H887" i="7"/>
  <c r="H888" i="7"/>
  <c r="H889" i="7"/>
  <c r="H890" i="7"/>
  <c r="H891" i="7"/>
  <c r="H892" i="7"/>
  <c r="H893" i="7"/>
  <c r="H894" i="7"/>
  <c r="H895" i="7"/>
  <c r="H896" i="7"/>
  <c r="H897" i="7"/>
  <c r="H898" i="7"/>
  <c r="H899" i="7"/>
  <c r="H900" i="7"/>
  <c r="H901" i="7"/>
  <c r="H902" i="7"/>
  <c r="H903" i="7"/>
  <c r="H904" i="7"/>
  <c r="H905" i="7"/>
  <c r="H906" i="7"/>
  <c r="H907" i="7"/>
  <c r="H908" i="7"/>
  <c r="H909" i="7"/>
  <c r="H910" i="7"/>
  <c r="H911" i="7"/>
  <c r="H912" i="7"/>
  <c r="H913" i="7"/>
  <c r="H914" i="7"/>
  <c r="H915" i="7"/>
  <c r="H916" i="7"/>
  <c r="H917" i="7"/>
  <c r="H918" i="7"/>
  <c r="H919" i="7"/>
  <c r="H920" i="7"/>
  <c r="H921" i="7"/>
  <c r="H922" i="7"/>
  <c r="H923" i="7"/>
  <c r="H924" i="7"/>
  <c r="H925" i="7"/>
  <c r="H926" i="7"/>
  <c r="H927" i="7"/>
  <c r="H928" i="7"/>
  <c r="H929" i="7"/>
  <c r="H930" i="7"/>
  <c r="H931" i="7"/>
  <c r="H932" i="7"/>
  <c r="H933" i="7"/>
  <c r="H934" i="7"/>
  <c r="H935" i="7"/>
  <c r="H936" i="7"/>
  <c r="H937" i="7"/>
  <c r="H938" i="7"/>
  <c r="H939" i="7"/>
  <c r="H940" i="7"/>
  <c r="H941" i="7"/>
  <c r="H942" i="7"/>
  <c r="H943" i="7"/>
  <c r="H944" i="7"/>
  <c r="H945" i="7"/>
  <c r="H946" i="7"/>
  <c r="H947" i="7"/>
  <c r="H948" i="7"/>
  <c r="H949" i="7"/>
  <c r="H950" i="7"/>
  <c r="H951" i="7"/>
  <c r="H952" i="7"/>
  <c r="H953" i="7"/>
  <c r="H954" i="7"/>
  <c r="H955" i="7"/>
  <c r="H956" i="7"/>
  <c r="H957" i="7"/>
  <c r="H958" i="7"/>
  <c r="H959" i="7"/>
  <c r="H960" i="7"/>
  <c r="H961" i="7"/>
  <c r="H962" i="7"/>
  <c r="H963" i="7"/>
  <c r="H964" i="7"/>
  <c r="H965" i="7"/>
  <c r="H966" i="7"/>
  <c r="H967" i="7"/>
  <c r="H968" i="7"/>
  <c r="H969" i="7"/>
  <c r="H970" i="7"/>
  <c r="H971" i="7"/>
  <c r="H972" i="7"/>
  <c r="H973" i="7"/>
  <c r="H974" i="7"/>
  <c r="H975" i="7"/>
  <c r="H976" i="7"/>
  <c r="H977" i="7"/>
  <c r="H978" i="7"/>
  <c r="H979" i="7"/>
  <c r="H980" i="7"/>
  <c r="H981" i="7"/>
  <c r="H982" i="7"/>
  <c r="H983" i="7"/>
  <c r="H984" i="7"/>
  <c r="H985" i="7"/>
  <c r="H986" i="7"/>
  <c r="H987" i="7"/>
  <c r="H988" i="7"/>
  <c r="H989" i="7"/>
  <c r="H990" i="7"/>
  <c r="H991" i="7"/>
  <c r="H992" i="7"/>
  <c r="H993" i="7"/>
  <c r="H994" i="7"/>
  <c r="H995" i="7"/>
  <c r="H996" i="7"/>
  <c r="H997" i="7"/>
  <c r="H998" i="7"/>
  <c r="H999" i="7"/>
  <c r="H1000" i="7"/>
  <c r="H1001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52" i="7"/>
  <c r="G353" i="7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383" i="7"/>
  <c r="G384" i="7"/>
  <c r="G385" i="7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2" i="7"/>
  <c r="G403" i="7"/>
  <c r="G404" i="7"/>
  <c r="G405" i="7"/>
  <c r="G406" i="7"/>
  <c r="G407" i="7"/>
  <c r="G408" i="7"/>
  <c r="G409" i="7"/>
  <c r="G410" i="7"/>
  <c r="G411" i="7"/>
  <c r="G412" i="7"/>
  <c r="G413" i="7"/>
  <c r="G414" i="7"/>
  <c r="G415" i="7"/>
  <c r="G416" i="7"/>
  <c r="G417" i="7"/>
  <c r="G418" i="7"/>
  <c r="G419" i="7"/>
  <c r="G420" i="7"/>
  <c r="G421" i="7"/>
  <c r="G422" i="7"/>
  <c r="G423" i="7"/>
  <c r="G424" i="7"/>
  <c r="G425" i="7"/>
  <c r="G426" i="7"/>
  <c r="G427" i="7"/>
  <c r="G428" i="7"/>
  <c r="G429" i="7"/>
  <c r="G430" i="7"/>
  <c r="G431" i="7"/>
  <c r="G432" i="7"/>
  <c r="G433" i="7"/>
  <c r="G434" i="7"/>
  <c r="G435" i="7"/>
  <c r="G436" i="7"/>
  <c r="G437" i="7"/>
  <c r="G438" i="7"/>
  <c r="G439" i="7"/>
  <c r="G440" i="7"/>
  <c r="G441" i="7"/>
  <c r="G442" i="7"/>
  <c r="G443" i="7"/>
  <c r="G444" i="7"/>
  <c r="G445" i="7"/>
  <c r="G446" i="7"/>
  <c r="G447" i="7"/>
  <c r="G448" i="7"/>
  <c r="G449" i="7"/>
  <c r="G450" i="7"/>
  <c r="G451" i="7"/>
  <c r="G452" i="7"/>
  <c r="G453" i="7"/>
  <c r="G454" i="7"/>
  <c r="G455" i="7"/>
  <c r="G456" i="7"/>
  <c r="G457" i="7"/>
  <c r="G458" i="7"/>
  <c r="G459" i="7"/>
  <c r="G460" i="7"/>
  <c r="G461" i="7"/>
  <c r="G462" i="7"/>
  <c r="G463" i="7"/>
  <c r="G464" i="7"/>
  <c r="G465" i="7"/>
  <c r="G466" i="7"/>
  <c r="G467" i="7"/>
  <c r="G468" i="7"/>
  <c r="G469" i="7"/>
  <c r="G470" i="7"/>
  <c r="G471" i="7"/>
  <c r="G472" i="7"/>
  <c r="G473" i="7"/>
  <c r="G474" i="7"/>
  <c r="G475" i="7"/>
  <c r="G476" i="7"/>
  <c r="G477" i="7"/>
  <c r="G478" i="7"/>
  <c r="G479" i="7"/>
  <c r="G480" i="7"/>
  <c r="G481" i="7"/>
  <c r="G482" i="7"/>
  <c r="G483" i="7"/>
  <c r="G484" i="7"/>
  <c r="G485" i="7"/>
  <c r="G486" i="7"/>
  <c r="G487" i="7"/>
  <c r="G488" i="7"/>
  <c r="G489" i="7"/>
  <c r="G490" i="7"/>
  <c r="G491" i="7"/>
  <c r="G492" i="7"/>
  <c r="G493" i="7"/>
  <c r="G494" i="7"/>
  <c r="G495" i="7"/>
  <c r="G496" i="7"/>
  <c r="G497" i="7"/>
  <c r="G498" i="7"/>
  <c r="G499" i="7"/>
  <c r="G500" i="7"/>
  <c r="G501" i="7"/>
  <c r="G502" i="7"/>
  <c r="G503" i="7"/>
  <c r="G504" i="7"/>
  <c r="G505" i="7"/>
  <c r="G506" i="7"/>
  <c r="G507" i="7"/>
  <c r="G508" i="7"/>
  <c r="G509" i="7"/>
  <c r="G510" i="7"/>
  <c r="G511" i="7"/>
  <c r="G512" i="7"/>
  <c r="G513" i="7"/>
  <c r="G514" i="7"/>
  <c r="G515" i="7"/>
  <c r="G516" i="7"/>
  <c r="G517" i="7"/>
  <c r="G518" i="7"/>
  <c r="G519" i="7"/>
  <c r="G520" i="7"/>
  <c r="G521" i="7"/>
  <c r="G522" i="7"/>
  <c r="G523" i="7"/>
  <c r="G524" i="7"/>
  <c r="G525" i="7"/>
  <c r="G526" i="7"/>
  <c r="G527" i="7"/>
  <c r="G528" i="7"/>
  <c r="G529" i="7"/>
  <c r="G530" i="7"/>
  <c r="G531" i="7"/>
  <c r="G532" i="7"/>
  <c r="G533" i="7"/>
  <c r="G534" i="7"/>
  <c r="G535" i="7"/>
  <c r="G536" i="7"/>
  <c r="G537" i="7"/>
  <c r="G538" i="7"/>
  <c r="G539" i="7"/>
  <c r="G540" i="7"/>
  <c r="G541" i="7"/>
  <c r="G542" i="7"/>
  <c r="G543" i="7"/>
  <c r="G544" i="7"/>
  <c r="G545" i="7"/>
  <c r="G546" i="7"/>
  <c r="G547" i="7"/>
  <c r="G548" i="7"/>
  <c r="G549" i="7"/>
  <c r="G550" i="7"/>
  <c r="G551" i="7"/>
  <c r="G552" i="7"/>
  <c r="G553" i="7"/>
  <c r="G554" i="7"/>
  <c r="G555" i="7"/>
  <c r="G556" i="7"/>
  <c r="G557" i="7"/>
  <c r="G558" i="7"/>
  <c r="G559" i="7"/>
  <c r="G560" i="7"/>
  <c r="G561" i="7"/>
  <c r="G562" i="7"/>
  <c r="G563" i="7"/>
  <c r="G564" i="7"/>
  <c r="G565" i="7"/>
  <c r="G566" i="7"/>
  <c r="G567" i="7"/>
  <c r="G568" i="7"/>
  <c r="G569" i="7"/>
  <c r="G570" i="7"/>
  <c r="G571" i="7"/>
  <c r="G572" i="7"/>
  <c r="G573" i="7"/>
  <c r="G574" i="7"/>
  <c r="G575" i="7"/>
  <c r="G576" i="7"/>
  <c r="G577" i="7"/>
  <c r="G578" i="7"/>
  <c r="G579" i="7"/>
  <c r="G580" i="7"/>
  <c r="G581" i="7"/>
  <c r="G582" i="7"/>
  <c r="G583" i="7"/>
  <c r="G584" i="7"/>
  <c r="G585" i="7"/>
  <c r="G586" i="7"/>
  <c r="G587" i="7"/>
  <c r="G588" i="7"/>
  <c r="G589" i="7"/>
  <c r="G590" i="7"/>
  <c r="G591" i="7"/>
  <c r="G592" i="7"/>
  <c r="G593" i="7"/>
  <c r="G594" i="7"/>
  <c r="G595" i="7"/>
  <c r="G596" i="7"/>
  <c r="G597" i="7"/>
  <c r="G598" i="7"/>
  <c r="G599" i="7"/>
  <c r="G600" i="7"/>
  <c r="G601" i="7"/>
  <c r="G602" i="7"/>
  <c r="G603" i="7"/>
  <c r="G604" i="7"/>
  <c r="G605" i="7"/>
  <c r="G606" i="7"/>
  <c r="G607" i="7"/>
  <c r="G608" i="7"/>
  <c r="G609" i="7"/>
  <c r="G610" i="7"/>
  <c r="G611" i="7"/>
  <c r="G612" i="7"/>
  <c r="G613" i="7"/>
  <c r="G614" i="7"/>
  <c r="G615" i="7"/>
  <c r="G616" i="7"/>
  <c r="G617" i="7"/>
  <c r="G618" i="7"/>
  <c r="G619" i="7"/>
  <c r="G620" i="7"/>
  <c r="G621" i="7"/>
  <c r="G622" i="7"/>
  <c r="G623" i="7"/>
  <c r="G624" i="7"/>
  <c r="G625" i="7"/>
  <c r="G626" i="7"/>
  <c r="G627" i="7"/>
  <c r="G628" i="7"/>
  <c r="G629" i="7"/>
  <c r="G630" i="7"/>
  <c r="G631" i="7"/>
  <c r="G632" i="7"/>
  <c r="G633" i="7"/>
  <c r="G634" i="7"/>
  <c r="G635" i="7"/>
  <c r="G636" i="7"/>
  <c r="G637" i="7"/>
  <c r="G638" i="7"/>
  <c r="G639" i="7"/>
  <c r="G640" i="7"/>
  <c r="G641" i="7"/>
  <c r="G642" i="7"/>
  <c r="G643" i="7"/>
  <c r="G644" i="7"/>
  <c r="G645" i="7"/>
  <c r="G646" i="7"/>
  <c r="G647" i="7"/>
  <c r="G648" i="7"/>
  <c r="G649" i="7"/>
  <c r="G650" i="7"/>
  <c r="G651" i="7"/>
  <c r="G652" i="7"/>
  <c r="G653" i="7"/>
  <c r="G654" i="7"/>
  <c r="G655" i="7"/>
  <c r="G656" i="7"/>
  <c r="G657" i="7"/>
  <c r="G658" i="7"/>
  <c r="G659" i="7"/>
  <c r="G660" i="7"/>
  <c r="G661" i="7"/>
  <c r="G662" i="7"/>
  <c r="G663" i="7"/>
  <c r="G664" i="7"/>
  <c r="G665" i="7"/>
  <c r="G666" i="7"/>
  <c r="G667" i="7"/>
  <c r="G668" i="7"/>
  <c r="G669" i="7"/>
  <c r="G670" i="7"/>
  <c r="G671" i="7"/>
  <c r="G672" i="7"/>
  <c r="G673" i="7"/>
  <c r="G674" i="7"/>
  <c r="G675" i="7"/>
  <c r="G676" i="7"/>
  <c r="G677" i="7"/>
  <c r="G678" i="7"/>
  <c r="G679" i="7"/>
  <c r="G680" i="7"/>
  <c r="G681" i="7"/>
  <c r="G682" i="7"/>
  <c r="G683" i="7"/>
  <c r="G684" i="7"/>
  <c r="G685" i="7"/>
  <c r="G686" i="7"/>
  <c r="G687" i="7"/>
  <c r="G688" i="7"/>
  <c r="G689" i="7"/>
  <c r="G690" i="7"/>
  <c r="G691" i="7"/>
  <c r="G692" i="7"/>
  <c r="G693" i="7"/>
  <c r="G694" i="7"/>
  <c r="G695" i="7"/>
  <c r="G696" i="7"/>
  <c r="G697" i="7"/>
  <c r="G698" i="7"/>
  <c r="G699" i="7"/>
  <c r="G700" i="7"/>
  <c r="G701" i="7"/>
  <c r="G702" i="7"/>
  <c r="G703" i="7"/>
  <c r="G704" i="7"/>
  <c r="G705" i="7"/>
  <c r="G706" i="7"/>
  <c r="G707" i="7"/>
  <c r="G708" i="7"/>
  <c r="G709" i="7"/>
  <c r="G710" i="7"/>
  <c r="G711" i="7"/>
  <c r="G712" i="7"/>
  <c r="G713" i="7"/>
  <c r="G714" i="7"/>
  <c r="G715" i="7"/>
  <c r="G716" i="7"/>
  <c r="G717" i="7"/>
  <c r="G718" i="7"/>
  <c r="G719" i="7"/>
  <c r="G720" i="7"/>
  <c r="G721" i="7"/>
  <c r="G722" i="7"/>
  <c r="G723" i="7"/>
  <c r="G724" i="7"/>
  <c r="G725" i="7"/>
  <c r="G726" i="7"/>
  <c r="G727" i="7"/>
  <c r="G728" i="7"/>
  <c r="G729" i="7"/>
  <c r="G730" i="7"/>
  <c r="G731" i="7"/>
  <c r="G732" i="7"/>
  <c r="G733" i="7"/>
  <c r="G734" i="7"/>
  <c r="G735" i="7"/>
  <c r="G736" i="7"/>
  <c r="G737" i="7"/>
  <c r="G738" i="7"/>
  <c r="G739" i="7"/>
  <c r="G740" i="7"/>
  <c r="G741" i="7"/>
  <c r="G742" i="7"/>
  <c r="G743" i="7"/>
  <c r="G744" i="7"/>
  <c r="G745" i="7"/>
  <c r="G746" i="7"/>
  <c r="G747" i="7"/>
  <c r="G748" i="7"/>
  <c r="G749" i="7"/>
  <c r="G750" i="7"/>
  <c r="G751" i="7"/>
  <c r="G752" i="7"/>
  <c r="G753" i="7"/>
  <c r="G754" i="7"/>
  <c r="G755" i="7"/>
  <c r="G756" i="7"/>
  <c r="G757" i="7"/>
  <c r="G758" i="7"/>
  <c r="G759" i="7"/>
  <c r="G760" i="7"/>
  <c r="G761" i="7"/>
  <c r="G762" i="7"/>
  <c r="G763" i="7"/>
  <c r="G764" i="7"/>
  <c r="G765" i="7"/>
  <c r="G766" i="7"/>
  <c r="G767" i="7"/>
  <c r="G768" i="7"/>
  <c r="G769" i="7"/>
  <c r="G770" i="7"/>
  <c r="G771" i="7"/>
  <c r="G772" i="7"/>
  <c r="G773" i="7"/>
  <c r="G774" i="7"/>
  <c r="G775" i="7"/>
  <c r="G776" i="7"/>
  <c r="G777" i="7"/>
  <c r="G778" i="7"/>
  <c r="G779" i="7"/>
  <c r="G780" i="7"/>
  <c r="G781" i="7"/>
  <c r="G782" i="7"/>
  <c r="G783" i="7"/>
  <c r="G784" i="7"/>
  <c r="G785" i="7"/>
  <c r="G786" i="7"/>
  <c r="G787" i="7"/>
  <c r="G788" i="7"/>
  <c r="G789" i="7"/>
  <c r="G790" i="7"/>
  <c r="G791" i="7"/>
  <c r="G792" i="7"/>
  <c r="G793" i="7"/>
  <c r="G794" i="7"/>
  <c r="G795" i="7"/>
  <c r="G796" i="7"/>
  <c r="G797" i="7"/>
  <c r="G798" i="7"/>
  <c r="G799" i="7"/>
  <c r="G800" i="7"/>
  <c r="G801" i="7"/>
  <c r="G802" i="7"/>
  <c r="G803" i="7"/>
  <c r="G804" i="7"/>
  <c r="G805" i="7"/>
  <c r="G806" i="7"/>
  <c r="G807" i="7"/>
  <c r="G808" i="7"/>
  <c r="G809" i="7"/>
  <c r="G810" i="7"/>
  <c r="G811" i="7"/>
  <c r="G812" i="7"/>
  <c r="G813" i="7"/>
  <c r="G814" i="7"/>
  <c r="G815" i="7"/>
  <c r="G816" i="7"/>
  <c r="G817" i="7"/>
  <c r="G818" i="7"/>
  <c r="G819" i="7"/>
  <c r="G820" i="7"/>
  <c r="G821" i="7"/>
  <c r="G822" i="7"/>
  <c r="G823" i="7"/>
  <c r="G824" i="7"/>
  <c r="G825" i="7"/>
  <c r="G826" i="7"/>
  <c r="G827" i="7"/>
  <c r="G828" i="7"/>
  <c r="G829" i="7"/>
  <c r="G830" i="7"/>
  <c r="G831" i="7"/>
  <c r="G832" i="7"/>
  <c r="G833" i="7"/>
  <c r="G834" i="7"/>
  <c r="G835" i="7"/>
  <c r="G836" i="7"/>
  <c r="G837" i="7"/>
  <c r="G838" i="7"/>
  <c r="G839" i="7"/>
  <c r="G840" i="7"/>
  <c r="G841" i="7"/>
  <c r="G842" i="7"/>
  <c r="G843" i="7"/>
  <c r="G844" i="7"/>
  <c r="G845" i="7"/>
  <c r="G846" i="7"/>
  <c r="G847" i="7"/>
  <c r="G848" i="7"/>
  <c r="G849" i="7"/>
  <c r="G850" i="7"/>
  <c r="G851" i="7"/>
  <c r="G852" i="7"/>
  <c r="G853" i="7"/>
  <c r="G854" i="7"/>
  <c r="G855" i="7"/>
  <c r="G856" i="7"/>
  <c r="G857" i="7"/>
  <c r="G858" i="7"/>
  <c r="G859" i="7"/>
  <c r="G860" i="7"/>
  <c r="G861" i="7"/>
  <c r="G862" i="7"/>
  <c r="G863" i="7"/>
  <c r="G864" i="7"/>
  <c r="G865" i="7"/>
  <c r="G866" i="7"/>
  <c r="G867" i="7"/>
  <c r="G868" i="7"/>
  <c r="G869" i="7"/>
  <c r="G870" i="7"/>
  <c r="G871" i="7"/>
  <c r="G872" i="7"/>
  <c r="G873" i="7"/>
  <c r="G874" i="7"/>
  <c r="G875" i="7"/>
  <c r="G876" i="7"/>
  <c r="G877" i="7"/>
  <c r="G878" i="7"/>
  <c r="G879" i="7"/>
  <c r="G880" i="7"/>
  <c r="G881" i="7"/>
  <c r="G882" i="7"/>
  <c r="G883" i="7"/>
  <c r="G884" i="7"/>
  <c r="G885" i="7"/>
  <c r="G886" i="7"/>
  <c r="G887" i="7"/>
  <c r="G888" i="7"/>
  <c r="G889" i="7"/>
  <c r="G890" i="7"/>
  <c r="G891" i="7"/>
  <c r="G892" i="7"/>
  <c r="G893" i="7"/>
  <c r="G894" i="7"/>
  <c r="G895" i="7"/>
  <c r="G896" i="7"/>
  <c r="G897" i="7"/>
  <c r="G898" i="7"/>
  <c r="G899" i="7"/>
  <c r="G900" i="7"/>
  <c r="G901" i="7"/>
  <c r="G902" i="7"/>
  <c r="G903" i="7"/>
  <c r="G904" i="7"/>
  <c r="G905" i="7"/>
  <c r="G906" i="7"/>
  <c r="G907" i="7"/>
  <c r="G908" i="7"/>
  <c r="G909" i="7"/>
  <c r="G910" i="7"/>
  <c r="G911" i="7"/>
  <c r="G912" i="7"/>
  <c r="G913" i="7"/>
  <c r="G914" i="7"/>
  <c r="G915" i="7"/>
  <c r="G916" i="7"/>
  <c r="G917" i="7"/>
  <c r="G918" i="7"/>
  <c r="G919" i="7"/>
  <c r="G920" i="7"/>
  <c r="G921" i="7"/>
  <c r="G922" i="7"/>
  <c r="G923" i="7"/>
  <c r="G924" i="7"/>
  <c r="G925" i="7"/>
  <c r="G926" i="7"/>
  <c r="G927" i="7"/>
  <c r="G928" i="7"/>
  <c r="G929" i="7"/>
  <c r="G930" i="7"/>
  <c r="G931" i="7"/>
  <c r="G932" i="7"/>
  <c r="G933" i="7"/>
  <c r="G934" i="7"/>
  <c r="G935" i="7"/>
  <c r="G936" i="7"/>
  <c r="G937" i="7"/>
  <c r="G938" i="7"/>
  <c r="G939" i="7"/>
  <c r="G940" i="7"/>
  <c r="G941" i="7"/>
  <c r="G942" i="7"/>
  <c r="G943" i="7"/>
  <c r="G944" i="7"/>
  <c r="G945" i="7"/>
  <c r="G946" i="7"/>
  <c r="G947" i="7"/>
  <c r="G948" i="7"/>
  <c r="G949" i="7"/>
  <c r="G950" i="7"/>
  <c r="G951" i="7"/>
  <c r="G952" i="7"/>
  <c r="G953" i="7"/>
  <c r="G954" i="7"/>
  <c r="G955" i="7"/>
  <c r="G956" i="7"/>
  <c r="G957" i="7"/>
  <c r="G958" i="7"/>
  <c r="G959" i="7"/>
  <c r="G960" i="7"/>
  <c r="G961" i="7"/>
  <c r="G962" i="7"/>
  <c r="G963" i="7"/>
  <c r="G964" i="7"/>
  <c r="G965" i="7"/>
  <c r="G966" i="7"/>
  <c r="G967" i="7"/>
  <c r="G968" i="7"/>
  <c r="G969" i="7"/>
  <c r="G970" i="7"/>
  <c r="G971" i="7"/>
  <c r="G972" i="7"/>
  <c r="G973" i="7"/>
  <c r="G974" i="7"/>
  <c r="G975" i="7"/>
  <c r="G976" i="7"/>
  <c r="G977" i="7"/>
  <c r="G978" i="7"/>
  <c r="G979" i="7"/>
  <c r="G980" i="7"/>
  <c r="G981" i="7"/>
  <c r="G982" i="7"/>
  <c r="G983" i="7"/>
  <c r="G984" i="7"/>
  <c r="G985" i="7"/>
  <c r="G986" i="7"/>
  <c r="G987" i="7"/>
  <c r="G988" i="7"/>
  <c r="G989" i="7"/>
  <c r="G990" i="7"/>
  <c r="G991" i="7"/>
  <c r="G992" i="7"/>
  <c r="G993" i="7"/>
  <c r="G994" i="7"/>
  <c r="G995" i="7"/>
  <c r="G996" i="7"/>
  <c r="G997" i="7"/>
  <c r="G998" i="7"/>
  <c r="G999" i="7"/>
  <c r="G1000" i="7"/>
  <c r="G1001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5" i="7"/>
  <c r="F466" i="7"/>
  <c r="F467" i="7"/>
  <c r="F468" i="7"/>
  <c r="F469" i="7"/>
  <c r="F470" i="7"/>
  <c r="F471" i="7"/>
  <c r="F472" i="7"/>
  <c r="F473" i="7"/>
  <c r="F474" i="7"/>
  <c r="F475" i="7"/>
  <c r="F476" i="7"/>
  <c r="F477" i="7"/>
  <c r="F478" i="7"/>
  <c r="F479" i="7"/>
  <c r="F480" i="7"/>
  <c r="F481" i="7"/>
  <c r="F482" i="7"/>
  <c r="F483" i="7"/>
  <c r="F484" i="7"/>
  <c r="F485" i="7"/>
  <c r="F486" i="7"/>
  <c r="F487" i="7"/>
  <c r="F488" i="7"/>
  <c r="F489" i="7"/>
  <c r="F490" i="7"/>
  <c r="F491" i="7"/>
  <c r="F492" i="7"/>
  <c r="F493" i="7"/>
  <c r="F494" i="7"/>
  <c r="F495" i="7"/>
  <c r="F496" i="7"/>
  <c r="F497" i="7"/>
  <c r="F498" i="7"/>
  <c r="F499" i="7"/>
  <c r="F500" i="7"/>
  <c r="F501" i="7"/>
  <c r="F502" i="7"/>
  <c r="F503" i="7"/>
  <c r="F504" i="7"/>
  <c r="F505" i="7"/>
  <c r="F506" i="7"/>
  <c r="F507" i="7"/>
  <c r="F508" i="7"/>
  <c r="F509" i="7"/>
  <c r="F510" i="7"/>
  <c r="F511" i="7"/>
  <c r="F512" i="7"/>
  <c r="F513" i="7"/>
  <c r="F514" i="7"/>
  <c r="F515" i="7"/>
  <c r="F516" i="7"/>
  <c r="F517" i="7"/>
  <c r="F518" i="7"/>
  <c r="F519" i="7"/>
  <c r="F520" i="7"/>
  <c r="F521" i="7"/>
  <c r="F522" i="7"/>
  <c r="F523" i="7"/>
  <c r="F524" i="7"/>
  <c r="F525" i="7"/>
  <c r="F526" i="7"/>
  <c r="F527" i="7"/>
  <c r="F528" i="7"/>
  <c r="F529" i="7"/>
  <c r="F530" i="7"/>
  <c r="F531" i="7"/>
  <c r="F532" i="7"/>
  <c r="F533" i="7"/>
  <c r="F534" i="7"/>
  <c r="F535" i="7"/>
  <c r="F536" i="7"/>
  <c r="F537" i="7"/>
  <c r="F538" i="7"/>
  <c r="F539" i="7"/>
  <c r="F540" i="7"/>
  <c r="F541" i="7"/>
  <c r="F542" i="7"/>
  <c r="F543" i="7"/>
  <c r="F544" i="7"/>
  <c r="F545" i="7"/>
  <c r="F546" i="7"/>
  <c r="F547" i="7"/>
  <c r="F548" i="7"/>
  <c r="F549" i="7"/>
  <c r="F550" i="7"/>
  <c r="F551" i="7"/>
  <c r="F552" i="7"/>
  <c r="F553" i="7"/>
  <c r="F554" i="7"/>
  <c r="F555" i="7"/>
  <c r="F556" i="7"/>
  <c r="F557" i="7"/>
  <c r="F558" i="7"/>
  <c r="F559" i="7"/>
  <c r="F560" i="7"/>
  <c r="F561" i="7"/>
  <c r="F562" i="7"/>
  <c r="F563" i="7"/>
  <c r="F564" i="7"/>
  <c r="F565" i="7"/>
  <c r="F566" i="7"/>
  <c r="F567" i="7"/>
  <c r="F568" i="7"/>
  <c r="F569" i="7"/>
  <c r="F570" i="7"/>
  <c r="F571" i="7"/>
  <c r="F572" i="7"/>
  <c r="F573" i="7"/>
  <c r="F574" i="7"/>
  <c r="F575" i="7"/>
  <c r="F576" i="7"/>
  <c r="F577" i="7"/>
  <c r="F578" i="7"/>
  <c r="F579" i="7"/>
  <c r="F580" i="7"/>
  <c r="F581" i="7"/>
  <c r="F582" i="7"/>
  <c r="F583" i="7"/>
  <c r="F584" i="7"/>
  <c r="F585" i="7"/>
  <c r="F586" i="7"/>
  <c r="F587" i="7"/>
  <c r="F588" i="7"/>
  <c r="F589" i="7"/>
  <c r="F590" i="7"/>
  <c r="F591" i="7"/>
  <c r="F592" i="7"/>
  <c r="F593" i="7"/>
  <c r="F594" i="7"/>
  <c r="F595" i="7"/>
  <c r="F596" i="7"/>
  <c r="F597" i="7"/>
  <c r="F598" i="7"/>
  <c r="F599" i="7"/>
  <c r="F600" i="7"/>
  <c r="F601" i="7"/>
  <c r="F602" i="7"/>
  <c r="F603" i="7"/>
  <c r="F604" i="7"/>
  <c r="F605" i="7"/>
  <c r="F606" i="7"/>
  <c r="F607" i="7"/>
  <c r="F608" i="7"/>
  <c r="F609" i="7"/>
  <c r="F610" i="7"/>
  <c r="F611" i="7"/>
  <c r="F612" i="7"/>
  <c r="F613" i="7"/>
  <c r="F614" i="7"/>
  <c r="F615" i="7"/>
  <c r="F616" i="7"/>
  <c r="F617" i="7"/>
  <c r="F618" i="7"/>
  <c r="F619" i="7"/>
  <c r="F620" i="7"/>
  <c r="F621" i="7"/>
  <c r="F622" i="7"/>
  <c r="F623" i="7"/>
  <c r="F624" i="7"/>
  <c r="F625" i="7"/>
  <c r="F626" i="7"/>
  <c r="F627" i="7"/>
  <c r="F628" i="7"/>
  <c r="F629" i="7"/>
  <c r="F630" i="7"/>
  <c r="F631" i="7"/>
  <c r="F632" i="7"/>
  <c r="F633" i="7"/>
  <c r="F634" i="7"/>
  <c r="F635" i="7"/>
  <c r="F636" i="7"/>
  <c r="F637" i="7"/>
  <c r="F638" i="7"/>
  <c r="F639" i="7"/>
  <c r="F640" i="7"/>
  <c r="F641" i="7"/>
  <c r="F642" i="7"/>
  <c r="F643" i="7"/>
  <c r="F644" i="7"/>
  <c r="F645" i="7"/>
  <c r="F646" i="7"/>
  <c r="F647" i="7"/>
  <c r="F648" i="7"/>
  <c r="F649" i="7"/>
  <c r="F650" i="7"/>
  <c r="F651" i="7"/>
  <c r="F652" i="7"/>
  <c r="F653" i="7"/>
  <c r="F654" i="7"/>
  <c r="F655" i="7"/>
  <c r="F656" i="7"/>
  <c r="F657" i="7"/>
  <c r="F658" i="7"/>
  <c r="F659" i="7"/>
  <c r="F660" i="7"/>
  <c r="F661" i="7"/>
  <c r="F662" i="7"/>
  <c r="F663" i="7"/>
  <c r="F664" i="7"/>
  <c r="F665" i="7"/>
  <c r="F666" i="7"/>
  <c r="F667" i="7"/>
  <c r="F668" i="7"/>
  <c r="F669" i="7"/>
  <c r="F670" i="7"/>
  <c r="F671" i="7"/>
  <c r="F672" i="7"/>
  <c r="F673" i="7"/>
  <c r="F674" i="7"/>
  <c r="F675" i="7"/>
  <c r="F676" i="7"/>
  <c r="F677" i="7"/>
  <c r="F678" i="7"/>
  <c r="F679" i="7"/>
  <c r="F680" i="7"/>
  <c r="F681" i="7"/>
  <c r="F682" i="7"/>
  <c r="F683" i="7"/>
  <c r="F684" i="7"/>
  <c r="F685" i="7"/>
  <c r="F686" i="7"/>
  <c r="F687" i="7"/>
  <c r="F688" i="7"/>
  <c r="F689" i="7"/>
  <c r="F690" i="7"/>
  <c r="F691" i="7"/>
  <c r="F692" i="7"/>
  <c r="F693" i="7"/>
  <c r="F694" i="7"/>
  <c r="F695" i="7"/>
  <c r="F696" i="7"/>
  <c r="F697" i="7"/>
  <c r="F698" i="7"/>
  <c r="F699" i="7"/>
  <c r="F700" i="7"/>
  <c r="F701" i="7"/>
  <c r="F702" i="7"/>
  <c r="F703" i="7"/>
  <c r="F704" i="7"/>
  <c r="F705" i="7"/>
  <c r="F706" i="7"/>
  <c r="F707" i="7"/>
  <c r="F708" i="7"/>
  <c r="F709" i="7"/>
  <c r="F710" i="7"/>
  <c r="F711" i="7"/>
  <c r="F712" i="7"/>
  <c r="F713" i="7"/>
  <c r="F714" i="7"/>
  <c r="F715" i="7"/>
  <c r="F716" i="7"/>
  <c r="F717" i="7"/>
  <c r="F718" i="7"/>
  <c r="F719" i="7"/>
  <c r="F720" i="7"/>
  <c r="F721" i="7"/>
  <c r="F722" i="7"/>
  <c r="F723" i="7"/>
  <c r="F724" i="7"/>
  <c r="F725" i="7"/>
  <c r="F726" i="7"/>
  <c r="F727" i="7"/>
  <c r="F728" i="7"/>
  <c r="F729" i="7"/>
  <c r="F730" i="7"/>
  <c r="F731" i="7"/>
  <c r="F732" i="7"/>
  <c r="F733" i="7"/>
  <c r="F734" i="7"/>
  <c r="F735" i="7"/>
  <c r="F736" i="7"/>
  <c r="F737" i="7"/>
  <c r="F738" i="7"/>
  <c r="F739" i="7"/>
  <c r="F740" i="7"/>
  <c r="F741" i="7"/>
  <c r="F742" i="7"/>
  <c r="F743" i="7"/>
  <c r="F744" i="7"/>
  <c r="F745" i="7"/>
  <c r="F746" i="7"/>
  <c r="F747" i="7"/>
  <c r="F748" i="7"/>
  <c r="F749" i="7"/>
  <c r="F750" i="7"/>
  <c r="F751" i="7"/>
  <c r="F752" i="7"/>
  <c r="F753" i="7"/>
  <c r="F754" i="7"/>
  <c r="F755" i="7"/>
  <c r="F756" i="7"/>
  <c r="F757" i="7"/>
  <c r="F758" i="7"/>
  <c r="F759" i="7"/>
  <c r="F760" i="7"/>
  <c r="F761" i="7"/>
  <c r="F762" i="7"/>
  <c r="F763" i="7"/>
  <c r="F764" i="7"/>
  <c r="F765" i="7"/>
  <c r="F766" i="7"/>
  <c r="F767" i="7"/>
  <c r="F768" i="7"/>
  <c r="F769" i="7"/>
  <c r="F770" i="7"/>
  <c r="F771" i="7"/>
  <c r="F772" i="7"/>
  <c r="F773" i="7"/>
  <c r="F774" i="7"/>
  <c r="F775" i="7"/>
  <c r="F776" i="7"/>
  <c r="F777" i="7"/>
  <c r="F778" i="7"/>
  <c r="F779" i="7"/>
  <c r="F780" i="7"/>
  <c r="F781" i="7"/>
  <c r="F782" i="7"/>
  <c r="F783" i="7"/>
  <c r="F784" i="7"/>
  <c r="F785" i="7"/>
  <c r="F786" i="7"/>
  <c r="F787" i="7"/>
  <c r="F788" i="7"/>
  <c r="F789" i="7"/>
  <c r="F790" i="7"/>
  <c r="F791" i="7"/>
  <c r="F792" i="7"/>
  <c r="F793" i="7"/>
  <c r="F794" i="7"/>
  <c r="F795" i="7"/>
  <c r="F796" i="7"/>
  <c r="F797" i="7"/>
  <c r="F798" i="7"/>
  <c r="F799" i="7"/>
  <c r="F800" i="7"/>
  <c r="F801" i="7"/>
  <c r="F802" i="7"/>
  <c r="F803" i="7"/>
  <c r="F804" i="7"/>
  <c r="F805" i="7"/>
  <c r="F806" i="7"/>
  <c r="F807" i="7"/>
  <c r="F808" i="7"/>
  <c r="F809" i="7"/>
  <c r="F810" i="7"/>
  <c r="F811" i="7"/>
  <c r="F812" i="7"/>
  <c r="F813" i="7"/>
  <c r="F814" i="7"/>
  <c r="F815" i="7"/>
  <c r="F816" i="7"/>
  <c r="F817" i="7"/>
  <c r="F818" i="7"/>
  <c r="F819" i="7"/>
  <c r="F820" i="7"/>
  <c r="F821" i="7"/>
  <c r="F822" i="7"/>
  <c r="F823" i="7"/>
  <c r="F824" i="7"/>
  <c r="F825" i="7"/>
  <c r="F826" i="7"/>
  <c r="F827" i="7"/>
  <c r="F828" i="7"/>
  <c r="F829" i="7"/>
  <c r="F830" i="7"/>
  <c r="F831" i="7"/>
  <c r="F832" i="7"/>
  <c r="F833" i="7"/>
  <c r="F834" i="7"/>
  <c r="F835" i="7"/>
  <c r="F836" i="7"/>
  <c r="F837" i="7"/>
  <c r="F838" i="7"/>
  <c r="F839" i="7"/>
  <c r="F840" i="7"/>
  <c r="F841" i="7"/>
  <c r="F842" i="7"/>
  <c r="F843" i="7"/>
  <c r="F844" i="7"/>
  <c r="F845" i="7"/>
  <c r="F846" i="7"/>
  <c r="F847" i="7"/>
  <c r="F848" i="7"/>
  <c r="F849" i="7"/>
  <c r="F850" i="7"/>
  <c r="F851" i="7"/>
  <c r="F852" i="7"/>
  <c r="F853" i="7"/>
  <c r="F854" i="7"/>
  <c r="F855" i="7"/>
  <c r="F856" i="7"/>
  <c r="F857" i="7"/>
  <c r="F858" i="7"/>
  <c r="F859" i="7"/>
  <c r="F860" i="7"/>
  <c r="F861" i="7"/>
  <c r="F862" i="7"/>
  <c r="F863" i="7"/>
  <c r="F864" i="7"/>
  <c r="F865" i="7"/>
  <c r="F866" i="7"/>
  <c r="F867" i="7"/>
  <c r="F868" i="7"/>
  <c r="F869" i="7"/>
  <c r="F870" i="7"/>
  <c r="F871" i="7"/>
  <c r="F872" i="7"/>
  <c r="F873" i="7"/>
  <c r="F874" i="7"/>
  <c r="F875" i="7"/>
  <c r="F876" i="7"/>
  <c r="F877" i="7"/>
  <c r="F878" i="7"/>
  <c r="F879" i="7"/>
  <c r="F880" i="7"/>
  <c r="F881" i="7"/>
  <c r="F882" i="7"/>
  <c r="F883" i="7"/>
  <c r="F884" i="7"/>
  <c r="F885" i="7"/>
  <c r="F886" i="7"/>
  <c r="F887" i="7"/>
  <c r="F888" i="7"/>
  <c r="F889" i="7"/>
  <c r="F890" i="7"/>
  <c r="F891" i="7"/>
  <c r="F892" i="7"/>
  <c r="F893" i="7"/>
  <c r="F894" i="7"/>
  <c r="F895" i="7"/>
  <c r="F896" i="7"/>
  <c r="F897" i="7"/>
  <c r="F898" i="7"/>
  <c r="F899" i="7"/>
  <c r="F900" i="7"/>
  <c r="F901" i="7"/>
  <c r="F902" i="7"/>
  <c r="F903" i="7"/>
  <c r="F904" i="7"/>
  <c r="F905" i="7"/>
  <c r="F906" i="7"/>
  <c r="F907" i="7"/>
  <c r="F908" i="7"/>
  <c r="F909" i="7"/>
  <c r="F910" i="7"/>
  <c r="F911" i="7"/>
  <c r="F912" i="7"/>
  <c r="F913" i="7"/>
  <c r="F914" i="7"/>
  <c r="F915" i="7"/>
  <c r="F916" i="7"/>
  <c r="F917" i="7"/>
  <c r="F918" i="7"/>
  <c r="F919" i="7"/>
  <c r="F920" i="7"/>
  <c r="F921" i="7"/>
  <c r="F922" i="7"/>
  <c r="F923" i="7"/>
  <c r="F924" i="7"/>
  <c r="F925" i="7"/>
  <c r="F926" i="7"/>
  <c r="F927" i="7"/>
  <c r="F928" i="7"/>
  <c r="F929" i="7"/>
  <c r="F930" i="7"/>
  <c r="F931" i="7"/>
  <c r="F932" i="7"/>
  <c r="F933" i="7"/>
  <c r="F934" i="7"/>
  <c r="F935" i="7"/>
  <c r="F936" i="7"/>
  <c r="F937" i="7"/>
  <c r="F938" i="7"/>
  <c r="F939" i="7"/>
  <c r="F940" i="7"/>
  <c r="F941" i="7"/>
  <c r="F942" i="7"/>
  <c r="F943" i="7"/>
  <c r="F944" i="7"/>
  <c r="F945" i="7"/>
  <c r="F946" i="7"/>
  <c r="F947" i="7"/>
  <c r="F948" i="7"/>
  <c r="F949" i="7"/>
  <c r="F950" i="7"/>
  <c r="F951" i="7"/>
  <c r="F952" i="7"/>
  <c r="F953" i="7"/>
  <c r="F954" i="7"/>
  <c r="F955" i="7"/>
  <c r="F956" i="7"/>
  <c r="F957" i="7"/>
  <c r="F958" i="7"/>
  <c r="F959" i="7"/>
  <c r="F960" i="7"/>
  <c r="F961" i="7"/>
  <c r="F962" i="7"/>
  <c r="F963" i="7"/>
  <c r="F964" i="7"/>
  <c r="F965" i="7"/>
  <c r="F966" i="7"/>
  <c r="F967" i="7"/>
  <c r="F968" i="7"/>
  <c r="F969" i="7"/>
  <c r="F970" i="7"/>
  <c r="F971" i="7"/>
  <c r="F972" i="7"/>
  <c r="F973" i="7"/>
  <c r="F974" i="7"/>
  <c r="F975" i="7"/>
  <c r="F976" i="7"/>
  <c r="F977" i="7"/>
  <c r="F978" i="7"/>
  <c r="F979" i="7"/>
  <c r="F980" i="7"/>
  <c r="F981" i="7"/>
  <c r="F982" i="7"/>
  <c r="F983" i="7"/>
  <c r="F984" i="7"/>
  <c r="F985" i="7"/>
  <c r="F986" i="7"/>
  <c r="F987" i="7"/>
  <c r="F988" i="7"/>
  <c r="F989" i="7"/>
  <c r="F990" i="7"/>
  <c r="F991" i="7"/>
  <c r="F992" i="7"/>
  <c r="F993" i="7"/>
  <c r="F994" i="7"/>
  <c r="F995" i="7"/>
  <c r="F996" i="7"/>
  <c r="F997" i="7"/>
  <c r="F998" i="7"/>
  <c r="F999" i="7"/>
  <c r="F1000" i="7"/>
  <c r="F1001" i="7"/>
  <c r="H2" i="7"/>
  <c r="G2" i="7"/>
  <c r="F2" i="7"/>
  <c r="B12" i="5"/>
  <c r="C12" i="5"/>
  <c r="D25" i="5"/>
  <c r="D177" i="5"/>
  <c r="D9" i="5"/>
  <c r="D133" i="5"/>
  <c r="D52" i="5"/>
  <c r="D154" i="5"/>
  <c r="D158" i="5"/>
  <c r="D180" i="5"/>
  <c r="D191" i="5"/>
  <c r="D196" i="5"/>
  <c r="D21" i="5"/>
  <c r="D179" i="5"/>
  <c r="D72" i="5"/>
  <c r="D115" i="5"/>
  <c r="D111" i="5"/>
  <c r="D64" i="5"/>
  <c r="D105" i="5"/>
  <c r="D116" i="5"/>
  <c r="D121" i="5"/>
  <c r="D84" i="5"/>
  <c r="D27" i="5"/>
  <c r="D181" i="5"/>
  <c r="D171" i="5"/>
  <c r="D186" i="5"/>
  <c r="D110" i="5"/>
  <c r="D43" i="5"/>
  <c r="D169" i="5"/>
  <c r="D23" i="5"/>
  <c r="D61" i="5"/>
  <c r="D41" i="5"/>
  <c r="D28" i="5"/>
  <c r="D20" i="5"/>
  <c r="D32" i="5"/>
  <c r="D167" i="5"/>
  <c r="D58" i="5"/>
  <c r="D143" i="5"/>
  <c r="D98" i="5"/>
  <c r="D35" i="5"/>
  <c r="D16" i="5"/>
  <c r="D100" i="5"/>
  <c r="D15" i="5"/>
  <c r="D138" i="5"/>
  <c r="D7" i="5"/>
  <c r="D159" i="5"/>
  <c r="D26" i="5"/>
  <c r="D134" i="5"/>
  <c r="D107" i="5"/>
  <c r="D88" i="5"/>
  <c r="D69" i="5"/>
  <c r="D192" i="5"/>
  <c r="D80" i="5"/>
  <c r="D145" i="5"/>
  <c r="D131" i="5"/>
  <c r="D4" i="5"/>
  <c r="D68" i="5"/>
  <c r="D149" i="5"/>
  <c r="D97" i="5"/>
  <c r="D55" i="5"/>
  <c r="D74" i="5"/>
  <c r="D12" i="5"/>
  <c r="D160" i="5"/>
  <c r="D6" i="5"/>
  <c r="D195" i="5"/>
  <c r="D11" i="5"/>
  <c r="D118" i="5"/>
  <c r="D132" i="5"/>
  <c r="D198" i="5"/>
  <c r="D119" i="5"/>
  <c r="D114" i="5"/>
  <c r="D37" i="5"/>
  <c r="D136" i="5"/>
  <c r="D113" i="5"/>
  <c r="D36" i="5"/>
  <c r="D31" i="5"/>
  <c r="D95" i="5"/>
  <c r="D82" i="5"/>
  <c r="D78" i="5"/>
  <c r="D170" i="5"/>
  <c r="D142" i="5"/>
  <c r="D42" i="5"/>
  <c r="D101" i="5"/>
  <c r="D176" i="5"/>
  <c r="D127" i="5"/>
  <c r="D56" i="5"/>
  <c r="D102" i="5"/>
  <c r="D130" i="5"/>
  <c r="D54" i="5"/>
  <c r="D63" i="5"/>
  <c r="D188" i="5"/>
  <c r="D129" i="5"/>
  <c r="D146" i="5"/>
  <c r="D33" i="5"/>
  <c r="D93" i="5"/>
  <c r="D155" i="5"/>
  <c r="D125" i="5"/>
  <c r="D106" i="5"/>
  <c r="D49" i="5"/>
  <c r="D144" i="5"/>
  <c r="D50" i="5"/>
  <c r="D14" i="5"/>
  <c r="D60" i="5"/>
  <c r="D51" i="5"/>
  <c r="D83" i="5"/>
  <c r="D174" i="5"/>
  <c r="D148" i="5"/>
  <c r="D29" i="5"/>
  <c r="D152" i="5"/>
  <c r="D57" i="5"/>
  <c r="D53" i="5"/>
  <c r="D147" i="5"/>
  <c r="D75" i="5"/>
  <c r="D79" i="5"/>
  <c r="D178" i="5"/>
  <c r="D5" i="5"/>
  <c r="D13" i="5"/>
  <c r="D166" i="5"/>
  <c r="D150" i="5"/>
  <c r="D89" i="5"/>
  <c r="D87" i="5"/>
  <c r="D151" i="5"/>
  <c r="D38" i="5"/>
  <c r="D163" i="5"/>
  <c r="D141" i="5"/>
  <c r="D39" i="5"/>
  <c r="D24" i="5"/>
  <c r="D46" i="5"/>
  <c r="D2" i="5"/>
  <c r="D3" i="5"/>
  <c r="D168" i="5"/>
  <c r="D184" i="5"/>
  <c r="D117" i="5"/>
  <c r="D120" i="5"/>
  <c r="D183" i="5"/>
  <c r="D66" i="5"/>
  <c r="D135" i="5"/>
  <c r="D76" i="5"/>
  <c r="D122" i="5"/>
  <c r="D103" i="5"/>
  <c r="D59" i="5"/>
  <c r="D70" i="5"/>
  <c r="D194" i="5"/>
  <c r="D22" i="5"/>
  <c r="D40" i="5"/>
  <c r="D164" i="5"/>
  <c r="D17" i="5"/>
  <c r="D189" i="5"/>
  <c r="D187" i="5"/>
  <c r="D85" i="5"/>
  <c r="D140" i="5"/>
  <c r="D153" i="5"/>
  <c r="D172" i="5"/>
  <c r="D99" i="5"/>
  <c r="D165" i="5"/>
  <c r="D94" i="5"/>
  <c r="D173" i="5"/>
  <c r="D34" i="5"/>
  <c r="D47" i="5"/>
  <c r="D71" i="5"/>
  <c r="D124" i="5"/>
  <c r="D18" i="5"/>
  <c r="D175" i="5"/>
  <c r="D19" i="5"/>
  <c r="D137" i="5"/>
  <c r="D190" i="5"/>
  <c r="D92" i="5"/>
  <c r="D112" i="5"/>
  <c r="D8" i="5"/>
  <c r="D185" i="5"/>
  <c r="D30" i="5"/>
  <c r="D156" i="5"/>
  <c r="D77" i="5"/>
  <c r="D182" i="5"/>
  <c r="D197" i="5"/>
  <c r="D157" i="5"/>
  <c r="D123" i="5"/>
  <c r="D65" i="5"/>
  <c r="D48" i="5"/>
  <c r="D139" i="5"/>
  <c r="D162" i="5"/>
  <c r="D90" i="5"/>
  <c r="D67" i="5"/>
  <c r="D161" i="5"/>
  <c r="D10" i="5"/>
  <c r="D62" i="5"/>
  <c r="D86" i="5"/>
  <c r="D44" i="5"/>
  <c r="D104" i="5"/>
  <c r="D81" i="5"/>
  <c r="D45" i="5"/>
  <c r="D128" i="5"/>
  <c r="D73" i="5"/>
  <c r="D91" i="5"/>
  <c r="D126" i="5"/>
  <c r="D108" i="5"/>
  <c r="D193" i="5"/>
  <c r="D96" i="5"/>
  <c r="D109" i="5"/>
  <c r="C25" i="5"/>
  <c r="C177" i="5"/>
  <c r="C9" i="5"/>
  <c r="C133" i="5"/>
  <c r="C52" i="5"/>
  <c r="C154" i="5"/>
  <c r="C158" i="5"/>
  <c r="C180" i="5"/>
  <c r="C191" i="5"/>
  <c r="C196" i="5"/>
  <c r="C21" i="5"/>
  <c r="C179" i="5"/>
  <c r="C72" i="5"/>
  <c r="C115" i="5"/>
  <c r="C111" i="5"/>
  <c r="C64" i="5"/>
  <c r="C105" i="5"/>
  <c r="C116" i="5"/>
  <c r="C121" i="5"/>
  <c r="C84" i="5"/>
  <c r="C27" i="5"/>
  <c r="C181" i="5"/>
  <c r="C171" i="5"/>
  <c r="C186" i="5"/>
  <c r="C110" i="5"/>
  <c r="C43" i="5"/>
  <c r="C169" i="5"/>
  <c r="C23" i="5"/>
  <c r="C61" i="5"/>
  <c r="C41" i="5"/>
  <c r="C28" i="5"/>
  <c r="C20" i="5"/>
  <c r="C32" i="5"/>
  <c r="C167" i="5"/>
  <c r="C58" i="5"/>
  <c r="C143" i="5"/>
  <c r="C98" i="5"/>
  <c r="C35" i="5"/>
  <c r="C16" i="5"/>
  <c r="C100" i="5"/>
  <c r="C15" i="5"/>
  <c r="C138" i="5"/>
  <c r="C7" i="5"/>
  <c r="C159" i="5"/>
  <c r="C26" i="5"/>
  <c r="C134" i="5"/>
  <c r="C107" i="5"/>
  <c r="C88" i="5"/>
  <c r="C69" i="5"/>
  <c r="C192" i="5"/>
  <c r="C80" i="5"/>
  <c r="C145" i="5"/>
  <c r="C131" i="5"/>
  <c r="C4" i="5"/>
  <c r="C68" i="5"/>
  <c r="C149" i="5"/>
  <c r="C97" i="5"/>
  <c r="C55" i="5"/>
  <c r="C74" i="5"/>
  <c r="C160" i="5"/>
  <c r="C6" i="5"/>
  <c r="C195" i="5"/>
  <c r="C11" i="5"/>
  <c r="C118" i="5"/>
  <c r="C132" i="5"/>
  <c r="C198" i="5"/>
  <c r="C119" i="5"/>
  <c r="C114" i="5"/>
  <c r="C37" i="5"/>
  <c r="C136" i="5"/>
  <c r="C113" i="5"/>
  <c r="C36" i="5"/>
  <c r="C31" i="5"/>
  <c r="C95" i="5"/>
  <c r="C82" i="5"/>
  <c r="C78" i="5"/>
  <c r="C170" i="5"/>
  <c r="C142" i="5"/>
  <c r="C42" i="5"/>
  <c r="C101" i="5"/>
  <c r="C176" i="5"/>
  <c r="C127" i="5"/>
  <c r="C56" i="5"/>
  <c r="C102" i="5"/>
  <c r="C130" i="5"/>
  <c r="C54" i="5"/>
  <c r="C63" i="5"/>
  <c r="C188" i="5"/>
  <c r="C129" i="5"/>
  <c r="C146" i="5"/>
  <c r="C33" i="5"/>
  <c r="C93" i="5"/>
  <c r="C155" i="5"/>
  <c r="C125" i="5"/>
  <c r="C106" i="5"/>
  <c r="C49" i="5"/>
  <c r="C144" i="5"/>
  <c r="C50" i="5"/>
  <c r="C14" i="5"/>
  <c r="C60" i="5"/>
  <c r="C51" i="5"/>
  <c r="C83" i="5"/>
  <c r="C174" i="5"/>
  <c r="C148" i="5"/>
  <c r="C29" i="5"/>
  <c r="C152" i="5"/>
  <c r="C57" i="5"/>
  <c r="C53" i="5"/>
  <c r="C147" i="5"/>
  <c r="C75" i="5"/>
  <c r="C79" i="5"/>
  <c r="C178" i="5"/>
  <c r="C5" i="5"/>
  <c r="C13" i="5"/>
  <c r="C166" i="5"/>
  <c r="C150" i="5"/>
  <c r="C89" i="5"/>
  <c r="C87" i="5"/>
  <c r="C151" i="5"/>
  <c r="C38" i="5"/>
  <c r="C163" i="5"/>
  <c r="C141" i="5"/>
  <c r="C39" i="5"/>
  <c r="C24" i="5"/>
  <c r="C46" i="5"/>
  <c r="C2" i="5"/>
  <c r="C3" i="5"/>
  <c r="C168" i="5"/>
  <c r="C184" i="5"/>
  <c r="C117" i="5"/>
  <c r="C120" i="5"/>
  <c r="C183" i="5"/>
  <c r="C66" i="5"/>
  <c r="C135" i="5"/>
  <c r="C76" i="5"/>
  <c r="C122" i="5"/>
  <c r="C103" i="5"/>
  <c r="C59" i="5"/>
  <c r="C70" i="5"/>
  <c r="C194" i="5"/>
  <c r="C22" i="5"/>
  <c r="C40" i="5"/>
  <c r="C164" i="5"/>
  <c r="C17" i="5"/>
  <c r="C189" i="5"/>
  <c r="C187" i="5"/>
  <c r="C85" i="5"/>
  <c r="C140" i="5"/>
  <c r="C153" i="5"/>
  <c r="C172" i="5"/>
  <c r="C99" i="5"/>
  <c r="C165" i="5"/>
  <c r="C94" i="5"/>
  <c r="C173" i="5"/>
  <c r="C34" i="5"/>
  <c r="C47" i="5"/>
  <c r="C71" i="5"/>
  <c r="C124" i="5"/>
  <c r="C18" i="5"/>
  <c r="C175" i="5"/>
  <c r="C19" i="5"/>
  <c r="C137" i="5"/>
  <c r="C190" i="5"/>
  <c r="C92" i="5"/>
  <c r="C112" i="5"/>
  <c r="C8" i="5"/>
  <c r="C185" i="5"/>
  <c r="C30" i="5"/>
  <c r="C156" i="5"/>
  <c r="C77" i="5"/>
  <c r="C182" i="5"/>
  <c r="C197" i="5"/>
  <c r="C157" i="5"/>
  <c r="C123" i="5"/>
  <c r="C65" i="5"/>
  <c r="C48" i="5"/>
  <c r="C139" i="5"/>
  <c r="C162" i="5"/>
  <c r="C90" i="5"/>
  <c r="C67" i="5"/>
  <c r="C161" i="5"/>
  <c r="C10" i="5"/>
  <c r="C62" i="5"/>
  <c r="C86" i="5"/>
  <c r="C44" i="5"/>
  <c r="C104" i="5"/>
  <c r="C81" i="5"/>
  <c r="C45" i="5"/>
  <c r="C128" i="5"/>
  <c r="C73" i="5"/>
  <c r="C91" i="5"/>
  <c r="C126" i="5"/>
  <c r="C108" i="5"/>
  <c r="C193" i="5"/>
  <c r="C96" i="5"/>
  <c r="C109" i="5"/>
  <c r="B25" i="5"/>
  <c r="B177" i="5"/>
  <c r="B9" i="5"/>
  <c r="B133" i="5"/>
  <c r="B52" i="5"/>
  <c r="B154" i="5"/>
  <c r="B158" i="5"/>
  <c r="B180" i="5"/>
  <c r="B191" i="5"/>
  <c r="B196" i="5"/>
  <c r="B21" i="5"/>
  <c r="B179" i="5"/>
  <c r="B72" i="5"/>
  <c r="B115" i="5"/>
  <c r="B111" i="5"/>
  <c r="B64" i="5"/>
  <c r="B105" i="5"/>
  <c r="B116" i="5"/>
  <c r="B121" i="5"/>
  <c r="B84" i="5"/>
  <c r="B27" i="5"/>
  <c r="B181" i="5"/>
  <c r="B171" i="5"/>
  <c r="B186" i="5"/>
  <c r="B110" i="5"/>
  <c r="B43" i="5"/>
  <c r="B169" i="5"/>
  <c r="B23" i="5"/>
  <c r="B61" i="5"/>
  <c r="B41" i="5"/>
  <c r="B28" i="5"/>
  <c r="B20" i="5"/>
  <c r="B32" i="5"/>
  <c r="B167" i="5"/>
  <c r="B58" i="5"/>
  <c r="B143" i="5"/>
  <c r="B98" i="5"/>
  <c r="B35" i="5"/>
  <c r="B16" i="5"/>
  <c r="B100" i="5"/>
  <c r="B15" i="5"/>
  <c r="B138" i="5"/>
  <c r="B7" i="5"/>
  <c r="B159" i="5"/>
  <c r="B26" i="5"/>
  <c r="B134" i="5"/>
  <c r="B107" i="5"/>
  <c r="B88" i="5"/>
  <c r="B69" i="5"/>
  <c r="B192" i="5"/>
  <c r="B80" i="5"/>
  <c r="B145" i="5"/>
  <c r="B131" i="5"/>
  <c r="B4" i="5"/>
  <c r="B68" i="5"/>
  <c r="B149" i="5"/>
  <c r="B97" i="5"/>
  <c r="B55" i="5"/>
  <c r="B74" i="5"/>
  <c r="B160" i="5"/>
  <c r="B6" i="5"/>
  <c r="B195" i="5"/>
  <c r="B11" i="5"/>
  <c r="B118" i="5"/>
  <c r="B132" i="5"/>
  <c r="B198" i="5"/>
  <c r="B119" i="5"/>
  <c r="B114" i="5"/>
  <c r="B37" i="5"/>
  <c r="B136" i="5"/>
  <c r="B113" i="5"/>
  <c r="B36" i="5"/>
  <c r="B31" i="5"/>
  <c r="B95" i="5"/>
  <c r="B82" i="5"/>
  <c r="B78" i="5"/>
  <c r="B170" i="5"/>
  <c r="B142" i="5"/>
  <c r="B42" i="5"/>
  <c r="B101" i="5"/>
  <c r="B176" i="5"/>
  <c r="B127" i="5"/>
  <c r="B56" i="5"/>
  <c r="B102" i="5"/>
  <c r="B130" i="5"/>
  <c r="B54" i="5"/>
  <c r="B63" i="5"/>
  <c r="B188" i="5"/>
  <c r="B129" i="5"/>
  <c r="B146" i="5"/>
  <c r="B33" i="5"/>
  <c r="B93" i="5"/>
  <c r="B155" i="5"/>
  <c r="B125" i="5"/>
  <c r="B106" i="5"/>
  <c r="B49" i="5"/>
  <c r="B144" i="5"/>
  <c r="B50" i="5"/>
  <c r="B14" i="5"/>
  <c r="B60" i="5"/>
  <c r="B51" i="5"/>
  <c r="B83" i="5"/>
  <c r="B174" i="5"/>
  <c r="B148" i="5"/>
  <c r="B29" i="5"/>
  <c r="B152" i="5"/>
  <c r="B57" i="5"/>
  <c r="B53" i="5"/>
  <c r="B147" i="5"/>
  <c r="B75" i="5"/>
  <c r="B79" i="5"/>
  <c r="B178" i="5"/>
  <c r="B5" i="5"/>
  <c r="B13" i="5"/>
  <c r="B166" i="5"/>
  <c r="B150" i="5"/>
  <c r="B89" i="5"/>
  <c r="B87" i="5"/>
  <c r="B151" i="5"/>
  <c r="B38" i="5"/>
  <c r="B163" i="5"/>
  <c r="B141" i="5"/>
  <c r="B39" i="5"/>
  <c r="B24" i="5"/>
  <c r="B46" i="5"/>
  <c r="B2" i="5"/>
  <c r="B3" i="5"/>
  <c r="B168" i="5"/>
  <c r="B184" i="5"/>
  <c r="B117" i="5"/>
  <c r="B120" i="5"/>
  <c r="B183" i="5"/>
  <c r="B66" i="5"/>
  <c r="B135" i="5"/>
  <c r="B76" i="5"/>
  <c r="B122" i="5"/>
  <c r="B103" i="5"/>
  <c r="B59" i="5"/>
  <c r="B70" i="5"/>
  <c r="B194" i="5"/>
  <c r="B22" i="5"/>
  <c r="B40" i="5"/>
  <c r="B164" i="5"/>
  <c r="B17" i="5"/>
  <c r="B189" i="5"/>
  <c r="B187" i="5"/>
  <c r="B85" i="5"/>
  <c r="B140" i="5"/>
  <c r="B153" i="5"/>
  <c r="B172" i="5"/>
  <c r="B99" i="5"/>
  <c r="B165" i="5"/>
  <c r="B94" i="5"/>
  <c r="B173" i="5"/>
  <c r="B34" i="5"/>
  <c r="B47" i="5"/>
  <c r="B71" i="5"/>
  <c r="B124" i="5"/>
  <c r="B18" i="5"/>
  <c r="B175" i="5"/>
  <c r="B19" i="5"/>
  <c r="B137" i="5"/>
  <c r="B190" i="5"/>
  <c r="B92" i="5"/>
  <c r="B112" i="5"/>
  <c r="B8" i="5"/>
  <c r="B185" i="5"/>
  <c r="B30" i="5"/>
  <c r="B156" i="5"/>
  <c r="B77" i="5"/>
  <c r="B182" i="5"/>
  <c r="B197" i="5"/>
  <c r="B157" i="5"/>
  <c r="B123" i="5"/>
  <c r="B65" i="5"/>
  <c r="B48" i="5"/>
  <c r="B139" i="5"/>
  <c r="B162" i="5"/>
  <c r="B90" i="5"/>
  <c r="B67" i="5"/>
  <c r="B161" i="5"/>
  <c r="B10" i="5"/>
  <c r="B62" i="5"/>
  <c r="B86" i="5"/>
  <c r="B44" i="5"/>
  <c r="B104" i="5"/>
  <c r="B81" i="5"/>
  <c r="B45" i="5"/>
  <c r="B128" i="5"/>
  <c r="B73" i="5"/>
  <c r="B91" i="5"/>
  <c r="B126" i="5"/>
  <c r="B108" i="5"/>
  <c r="B193" i="5"/>
  <c r="B96" i="5"/>
  <c r="B109" i="5"/>
  <c r="B19" i="2"/>
  <c r="B17" i="2"/>
  <c r="K4" i="2"/>
  <c r="K5" i="2"/>
  <c r="K6" i="2"/>
  <c r="K7" i="2"/>
  <c r="K8" i="2"/>
  <c r="K9" i="2"/>
  <c r="K10" i="2"/>
  <c r="K11" i="2"/>
  <c r="K12" i="2"/>
  <c r="K13" i="2"/>
  <c r="K14" i="2"/>
  <c r="K3" i="2"/>
  <c r="B15" i="2"/>
  <c r="J4" i="2"/>
  <c r="J5" i="2"/>
  <c r="J6" i="2"/>
  <c r="J7" i="2"/>
  <c r="J8" i="2"/>
  <c r="J9" i="2"/>
  <c r="J10" i="2"/>
  <c r="J11" i="2"/>
  <c r="J12" i="2"/>
  <c r="J13" i="2"/>
  <c r="J14" i="2"/>
  <c r="J3" i="2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2" i="3"/>
  <c r="F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2" i="3"/>
  <c r="I4" i="2"/>
  <c r="I5" i="2"/>
  <c r="I6" i="2"/>
  <c r="I7" i="2"/>
  <c r="I8" i="2"/>
  <c r="I9" i="2"/>
  <c r="I10" i="2"/>
  <c r="I11" i="2"/>
  <c r="I12" i="2"/>
  <c r="I13" i="2"/>
  <c r="I14" i="2"/>
  <c r="I3" i="2"/>
  <c r="H4" i="2"/>
  <c r="H5" i="2"/>
  <c r="H6" i="2"/>
  <c r="H7" i="2"/>
  <c r="H8" i="2"/>
  <c r="H9" i="2"/>
  <c r="H10" i="2"/>
  <c r="H11" i="2"/>
  <c r="H12" i="2"/>
  <c r="H13" i="2"/>
  <c r="H14" i="2"/>
  <c r="H3" i="2"/>
  <c r="F705" i="3" l="1"/>
  <c r="F552" i="3"/>
  <c r="F186" i="3"/>
  <c r="F737" i="3"/>
  <c r="F753" i="3"/>
  <c r="F697" i="3"/>
  <c r="F594" i="3"/>
  <c r="F3" i="3"/>
  <c r="F11" i="3"/>
  <c r="F19" i="3"/>
  <c r="F27" i="3"/>
  <c r="F35" i="3"/>
  <c r="F43" i="3"/>
  <c r="F51" i="3"/>
  <c r="F59" i="3"/>
  <c r="F67" i="3"/>
  <c r="F75" i="3"/>
  <c r="F83" i="3"/>
  <c r="F91" i="3"/>
  <c r="F99" i="3"/>
  <c r="F107" i="3"/>
  <c r="F115" i="3"/>
  <c r="F123" i="3"/>
  <c r="F131" i="3"/>
  <c r="F139" i="3"/>
  <c r="F147" i="3"/>
  <c r="F155" i="3"/>
  <c r="F163" i="3"/>
  <c r="F171" i="3"/>
  <c r="F179" i="3"/>
  <c r="F187" i="3"/>
  <c r="F195" i="3"/>
  <c r="F203" i="3"/>
  <c r="F211" i="3"/>
  <c r="F219" i="3"/>
  <c r="F227" i="3"/>
  <c r="F235" i="3"/>
  <c r="F243" i="3"/>
  <c r="F251" i="3"/>
  <c r="F259" i="3"/>
  <c r="F267" i="3"/>
  <c r="F275" i="3"/>
  <c r="F283" i="3"/>
  <c r="F291" i="3"/>
  <c r="F299" i="3"/>
  <c r="F307" i="3"/>
  <c r="F315" i="3"/>
  <c r="F323" i="3"/>
  <c r="F331" i="3"/>
  <c r="F339" i="3"/>
  <c r="F347" i="3"/>
  <c r="F355" i="3"/>
  <c r="F363" i="3"/>
  <c r="F371" i="3"/>
  <c r="F379" i="3"/>
  <c r="F387" i="3"/>
  <c r="F395" i="3"/>
  <c r="F403" i="3"/>
  <c r="F411" i="3"/>
  <c r="F419" i="3"/>
  <c r="F427" i="3"/>
  <c r="F435" i="3"/>
  <c r="F443" i="3"/>
  <c r="F451" i="3"/>
  <c r="F459" i="3"/>
  <c r="F467" i="3"/>
  <c r="F475" i="3"/>
  <c r="F483" i="3"/>
  <c r="F491" i="3"/>
  <c r="F499" i="3"/>
  <c r="F507" i="3"/>
  <c r="F515" i="3"/>
  <c r="F523" i="3"/>
  <c r="F531" i="3"/>
  <c r="F539" i="3"/>
  <c r="F4" i="3"/>
  <c r="F12" i="3"/>
  <c r="F20" i="3"/>
  <c r="F28" i="3"/>
  <c r="F36" i="3"/>
  <c r="F44" i="3"/>
  <c r="F52" i="3"/>
  <c r="F60" i="3"/>
  <c r="F68" i="3"/>
  <c r="F76" i="3"/>
  <c r="F84" i="3"/>
  <c r="F92" i="3"/>
  <c r="F100" i="3"/>
  <c r="F108" i="3"/>
  <c r="F116" i="3"/>
  <c r="F124" i="3"/>
  <c r="F132" i="3"/>
  <c r="F140" i="3"/>
  <c r="F148" i="3"/>
  <c r="F156" i="3"/>
  <c r="F164" i="3"/>
  <c r="F172" i="3"/>
  <c r="F180" i="3"/>
  <c r="F188" i="3"/>
  <c r="F196" i="3"/>
  <c r="F204" i="3"/>
  <c r="F212" i="3"/>
  <c r="F220" i="3"/>
  <c r="F228" i="3"/>
  <c r="F236" i="3"/>
  <c r="F244" i="3"/>
  <c r="F252" i="3"/>
  <c r="F260" i="3"/>
  <c r="F268" i="3"/>
  <c r="F276" i="3"/>
  <c r="F284" i="3"/>
  <c r="F292" i="3"/>
  <c r="F300" i="3"/>
  <c r="F308" i="3"/>
  <c r="F316" i="3"/>
  <c r="F324" i="3"/>
  <c r="F332" i="3"/>
  <c r="F340" i="3"/>
  <c r="F348" i="3"/>
  <c r="F356" i="3"/>
  <c r="F364" i="3"/>
  <c r="F372" i="3"/>
  <c r="F380" i="3"/>
  <c r="F388" i="3"/>
  <c r="F396" i="3"/>
  <c r="F404" i="3"/>
  <c r="F412" i="3"/>
  <c r="F420" i="3"/>
  <c r="F428" i="3"/>
  <c r="F436" i="3"/>
  <c r="F444" i="3"/>
  <c r="F452" i="3"/>
  <c r="F460" i="3"/>
  <c r="F468" i="3"/>
  <c r="F476" i="3"/>
  <c r="F484" i="3"/>
  <c r="F492" i="3"/>
  <c r="F500" i="3"/>
  <c r="F508" i="3"/>
  <c r="F516" i="3"/>
  <c r="F524" i="3"/>
  <c r="F532" i="3"/>
  <c r="F540" i="3"/>
  <c r="F548" i="3"/>
  <c r="F556" i="3"/>
  <c r="F564" i="3"/>
  <c r="F5" i="3"/>
  <c r="F13" i="3"/>
  <c r="F21" i="3"/>
  <c r="F29" i="3"/>
  <c r="F37" i="3"/>
  <c r="F45" i="3"/>
  <c r="F53" i="3"/>
  <c r="F61" i="3"/>
  <c r="F69" i="3"/>
  <c r="F77" i="3"/>
  <c r="F85" i="3"/>
  <c r="F93" i="3"/>
  <c r="F101" i="3"/>
  <c r="F109" i="3"/>
  <c r="F117" i="3"/>
  <c r="F125" i="3"/>
  <c r="F133" i="3"/>
  <c r="F141" i="3"/>
  <c r="F149" i="3"/>
  <c r="F157" i="3"/>
  <c r="F165" i="3"/>
  <c r="F173" i="3"/>
  <c r="F181" i="3"/>
  <c r="F189" i="3"/>
  <c r="F197" i="3"/>
  <c r="F205" i="3"/>
  <c r="F213" i="3"/>
  <c r="F221" i="3"/>
  <c r="F229" i="3"/>
  <c r="F237" i="3"/>
  <c r="F245" i="3"/>
  <c r="F253" i="3"/>
  <c r="F261" i="3"/>
  <c r="F269" i="3"/>
  <c r="F277" i="3"/>
  <c r="F285" i="3"/>
  <c r="F293" i="3"/>
  <c r="F301" i="3"/>
  <c r="F309" i="3"/>
  <c r="F317" i="3"/>
  <c r="F325" i="3"/>
  <c r="F333" i="3"/>
  <c r="F341" i="3"/>
  <c r="F349" i="3"/>
  <c r="F357" i="3"/>
  <c r="F365" i="3"/>
  <c r="F373" i="3"/>
  <c r="F381" i="3"/>
  <c r="F389" i="3"/>
  <c r="F397" i="3"/>
  <c r="F405" i="3"/>
  <c r="F413" i="3"/>
  <c r="F421" i="3"/>
  <c r="F429" i="3"/>
  <c r="F437" i="3"/>
  <c r="F445" i="3"/>
  <c r="F453" i="3"/>
  <c r="F461" i="3"/>
  <c r="F469" i="3"/>
  <c r="F477" i="3"/>
  <c r="F485" i="3"/>
  <c r="F493" i="3"/>
  <c r="F501" i="3"/>
  <c r="F509" i="3"/>
  <c r="F517" i="3"/>
  <c r="F525" i="3"/>
  <c r="F533" i="3"/>
  <c r="F541" i="3"/>
  <c r="F549" i="3"/>
  <c r="F557" i="3"/>
  <c r="F565" i="3"/>
  <c r="F573" i="3"/>
  <c r="F581" i="3"/>
  <c r="F589" i="3"/>
  <c r="F597" i="3"/>
  <c r="F605" i="3"/>
  <c r="F613" i="3"/>
  <c r="F621" i="3"/>
  <c r="F629" i="3"/>
  <c r="F637" i="3"/>
  <c r="F645" i="3"/>
  <c r="F653" i="3"/>
  <c r="F661" i="3"/>
  <c r="F669" i="3"/>
  <c r="F6" i="3"/>
  <c r="F14" i="3"/>
  <c r="F22" i="3"/>
  <c r="F30" i="3"/>
  <c r="F38" i="3"/>
  <c r="F46" i="3"/>
  <c r="F54" i="3"/>
  <c r="F62" i="3"/>
  <c r="F70" i="3"/>
  <c r="F78" i="3"/>
  <c r="F86" i="3"/>
  <c r="F94" i="3"/>
  <c r="F102" i="3"/>
  <c r="F110" i="3"/>
  <c r="F118" i="3"/>
  <c r="F126" i="3"/>
  <c r="F134" i="3"/>
  <c r="F142" i="3"/>
  <c r="F150" i="3"/>
  <c r="F158" i="3"/>
  <c r="F166" i="3"/>
  <c r="F174" i="3"/>
  <c r="F182" i="3"/>
  <c r="F190" i="3"/>
  <c r="F198" i="3"/>
  <c r="F206" i="3"/>
  <c r="F214" i="3"/>
  <c r="F222" i="3"/>
  <c r="F230" i="3"/>
  <c r="F238" i="3"/>
  <c r="F246" i="3"/>
  <c r="F254" i="3"/>
  <c r="F262" i="3"/>
  <c r="F270" i="3"/>
  <c r="F278" i="3"/>
  <c r="F286" i="3"/>
  <c r="F294" i="3"/>
  <c r="F302" i="3"/>
  <c r="F310" i="3"/>
  <c r="F318" i="3"/>
  <c r="F326" i="3"/>
  <c r="F334" i="3"/>
  <c r="F342" i="3"/>
  <c r="F350" i="3"/>
  <c r="F358" i="3"/>
  <c r="F366" i="3"/>
  <c r="F374" i="3"/>
  <c r="F382" i="3"/>
  <c r="F390" i="3"/>
  <c r="F398" i="3"/>
  <c r="F406" i="3"/>
  <c r="F414" i="3"/>
  <c r="F422" i="3"/>
  <c r="F430" i="3"/>
  <c r="F438" i="3"/>
  <c r="F446" i="3"/>
  <c r="F454" i="3"/>
  <c r="F462" i="3"/>
  <c r="F470" i="3"/>
  <c r="F478" i="3"/>
  <c r="F486" i="3"/>
  <c r="F494" i="3"/>
  <c r="F502" i="3"/>
  <c r="F510" i="3"/>
  <c r="F518" i="3"/>
  <c r="F526" i="3"/>
  <c r="F534" i="3"/>
  <c r="F542" i="3"/>
  <c r="F550" i="3"/>
  <c r="F558" i="3"/>
  <c r="F566" i="3"/>
  <c r="F574" i="3"/>
  <c r="F582" i="3"/>
  <c r="F590" i="3"/>
  <c r="F598" i="3"/>
  <c r="F606" i="3"/>
  <c r="F614" i="3"/>
  <c r="F622" i="3"/>
  <c r="F630" i="3"/>
  <c r="F638" i="3"/>
  <c r="F646" i="3"/>
  <c r="F654" i="3"/>
  <c r="F662" i="3"/>
  <c r="F670" i="3"/>
  <c r="F7" i="3"/>
  <c r="F15" i="3"/>
  <c r="F23" i="3"/>
  <c r="F31" i="3"/>
  <c r="F39" i="3"/>
  <c r="F47" i="3"/>
  <c r="F55" i="3"/>
  <c r="F63" i="3"/>
  <c r="F71" i="3"/>
  <c r="F79" i="3"/>
  <c r="F87" i="3"/>
  <c r="F95" i="3"/>
  <c r="F103" i="3"/>
  <c r="F111" i="3"/>
  <c r="F119" i="3"/>
  <c r="F127" i="3"/>
  <c r="F135" i="3"/>
  <c r="F143" i="3"/>
  <c r="F151" i="3"/>
  <c r="F159" i="3"/>
  <c r="F167" i="3"/>
  <c r="F175" i="3"/>
  <c r="F183" i="3"/>
  <c r="F191" i="3"/>
  <c r="F199" i="3"/>
  <c r="F207" i="3"/>
  <c r="F215" i="3"/>
  <c r="F223" i="3"/>
  <c r="F231" i="3"/>
  <c r="F239" i="3"/>
  <c r="F247" i="3"/>
  <c r="F255" i="3"/>
  <c r="F263" i="3"/>
  <c r="F271" i="3"/>
  <c r="F279" i="3"/>
  <c r="F287" i="3"/>
  <c r="F295" i="3"/>
  <c r="F303" i="3"/>
  <c r="F311" i="3"/>
  <c r="F319" i="3"/>
  <c r="F327" i="3"/>
  <c r="F335" i="3"/>
  <c r="F343" i="3"/>
  <c r="F351" i="3"/>
  <c r="F359" i="3"/>
  <c r="F367" i="3"/>
  <c r="F375" i="3"/>
  <c r="F383" i="3"/>
  <c r="F391" i="3"/>
  <c r="F399" i="3"/>
  <c r="F407" i="3"/>
  <c r="F415" i="3"/>
  <c r="F423" i="3"/>
  <c r="F431" i="3"/>
  <c r="F439" i="3"/>
  <c r="F447" i="3"/>
  <c r="F455" i="3"/>
  <c r="F463" i="3"/>
  <c r="F471" i="3"/>
  <c r="F479" i="3"/>
  <c r="F487" i="3"/>
  <c r="F495" i="3"/>
  <c r="F503" i="3"/>
  <c r="F511" i="3"/>
  <c r="F519" i="3"/>
  <c r="F527" i="3"/>
  <c r="F535" i="3"/>
  <c r="F543" i="3"/>
  <c r="F551" i="3"/>
  <c r="F8" i="3"/>
  <c r="F16" i="3"/>
  <c r="F24" i="3"/>
  <c r="F32" i="3"/>
  <c r="F40" i="3"/>
  <c r="F48" i="3"/>
  <c r="F56" i="3"/>
  <c r="F64" i="3"/>
  <c r="F72" i="3"/>
  <c r="F80" i="3"/>
  <c r="F88" i="3"/>
  <c r="F96" i="3"/>
  <c r="F104" i="3"/>
  <c r="F112" i="3"/>
  <c r="F120" i="3"/>
  <c r="F128" i="3"/>
  <c r="F136" i="3"/>
  <c r="F144" i="3"/>
  <c r="F152" i="3"/>
  <c r="F160" i="3"/>
  <c r="F168" i="3"/>
  <c r="F176" i="3"/>
  <c r="F184" i="3"/>
  <c r="F192" i="3"/>
  <c r="F200" i="3"/>
  <c r="F208" i="3"/>
  <c r="F216" i="3"/>
  <c r="F224" i="3"/>
  <c r="F232" i="3"/>
  <c r="F240" i="3"/>
  <c r="F248" i="3"/>
  <c r="F256" i="3"/>
  <c r="F264" i="3"/>
  <c r="F272" i="3"/>
  <c r="F280" i="3"/>
  <c r="F288" i="3"/>
  <c r="F296" i="3"/>
  <c r="F304" i="3"/>
  <c r="F312" i="3"/>
  <c r="F320" i="3"/>
  <c r="F328" i="3"/>
  <c r="F336" i="3"/>
  <c r="F344" i="3"/>
  <c r="F352" i="3"/>
  <c r="F360" i="3"/>
  <c r="F368" i="3"/>
  <c r="F376" i="3"/>
  <c r="F384" i="3"/>
  <c r="F392" i="3"/>
  <c r="F400" i="3"/>
  <c r="F408" i="3"/>
  <c r="F416" i="3"/>
  <c r="F424" i="3"/>
  <c r="F432" i="3"/>
  <c r="F440" i="3"/>
  <c r="F448" i="3"/>
  <c r="F456" i="3"/>
  <c r="F464" i="3"/>
  <c r="F472" i="3"/>
  <c r="F480" i="3"/>
  <c r="F488" i="3"/>
  <c r="F496" i="3"/>
  <c r="F504" i="3"/>
  <c r="F512" i="3"/>
  <c r="F520" i="3"/>
  <c r="F528" i="3"/>
  <c r="F536" i="3"/>
  <c r="F9" i="3"/>
  <c r="F17" i="3"/>
  <c r="F25" i="3"/>
  <c r="F33" i="3"/>
  <c r="F41" i="3"/>
  <c r="F49" i="3"/>
  <c r="F57" i="3"/>
  <c r="F65" i="3"/>
  <c r="F73" i="3"/>
  <c r="F81" i="3"/>
  <c r="F89" i="3"/>
  <c r="F97" i="3"/>
  <c r="F105" i="3"/>
  <c r="F113" i="3"/>
  <c r="F121" i="3"/>
  <c r="F129" i="3"/>
  <c r="F137" i="3"/>
  <c r="F145" i="3"/>
  <c r="F153" i="3"/>
  <c r="F161" i="3"/>
  <c r="F169" i="3"/>
  <c r="F177" i="3"/>
  <c r="F185" i="3"/>
  <c r="F193" i="3"/>
  <c r="F201" i="3"/>
  <c r="F209" i="3"/>
  <c r="F217" i="3"/>
  <c r="F225" i="3"/>
  <c r="F233" i="3"/>
  <c r="F241" i="3"/>
  <c r="F249" i="3"/>
  <c r="F257" i="3"/>
  <c r="F265" i="3"/>
  <c r="F273" i="3"/>
  <c r="F281" i="3"/>
  <c r="F289" i="3"/>
  <c r="F297" i="3"/>
  <c r="F305" i="3"/>
  <c r="F313" i="3"/>
  <c r="F321" i="3"/>
  <c r="F329" i="3"/>
  <c r="F337" i="3"/>
  <c r="F345" i="3"/>
  <c r="F353" i="3"/>
  <c r="F361" i="3"/>
  <c r="F369" i="3"/>
  <c r="F377" i="3"/>
  <c r="F385" i="3"/>
  <c r="F393" i="3"/>
  <c r="F401" i="3"/>
  <c r="F409" i="3"/>
  <c r="F417" i="3"/>
  <c r="F425" i="3"/>
  <c r="F433" i="3"/>
  <c r="F441" i="3"/>
  <c r="F449" i="3"/>
  <c r="F457" i="3"/>
  <c r="F465" i="3"/>
  <c r="F473" i="3"/>
  <c r="F481" i="3"/>
  <c r="F489" i="3"/>
  <c r="F497" i="3"/>
  <c r="F505" i="3"/>
  <c r="F513" i="3"/>
  <c r="F521" i="3"/>
  <c r="F529" i="3"/>
  <c r="F537" i="3"/>
  <c r="F545" i="3"/>
  <c r="F553" i="3"/>
  <c r="F561" i="3"/>
  <c r="F569" i="3"/>
  <c r="F577" i="3"/>
  <c r="F585" i="3"/>
  <c r="F593" i="3"/>
  <c r="F601" i="3"/>
  <c r="F609" i="3"/>
  <c r="F617" i="3"/>
  <c r="F625" i="3"/>
  <c r="F633" i="3"/>
  <c r="F641" i="3"/>
  <c r="F649" i="3"/>
  <c r="F657" i="3"/>
  <c r="F665" i="3"/>
  <c r="F673" i="3"/>
  <c r="F681" i="3"/>
  <c r="F786" i="3"/>
  <c r="F778" i="3"/>
  <c r="F770" i="3"/>
  <c r="F762" i="3"/>
  <c r="F754" i="3"/>
  <c r="F746" i="3"/>
  <c r="F738" i="3"/>
  <c r="F730" i="3"/>
  <c r="F722" i="3"/>
  <c r="F714" i="3"/>
  <c r="F706" i="3"/>
  <c r="F698" i="3"/>
  <c r="F690" i="3"/>
  <c r="F682" i="3"/>
  <c r="F672" i="3"/>
  <c r="F659" i="3"/>
  <c r="F647" i="3"/>
  <c r="F634" i="3"/>
  <c r="F620" i="3"/>
  <c r="F608" i="3"/>
  <c r="F595" i="3"/>
  <c r="F583" i="3"/>
  <c r="F570" i="3"/>
  <c r="F554" i="3"/>
  <c r="F514" i="3"/>
  <c r="F450" i="3"/>
  <c r="F386" i="3"/>
  <c r="F322" i="3"/>
  <c r="F258" i="3"/>
  <c r="F194" i="3"/>
  <c r="F130" i="3"/>
  <c r="F66" i="3"/>
  <c r="F769" i="3"/>
  <c r="F632" i="3"/>
  <c r="F378" i="3"/>
  <c r="F250" i="3"/>
  <c r="F122" i="3"/>
  <c r="F784" i="3"/>
  <c r="F776" i="3"/>
  <c r="F768" i="3"/>
  <c r="F760" i="3"/>
  <c r="F752" i="3"/>
  <c r="F744" i="3"/>
  <c r="F736" i="3"/>
  <c r="F728" i="3"/>
  <c r="F720" i="3"/>
  <c r="F712" i="3"/>
  <c r="F704" i="3"/>
  <c r="F696" i="3"/>
  <c r="F688" i="3"/>
  <c r="F679" i="3"/>
  <c r="F668" i="3"/>
  <c r="F656" i="3"/>
  <c r="F643" i="3"/>
  <c r="F631" i="3"/>
  <c r="F618" i="3"/>
  <c r="F604" i="3"/>
  <c r="F592" i="3"/>
  <c r="F579" i="3"/>
  <c r="F567" i="3"/>
  <c r="F547" i="3"/>
  <c r="F498" i="3"/>
  <c r="F434" i="3"/>
  <c r="F370" i="3"/>
  <c r="F306" i="3"/>
  <c r="F242" i="3"/>
  <c r="F178" i="3"/>
  <c r="F114" i="3"/>
  <c r="F50" i="3"/>
  <c r="F777" i="3"/>
  <c r="F721" i="3"/>
  <c r="F689" i="3"/>
  <c r="F644" i="3"/>
  <c r="F619" i="3"/>
  <c r="F607" i="3"/>
  <c r="F506" i="3"/>
  <c r="F314" i="3"/>
  <c r="F58" i="3"/>
  <c r="F783" i="3"/>
  <c r="F775" i="3"/>
  <c r="F767" i="3"/>
  <c r="F759" i="3"/>
  <c r="F751" i="3"/>
  <c r="F743" i="3"/>
  <c r="F735" i="3"/>
  <c r="F727" i="3"/>
  <c r="F719" i="3"/>
  <c r="F711" i="3"/>
  <c r="F703" i="3"/>
  <c r="F695" i="3"/>
  <c r="F687" i="3"/>
  <c r="F678" i="3"/>
  <c r="F667" i="3"/>
  <c r="F655" i="3"/>
  <c r="F642" i="3"/>
  <c r="F628" i="3"/>
  <c r="F616" i="3"/>
  <c r="F603" i="3"/>
  <c r="F591" i="3"/>
  <c r="F578" i="3"/>
  <c r="F563" i="3"/>
  <c r="F546" i="3"/>
  <c r="F490" i="3"/>
  <c r="F426" i="3"/>
  <c r="F362" i="3"/>
  <c r="F298" i="3"/>
  <c r="F234" i="3"/>
  <c r="F170" i="3"/>
  <c r="F106" i="3"/>
  <c r="F42" i="3"/>
  <c r="F658" i="3"/>
  <c r="F442" i="3"/>
  <c r="F790" i="3"/>
  <c r="F782" i="3"/>
  <c r="F774" i="3"/>
  <c r="F766" i="3"/>
  <c r="F758" i="3"/>
  <c r="F750" i="3"/>
  <c r="F742" i="3"/>
  <c r="F734" i="3"/>
  <c r="F726" i="3"/>
  <c r="F718" i="3"/>
  <c r="F710" i="3"/>
  <c r="F702" i="3"/>
  <c r="F694" i="3"/>
  <c r="F686" i="3"/>
  <c r="F677" i="3"/>
  <c r="F666" i="3"/>
  <c r="F652" i="3"/>
  <c r="F640" i="3"/>
  <c r="F627" i="3"/>
  <c r="F615" i="3"/>
  <c r="F602" i="3"/>
  <c r="F588" i="3"/>
  <c r="F576" i="3"/>
  <c r="F562" i="3"/>
  <c r="F544" i="3"/>
  <c r="F482" i="3"/>
  <c r="F418" i="3"/>
  <c r="F354" i="3"/>
  <c r="F290" i="3"/>
  <c r="F226" i="3"/>
  <c r="F162" i="3"/>
  <c r="F98" i="3"/>
  <c r="F34" i="3"/>
  <c r="F729" i="3"/>
  <c r="F580" i="3"/>
  <c r="F789" i="3"/>
  <c r="F781" i="3"/>
  <c r="F773" i="3"/>
  <c r="F765" i="3"/>
  <c r="F757" i="3"/>
  <c r="F749" i="3"/>
  <c r="F741" i="3"/>
  <c r="F733" i="3"/>
  <c r="F725" i="3"/>
  <c r="F717" i="3"/>
  <c r="F709" i="3"/>
  <c r="F701" i="3"/>
  <c r="F693" i="3"/>
  <c r="F685" i="3"/>
  <c r="F676" i="3"/>
  <c r="F664" i="3"/>
  <c r="F651" i="3"/>
  <c r="F639" i="3"/>
  <c r="F626" i="3"/>
  <c r="F612" i="3"/>
  <c r="F600" i="3"/>
  <c r="F587" i="3"/>
  <c r="F575" i="3"/>
  <c r="F560" i="3"/>
  <c r="F538" i="3"/>
  <c r="F474" i="3"/>
  <c r="F410" i="3"/>
  <c r="F346" i="3"/>
  <c r="F282" i="3"/>
  <c r="F218" i="3"/>
  <c r="F154" i="3"/>
  <c r="F90" i="3"/>
  <c r="F26" i="3"/>
  <c r="F785" i="3"/>
  <c r="F761" i="3"/>
  <c r="F671" i="3"/>
  <c r="F568" i="3"/>
  <c r="F788" i="3"/>
  <c r="F780" i="3"/>
  <c r="F772" i="3"/>
  <c r="F764" i="3"/>
  <c r="F756" i="3"/>
  <c r="F748" i="3"/>
  <c r="F740" i="3"/>
  <c r="F732" i="3"/>
  <c r="F724" i="3"/>
  <c r="F716" i="3"/>
  <c r="F708" i="3"/>
  <c r="F700" i="3"/>
  <c r="F692" i="3"/>
  <c r="F684" i="3"/>
  <c r="F675" i="3"/>
  <c r="F663" i="3"/>
  <c r="F650" i="3"/>
  <c r="F636" i="3"/>
  <c r="F624" i="3"/>
  <c r="F611" i="3"/>
  <c r="F599" i="3"/>
  <c r="F586" i="3"/>
  <c r="F572" i="3"/>
  <c r="F559" i="3"/>
  <c r="F530" i="3"/>
  <c r="F466" i="3"/>
  <c r="F402" i="3"/>
  <c r="F338" i="3"/>
  <c r="F274" i="3"/>
  <c r="F210" i="3"/>
  <c r="F146" i="3"/>
  <c r="F82" i="3"/>
  <c r="F18" i="3"/>
  <c r="F745" i="3"/>
  <c r="F713" i="3"/>
  <c r="F680" i="3"/>
  <c r="F787" i="3"/>
  <c r="F779" i="3"/>
  <c r="F771" i="3"/>
  <c r="F763" i="3"/>
  <c r="F755" i="3"/>
  <c r="F747" i="3"/>
  <c r="F739" i="3"/>
  <c r="F731" i="3"/>
  <c r="F723" i="3"/>
  <c r="F715" i="3"/>
  <c r="F707" i="3"/>
  <c r="F699" i="3"/>
  <c r="F691" i="3"/>
  <c r="F683" i="3"/>
  <c r="F674" i="3"/>
  <c r="F660" i="3"/>
  <c r="F648" i="3"/>
  <c r="F635" i="3"/>
  <c r="F623" i="3"/>
  <c r="F610" i="3"/>
  <c r="F596" i="3"/>
  <c r="F584" i="3"/>
  <c r="F571" i="3"/>
  <c r="F555" i="3"/>
  <c r="F522" i="3"/>
  <c r="F458" i="3"/>
  <c r="F394" i="3"/>
  <c r="F330" i="3"/>
  <c r="F266" i="3"/>
  <c r="F202" i="3"/>
  <c r="F138" i="3"/>
  <c r="F74" i="3"/>
  <c r="F10" i="3"/>
  <c r="B13" i="2"/>
</calcChain>
</file>

<file path=xl/sharedStrings.xml><?xml version="1.0" encoding="utf-8"?>
<sst xmlns="http://schemas.openxmlformats.org/spreadsheetml/2006/main" count="17230" uniqueCount="519">
  <si>
    <t>ФИО менеджера</t>
  </si>
  <si>
    <t>ФИО клиента</t>
  </si>
  <si>
    <t>Дата сделки</t>
  </si>
  <si>
    <t>Сумма сделки</t>
  </si>
  <si>
    <t>NPS</t>
  </si>
  <si>
    <t>Белов Алексей Константинович</t>
  </si>
  <si>
    <t>Новикова Людмила Кирилловна</t>
  </si>
  <si>
    <t>2023-09-01</t>
  </si>
  <si>
    <t>Сидорова Елена Васильевна</t>
  </si>
  <si>
    <t>Волков Владимир Артемович</t>
  </si>
  <si>
    <t>2023-09-04</t>
  </si>
  <si>
    <t>Кузнецов Дмитрий Львович</t>
  </si>
  <si>
    <t>Смирнова Валерия Станиславовна</t>
  </si>
  <si>
    <t>Орлов Павел Денисович</t>
  </si>
  <si>
    <t>Алексеева Полина Викторовна</t>
  </si>
  <si>
    <t>Петров Михаил Павлович</t>
  </si>
  <si>
    <t>Семенова Ирина Валерьевна</t>
  </si>
  <si>
    <t>Иванова Виктория Артемовна</t>
  </si>
  <si>
    <t>Попова Светлана Геннадьевна</t>
  </si>
  <si>
    <t>Петров Владимир Кириллович</t>
  </si>
  <si>
    <t>Семенов Михаил Сергеевич</t>
  </si>
  <si>
    <t>Яковлев Артем Игоревич</t>
  </si>
  <si>
    <t>Смирнова Елена Олеговна</t>
  </si>
  <si>
    <t>2023-09-05</t>
  </si>
  <si>
    <t>Степанова Людмила Ивановна</t>
  </si>
  <si>
    <t>Федорова Екатерина Владимировна</t>
  </si>
  <si>
    <t>Ткаченко Андрей Олегович</t>
  </si>
  <si>
    <t>Васильева Елена Андреевна</t>
  </si>
  <si>
    <t>Смирнова Екатерина Ивановна</t>
  </si>
  <si>
    <t>Новикова Ольга Петровна</t>
  </si>
  <si>
    <t>Кузнецов Егор Андреевич</t>
  </si>
  <si>
    <t>2023-09-06</t>
  </si>
  <si>
    <t>Орлов Владимир Никитич</t>
  </si>
  <si>
    <t>Новикова София Ивановна</t>
  </si>
  <si>
    <t>Козлова Александра Андреевна</t>
  </si>
  <si>
    <t>2023-09-07</t>
  </si>
  <si>
    <t>Новиков Иван Павлович</t>
  </si>
  <si>
    <t>Орлов Иван Викторович</t>
  </si>
  <si>
    <t>Фролов Сергей Викторович</t>
  </si>
  <si>
    <t>Павлов Михаил Андреевич</t>
  </si>
  <si>
    <t>Лебедев Михаил Кириллович</t>
  </si>
  <si>
    <t>2023-09-08</t>
  </si>
  <si>
    <t>Волкова Анна Викторовна</t>
  </si>
  <si>
    <t>Громова Мария Ильинична</t>
  </si>
  <si>
    <t>Смирнова Мария Артемовна</t>
  </si>
  <si>
    <t>Сидорова София Артемовна</t>
  </si>
  <si>
    <t>Степанова Александра Дмитриевна</t>
  </si>
  <si>
    <t>Новикова Ольга Викторовна</t>
  </si>
  <si>
    <t>2023-09-11</t>
  </si>
  <si>
    <t>Егоров Сергей Андреевич</t>
  </si>
  <si>
    <t>Сидорова Ирина Кирилловна</t>
  </si>
  <si>
    <t>Васильева Юлия Сергеевна</t>
  </si>
  <si>
    <t>Козлов Матвей Владимирович</t>
  </si>
  <si>
    <t>Егоров Илья Ильич</t>
  </si>
  <si>
    <t>Волкова Анна Станиславовна</t>
  </si>
  <si>
    <t>Иванова Анна Сергеевна</t>
  </si>
  <si>
    <t>2023-09-12</t>
  </si>
  <si>
    <t>Васильева Дарья Андреевна</t>
  </si>
  <si>
    <t>Волкова Екатерина Егоровна</t>
  </si>
  <si>
    <t>Сидоров Кирилл Михайлович</t>
  </si>
  <si>
    <t>Козлов Александр Павлович</t>
  </si>
  <si>
    <t>Попов Георгий Егорович</t>
  </si>
  <si>
    <t>2023-09-13</t>
  </si>
  <si>
    <t>Николаев Андрей Ильич</t>
  </si>
  <si>
    <t>Волкова Светлана Ивановна</t>
  </si>
  <si>
    <t>Васильев Егор Павлович</t>
  </si>
  <si>
    <t>2023-09-14</t>
  </si>
  <si>
    <t>Николаева Алиса Ильинична</t>
  </si>
  <si>
    <t>Васильев Владимир Алексеевич</t>
  </si>
  <si>
    <t>2023-09-15</t>
  </si>
  <si>
    <t>2023-09-18</t>
  </si>
  <si>
    <t>Петрова Виктория Юрьевна</t>
  </si>
  <si>
    <t>Алексеева Мария Олеговна</t>
  </si>
  <si>
    <t>Семенов Никита Александрович</t>
  </si>
  <si>
    <t>Волков Павел Иванович</t>
  </si>
  <si>
    <t>Петров Никита Павлович</t>
  </si>
  <si>
    <t>Новикова Екатерина Павловна</t>
  </si>
  <si>
    <t>Лебедева Дарья Ивановна</t>
  </si>
  <si>
    <t>Кузнецов Александр Романович</t>
  </si>
  <si>
    <t>Федоров Андрей Владимирович</t>
  </si>
  <si>
    <t>2023-09-19</t>
  </si>
  <si>
    <t>Лебедев Артем Дмитриевич</t>
  </si>
  <si>
    <t>Попов Иван Егорович</t>
  </si>
  <si>
    <t>2023-09-20</t>
  </si>
  <si>
    <t>Петров Дмитрий Сергеевич</t>
  </si>
  <si>
    <t>Алексеев Михаил Алексеевич</t>
  </si>
  <si>
    <t>2023-09-21</t>
  </si>
  <si>
    <t>Козлова Полина Михайловна</t>
  </si>
  <si>
    <t>Попов Роман Владимирович</t>
  </si>
  <si>
    <t>Николаев Александр Ильич</t>
  </si>
  <si>
    <t>2023-09-22</t>
  </si>
  <si>
    <t>Иванова Полина Дмитриевна</t>
  </si>
  <si>
    <t>Кузнецов Кирилл Александрович</t>
  </si>
  <si>
    <t>Алексеева Юлия Никитична</t>
  </si>
  <si>
    <t>Семенова Александра Егоровна</t>
  </si>
  <si>
    <t>2023-09-25</t>
  </si>
  <si>
    <t>Алексеева Валерия Викторовна</t>
  </si>
  <si>
    <t>Федоров Максим Андреевич</t>
  </si>
  <si>
    <t>Алексеева Светлана Артемовна</t>
  </si>
  <si>
    <t>2023-09-26</t>
  </si>
  <si>
    <t>Орлова Вероника Андреевна</t>
  </si>
  <si>
    <t>2023-09-27</t>
  </si>
  <si>
    <t>Петров Константин Егорович</t>
  </si>
  <si>
    <t>2023-09-28</t>
  </si>
  <si>
    <t>Федорова Татьяна Викторовна</t>
  </si>
  <si>
    <t>Павлов Алексей Юрьевич</t>
  </si>
  <si>
    <t>Орлов Владимир Александрович</t>
  </si>
  <si>
    <t>Егоров Алексей Михайлович</t>
  </si>
  <si>
    <t>2023-09-29</t>
  </si>
  <si>
    <t>Петрова Алиса Егоровна</t>
  </si>
  <si>
    <t>2023-10-02</t>
  </si>
  <si>
    <t>Орлов Андрей Никитич</t>
  </si>
  <si>
    <t>Волкова София Александровна</t>
  </si>
  <si>
    <t>Волкова Дарья Владимировна</t>
  </si>
  <si>
    <t>Морозов Илья Станиславович</t>
  </si>
  <si>
    <t>Лебедев Матвей Павлович</t>
  </si>
  <si>
    <t>Кузнецова Ирина Павловна</t>
  </si>
  <si>
    <t>2023-10-03</t>
  </si>
  <si>
    <t>Сидорова София Александровна</t>
  </si>
  <si>
    <t>Петрова Ольга Сергеевна</t>
  </si>
  <si>
    <t>2023-10-04</t>
  </si>
  <si>
    <t>Егоров Никита Олегович</t>
  </si>
  <si>
    <t>2023-10-06</t>
  </si>
  <si>
    <t>Николаева Анна Дмитриевна</t>
  </si>
  <si>
    <t>2023-10-09</t>
  </si>
  <si>
    <t>Смирнов Роман Кириллович</t>
  </si>
  <si>
    <t>Павлова София Геннадьевна</t>
  </si>
  <si>
    <t>Иванова Светлана Артемовна</t>
  </si>
  <si>
    <t>2023-10-10</t>
  </si>
  <si>
    <t>Николаева Анна Михайловна</t>
  </si>
  <si>
    <t>Петров Дмитрий Никитич</t>
  </si>
  <si>
    <t>Иванова Ольга Дмитриевна</t>
  </si>
  <si>
    <t>2023-10-11</t>
  </si>
  <si>
    <t>2023-10-13</t>
  </si>
  <si>
    <t>Козлов Роман Егорович</t>
  </si>
  <si>
    <t>Степанова Алиса Ильинична</t>
  </si>
  <si>
    <t>Петров Артем Егорович</t>
  </si>
  <si>
    <t>2023-10-16</t>
  </si>
  <si>
    <t>Попов Матвей Иванович</t>
  </si>
  <si>
    <t>Волкова Людмила Кирилловна</t>
  </si>
  <si>
    <t>2023-10-17</t>
  </si>
  <si>
    <t>Морозов Владимир Станиславович</t>
  </si>
  <si>
    <t>2023-10-18</t>
  </si>
  <si>
    <t>Семенов Алексей Юрьевич</t>
  </si>
  <si>
    <t>Павлова Наталья Павловна</t>
  </si>
  <si>
    <t>Новиков Павел Сергеевич</t>
  </si>
  <si>
    <t>Иванов Артем Павлович</t>
  </si>
  <si>
    <t>2023-10-19</t>
  </si>
  <si>
    <t>Попов Георгий Ильич</t>
  </si>
  <si>
    <t>Иванов Георгий Павлович</t>
  </si>
  <si>
    <t>2023-10-20</t>
  </si>
  <si>
    <t>Васильев Андрей Павлович</t>
  </si>
  <si>
    <t>2023-10-23</t>
  </si>
  <si>
    <t>Козлов Илья Геннадьевич</t>
  </si>
  <si>
    <t>Иванов Никита Романович</t>
  </si>
  <si>
    <t>Лебедев Михаил Викторович</t>
  </si>
  <si>
    <t>Смирнов Константин Дмитриевич</t>
  </si>
  <si>
    <t>2023-10-24</t>
  </si>
  <si>
    <t>Попов Павел Артемович</t>
  </si>
  <si>
    <t>Волкова Виктория Артемовна</t>
  </si>
  <si>
    <t>Попова Полина Сергеевна</t>
  </si>
  <si>
    <t>Иванова София Михайловна</t>
  </si>
  <si>
    <t>2023-10-25</t>
  </si>
  <si>
    <t>2023-10-26</t>
  </si>
  <si>
    <t>Иванова Елена Артемовна</t>
  </si>
  <si>
    <t>Попов Никита Андреевич</t>
  </si>
  <si>
    <t>2023-10-27</t>
  </si>
  <si>
    <t>Кузнецов Кирилл Павлович</t>
  </si>
  <si>
    <t>Кузнецова Мария Сергеевна</t>
  </si>
  <si>
    <t>Смирнова Екатерина Геннадьевна</t>
  </si>
  <si>
    <t>2023-10-30</t>
  </si>
  <si>
    <t>Алексеев Никита Алексеевич</t>
  </si>
  <si>
    <t>Васильев Андрей Дмитриевич</t>
  </si>
  <si>
    <t>Сидоров Егор Павлович</t>
  </si>
  <si>
    <t>Попов Сергей Артемович</t>
  </si>
  <si>
    <t>2023-10-31</t>
  </si>
  <si>
    <t>Лебедева Светлана Андреевна</t>
  </si>
  <si>
    <t>Лебедева Валерия Геннадьевна</t>
  </si>
  <si>
    <t>Попова Наталья Станиславовна</t>
  </si>
  <si>
    <t>2023-11-01</t>
  </si>
  <si>
    <t>2023-11-02</t>
  </si>
  <si>
    <t>Егоров Андрей Егорович</t>
  </si>
  <si>
    <t>2023-11-03</t>
  </si>
  <si>
    <t>Семенова Полина Сергеевна</t>
  </si>
  <si>
    <t>Петрова Ольга Геннадьевна</t>
  </si>
  <si>
    <t>2023-11-06</t>
  </si>
  <si>
    <t>Егоров Иван Андреевич</t>
  </si>
  <si>
    <t>Волков Алексей Никитич</t>
  </si>
  <si>
    <t>Егорова Татьяна Ильинична</t>
  </si>
  <si>
    <t>2023-11-07</t>
  </si>
  <si>
    <t>Алексеев Артур Артемович</t>
  </si>
  <si>
    <t>2023-11-08</t>
  </si>
  <si>
    <t>2023-11-09</t>
  </si>
  <si>
    <t>Алексеев Егор Юрьевич</t>
  </si>
  <si>
    <t>Сидорова Екатерина Станиславовна</t>
  </si>
  <si>
    <t>2023-11-10</t>
  </si>
  <si>
    <t>Степанов Михаил Егорович</t>
  </si>
  <si>
    <t>Орлова Алиса Егоровна</t>
  </si>
  <si>
    <t>2023-11-13</t>
  </si>
  <si>
    <t>Павлов Андрей Владимирович</t>
  </si>
  <si>
    <t>Степанов Кирилл Алексеевич</t>
  </si>
  <si>
    <t>2023-11-14</t>
  </si>
  <si>
    <t>Козлова Екатерина Викторовна</t>
  </si>
  <si>
    <t>2023-11-15</t>
  </si>
  <si>
    <t>2023-11-17</t>
  </si>
  <si>
    <t>2023-11-20</t>
  </si>
  <si>
    <t>Петров Павел Юрьевич</t>
  </si>
  <si>
    <t>Кузнецов Михаил Иванович</t>
  </si>
  <si>
    <t>2023-11-21</t>
  </si>
  <si>
    <t>Павлов Сергей Олегович</t>
  </si>
  <si>
    <t>2023-11-22</t>
  </si>
  <si>
    <t>Николаева Мария Никитична</t>
  </si>
  <si>
    <t>2023-11-23</t>
  </si>
  <si>
    <t>2023-11-24</t>
  </si>
  <si>
    <t>2023-11-27</t>
  </si>
  <si>
    <t>Козлов Артур Сергеевич</t>
  </si>
  <si>
    <t>Кузнецов Алексей Олегович</t>
  </si>
  <si>
    <t>Федоров Владимир Артемович</t>
  </si>
  <si>
    <t>2023-11-28</t>
  </si>
  <si>
    <t>2023-11-30</t>
  </si>
  <si>
    <t>Васильева Ксения Егоровна</t>
  </si>
  <si>
    <t>Егоров Илья Андреевич</t>
  </si>
  <si>
    <t>2023-12-01</t>
  </si>
  <si>
    <t>2023-12-04</t>
  </si>
  <si>
    <t>2023-12-05</t>
  </si>
  <si>
    <t>2023-12-06</t>
  </si>
  <si>
    <t>2023-12-07</t>
  </si>
  <si>
    <t>Семенова София Алексеевна</t>
  </si>
  <si>
    <t>2023-12-08</t>
  </si>
  <si>
    <t>2023-12-11</t>
  </si>
  <si>
    <t>2023-12-12</t>
  </si>
  <si>
    <t>2023-12-13</t>
  </si>
  <si>
    <t>Васильев Илья Алексеевич</t>
  </si>
  <si>
    <t>2023-12-14</t>
  </si>
  <si>
    <t>Степанова Анна Романовна</t>
  </si>
  <si>
    <t>2023-12-15</t>
  </si>
  <si>
    <t>2023-12-18</t>
  </si>
  <si>
    <t>Степанова Алиса Артемовна</t>
  </si>
  <si>
    <t>2023-12-19</t>
  </si>
  <si>
    <t>Лебедев Никита Викторович</t>
  </si>
  <si>
    <t>2023-12-20</t>
  </si>
  <si>
    <t>2023-12-22</t>
  </si>
  <si>
    <t>2023-12-25</t>
  </si>
  <si>
    <t>2023-12-27</t>
  </si>
  <si>
    <t>2023-12-28</t>
  </si>
  <si>
    <t>2023-12-29</t>
  </si>
  <si>
    <t>Петрова Наталья Владимировна</t>
  </si>
  <si>
    <t>2024-01-01</t>
  </si>
  <si>
    <t>Попова Полина Юрьевна</t>
  </si>
  <si>
    <t>2024-01-02</t>
  </si>
  <si>
    <t>Смирнов Дмитрий Егорович</t>
  </si>
  <si>
    <t>2024-01-03</t>
  </si>
  <si>
    <t>2024-01-05</t>
  </si>
  <si>
    <t>Николаев Никита Викторович</t>
  </si>
  <si>
    <t>2024-01-08</t>
  </si>
  <si>
    <t>Сидоров Дмитрий Александрович</t>
  </si>
  <si>
    <t>2024-01-09</t>
  </si>
  <si>
    <t>Морозов Иван Геннадьевич</t>
  </si>
  <si>
    <t>Смирнов Илья Андреевич</t>
  </si>
  <si>
    <t>2024-01-10</t>
  </si>
  <si>
    <t>2024-01-11</t>
  </si>
  <si>
    <t>2024-01-12</t>
  </si>
  <si>
    <t>2024-01-15</t>
  </si>
  <si>
    <t>Волкова Полина Юрьевна</t>
  </si>
  <si>
    <t>Егорова Юлия Никитична</t>
  </si>
  <si>
    <t>Кузнецов Артем Юрьевич</t>
  </si>
  <si>
    <t>2024-01-16</t>
  </si>
  <si>
    <t>Павлова Ксения Романовна</t>
  </si>
  <si>
    <t>2024-01-17</t>
  </si>
  <si>
    <t>Васильев Матвей Кириллович</t>
  </si>
  <si>
    <t>2024-01-18</t>
  </si>
  <si>
    <t>2024-01-19</t>
  </si>
  <si>
    <t>Смирнов Матвей Юрьевич</t>
  </si>
  <si>
    <t>2024-01-22</t>
  </si>
  <si>
    <t>Васильева Виктория Артемовна</t>
  </si>
  <si>
    <t>Петрова Валерия Викторовна</t>
  </si>
  <si>
    <t>Степанова Ирина Алексеевна</t>
  </si>
  <si>
    <t>2024-01-23</t>
  </si>
  <si>
    <t>Морозов Андрей Алексеевич</t>
  </si>
  <si>
    <t>2024-01-24</t>
  </si>
  <si>
    <t>2024-01-25</t>
  </si>
  <si>
    <t>2024-01-26</t>
  </si>
  <si>
    <t>2024-01-29</t>
  </si>
  <si>
    <t>Орлов Андрей Александрович</t>
  </si>
  <si>
    <t>2024-01-30</t>
  </si>
  <si>
    <t>2024-01-31</t>
  </si>
  <si>
    <t>2024-02-02</t>
  </si>
  <si>
    <t>2024-02-05</t>
  </si>
  <si>
    <t>2024-02-06</t>
  </si>
  <si>
    <t>Алексеева Ольга Дмитриевна</t>
  </si>
  <si>
    <t>2024-02-08</t>
  </si>
  <si>
    <t>2024-02-09</t>
  </si>
  <si>
    <t>2024-02-12</t>
  </si>
  <si>
    <t>Степанов Михаил Ильич</t>
  </si>
  <si>
    <t>Волкова Виктория Павловна</t>
  </si>
  <si>
    <t>Семенов Иван Артемович</t>
  </si>
  <si>
    <t>2024-02-14</t>
  </si>
  <si>
    <t>2024-02-15</t>
  </si>
  <si>
    <t>2024-02-19</t>
  </si>
  <si>
    <t>Кузнецов Павел Викторович</t>
  </si>
  <si>
    <t>2024-02-20</t>
  </si>
  <si>
    <t>2024-02-21</t>
  </si>
  <si>
    <t>2024-02-22</t>
  </si>
  <si>
    <t>Смирнова Мария Сергеевна</t>
  </si>
  <si>
    <t>2024-02-23</t>
  </si>
  <si>
    <t>Федорова Людмила Сергеевна</t>
  </si>
  <si>
    <t>2024-02-26</t>
  </si>
  <si>
    <t>2024-02-27</t>
  </si>
  <si>
    <t>2024-02-29</t>
  </si>
  <si>
    <t>2024-03-01</t>
  </si>
  <si>
    <t>2024-03-04</t>
  </si>
  <si>
    <t>Семенов Матвей Михайлович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</si>
  <si>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</si>
  <si>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</si>
  <si>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</si>
  <si>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</si>
  <si>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</si>
  <si>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</si>
  <si>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</si>
  <si>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Павлова Ксения Никитична</t>
  </si>
  <si>
    <t>2024-03-14</t>
  </si>
  <si>
    <t>2024-03-15</t>
  </si>
  <si>
    <t>2024-03-18</t>
  </si>
  <si>
    <t>2024-03-19</t>
  </si>
  <si>
    <t>2024-03-21</t>
  </si>
  <si>
    <t>2024-03-25</t>
  </si>
  <si>
    <t>Козлова Алиса Геннадьевна</t>
  </si>
  <si>
    <t>2024-03-26</t>
  </si>
  <si>
    <t>Иванов Андрей Дмитриевич</t>
  </si>
  <si>
    <t>2024-03-27</t>
  </si>
  <si>
    <t>2024-03-28</t>
  </si>
  <si>
    <t>2024-03-29</t>
  </si>
  <si>
    <t>2024-04-01</t>
  </si>
  <si>
    <t>Петрова Людмила Олеговна</t>
  </si>
  <si>
    <t>2024-04-02</t>
  </si>
  <si>
    <t>2024-04-03</t>
  </si>
  <si>
    <t>2024-04-04</t>
  </si>
  <si>
    <t>2024-04-05</t>
  </si>
  <si>
    <t>2024-04-08</t>
  </si>
  <si>
    <t>Семенова Людмила Олеговна</t>
  </si>
  <si>
    <t>Лебедева София Алексеевна</t>
  </si>
  <si>
    <t>2024-04-09</t>
  </si>
  <si>
    <t>Козлова Наталья Романовна</t>
  </si>
  <si>
    <t>2024-04-10</t>
  </si>
  <si>
    <t>2024-04-11</t>
  </si>
  <si>
    <t>2024-04-12</t>
  </si>
  <si>
    <t>2024-04-15</t>
  </si>
  <si>
    <t>Семенова Анна Викторовна</t>
  </si>
  <si>
    <t>2024-04-16</t>
  </si>
  <si>
    <t>2024-04-17</t>
  </si>
  <si>
    <t>2024-04-18</t>
  </si>
  <si>
    <t>2024-04-19</t>
  </si>
  <si>
    <t>2024-04-22</t>
  </si>
  <si>
    <t>Алексеева Полина Сергеевна</t>
  </si>
  <si>
    <t>Козлов Михаил Андреевич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</si>
  <si>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</si>
  <si>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</si>
  <si>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</si>
  <si>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</si>
  <si>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</si>
  <si>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</si>
  <si>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</si>
  <si>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Лебедева Анна Олеговна</t>
  </si>
  <si>
    <t>2024-05-03</t>
  </si>
  <si>
    <t>2024-05-06</t>
  </si>
  <si>
    <t>2024-05-07</t>
  </si>
  <si>
    <t>2024-05-08</t>
  </si>
  <si>
    <t>2024-05-10</t>
  </si>
  <si>
    <t>2024-05-13</t>
  </si>
  <si>
    <t>2024-05-14</t>
  </si>
  <si>
    <t>Егорова Мария Кирилловна</t>
  </si>
  <si>
    <t>2024-05-15</t>
  </si>
  <si>
    <t>2024-05-16</t>
  </si>
  <si>
    <t>2024-05-17</t>
  </si>
  <si>
    <t>2024-05-20</t>
  </si>
  <si>
    <t>Новиков Дмитрий Олегович</t>
  </si>
  <si>
    <t>2024-05-21</t>
  </si>
  <si>
    <t>2024-05-22</t>
  </si>
  <si>
    <t>2024-05-23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</si>
  <si>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</si>
  <si>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</si>
  <si>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</si>
  <si>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</si>
  <si>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</si>
  <si>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</si>
  <si>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</si>
  <si>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</si>
  <si>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2024-06-07</t>
  </si>
  <si>
    <t>2024-06-10</t>
  </si>
  <si>
    <t>2024-06-11</t>
  </si>
  <si>
    <t>2024-06-12</t>
  </si>
  <si>
    <t>2024-06-13</t>
  </si>
  <si>
    <t>Лебедев Дмитрий Дмитриевич</t>
  </si>
  <si>
    <t>2024-06-14</t>
  </si>
  <si>
    <t>2024-06-17</t>
  </si>
  <si>
    <t>2024-06-18</t>
  </si>
  <si>
    <t>2024-06-19</t>
  </si>
  <si>
    <t>2024-06-21</t>
  </si>
  <si>
    <t>2024-06-24</t>
  </si>
  <si>
    <t>2024-06-25</t>
  </si>
  <si>
    <t>Егорова Наталья Станиславовна</t>
  </si>
  <si>
    <t>2024-06-26</t>
  </si>
  <si>
    <t>2024-06-27</t>
  </si>
  <si>
    <t>2024-06-28</t>
  </si>
  <si>
    <t>2024-07-01</t>
  </si>
  <si>
    <t>Павлова Юлия Андреевна</t>
  </si>
  <si>
    <t>2024-07-02</t>
  </si>
  <si>
    <t>2024-07-03</t>
  </si>
  <si>
    <t>2024-07-04</t>
  </si>
  <si>
    <t>2024-07-05</t>
  </si>
  <si>
    <t>Кузнецов Иван Ильич</t>
  </si>
  <si>
    <t>Лебедева Юлия Алексеевна</t>
  </si>
  <si>
    <t>2024-07-08</t>
  </si>
  <si>
    <t>2024-07-10</t>
  </si>
  <si>
    <t>2024-07-11</t>
  </si>
  <si>
    <t>2024-07-12</t>
  </si>
  <si>
    <t>2024-07-15</t>
  </si>
  <si>
    <t>2024-07-16</t>
  </si>
  <si>
    <t>2024-07-17</t>
  </si>
  <si>
    <t>Павлова Полина Юрьевна</t>
  </si>
  <si>
    <t>2024-07-18</t>
  </si>
  <si>
    <t>2024-07-19</t>
  </si>
  <si>
    <t>2024-07-22</t>
  </si>
  <si>
    <t>2024-07-23</t>
  </si>
  <si>
    <t>Новикова Ирина Дмитриевна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</si>
  <si>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</si>
  <si>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</si>
  <si>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</si>
  <si>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</si>
  <si>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</si>
  <si>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</si>
  <si>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</si>
  <si>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</si>
  <si>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Федоров Артем Ильич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</si>
  <si>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</si>
  <si>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</si>
  <si>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</si>
  <si>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</si>
  <si>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</si>
  <si>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</si>
  <si>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</si>
  <si>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</si>
  <si>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Морозов Константин Михайлович</t>
  </si>
  <si>
    <t>2024-08-15</t>
  </si>
  <si>
    <t>2024-08-16</t>
  </si>
  <si>
    <t>2024-08-19</t>
  </si>
  <si>
    <t>2024-08-20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</si>
  <si>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</si>
  <si>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</si>
  <si>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</si>
  <si>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</si>
  <si>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</si>
  <si>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</si>
  <si>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</si>
  <si>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</si>
  <si>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ФИО студента:</t>
  </si>
  <si>
    <t>Задача 1</t>
  </si>
  <si>
    <t xml:space="preserve"> Для каждого менеджера найти метрики:</t>
  </si>
  <si>
    <t>ФИО Менеджера (по алфавиту)</t>
  </si>
  <si>
    <t>Клиенты</t>
  </si>
  <si>
    <t>Сумма</t>
  </si>
  <si>
    <t>Длительность, дни</t>
  </si>
  <si>
    <t xml:space="preserve">   - количество клиентов - (столбец H)</t>
  </si>
  <si>
    <t xml:space="preserve">   - сумма проектов - (столбец I)</t>
  </si>
  <si>
    <t xml:space="preserve">   - длительность работы с клиентом от первой сделки до последней - (столбец J)</t>
  </si>
  <si>
    <t>(для каждого менеджера определить самого долгого клиента в днях</t>
  </si>
  <si>
    <t xml:space="preserve">от даты заключения первого проекта до даты заключения последнего проекта). </t>
  </si>
  <si>
    <t xml:space="preserve">   - NPS по всем проектам - (столбец K)</t>
  </si>
  <si>
    <t>Определить самого эффективного менеджера:</t>
  </si>
  <si>
    <t>по количеству клиентов</t>
  </si>
  <si>
    <t>по сумме проектов</t>
  </si>
  <si>
    <t>по длительности работы</t>
  </si>
  <si>
    <t>Задача 2</t>
  </si>
  <si>
    <t>Оценить клиентов</t>
  </si>
  <si>
    <t>ТОП 10 клиентов по продажам</t>
  </si>
  <si>
    <t>- доходности (вывести топ 10 клиентов)</t>
  </si>
  <si>
    <t>ФИО</t>
  </si>
  <si>
    <t>Проекты</t>
  </si>
  <si>
    <t>- не переходил к другим менеджерам - вывести первых 10 по алфавиту</t>
  </si>
  <si>
    <t>- по длительности (сколько месяцев суммарно обслуживался клиент)</t>
  </si>
  <si>
    <t>10 клиентов, которые обслуживались у одного менеджера (в алфавитном порядке)</t>
  </si>
  <si>
    <t>всего месяцев</t>
  </si>
  <si>
    <t>Задача 3</t>
  </si>
  <si>
    <t>3. Построить динамику менеджеров во времени:</t>
  </si>
  <si>
    <t>Количество проектов на одного менеджера</t>
  </si>
  <si>
    <t xml:space="preserve">   - месяц / кол-во проектов на одного менеджера</t>
  </si>
  <si>
    <t>начало</t>
  </si>
  <si>
    <t>конец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</si>
  <si>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</si>
  <si>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</si>
  <si>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</si>
  <si>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</si>
  <si>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</si>
  <si>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</si>
  <si>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</si>
  <si>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</si>
  <si>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</si>
  <si>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</si>
  <si>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</si>
  <si>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</si>
  <si>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</si>
  <si>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 xml:space="preserve">   - месяц / NPS по компании</t>
  </si>
  <si>
    <t xml:space="preserve">   - месяц / средняя доходность на один проект</t>
  </si>
  <si>
    <t/>
  </si>
  <si>
    <t>средняя доходность на один проект</t>
  </si>
  <si>
    <t>Маркелова Настасья Евгеньевна</t>
  </si>
  <si>
    <t xml:space="preserve"> </t>
  </si>
  <si>
    <t>Первый проект</t>
  </si>
  <si>
    <t>Последний проект</t>
  </si>
  <si>
    <t>Менеджер Клиент</t>
  </si>
  <si>
    <t>М&amp;К</t>
  </si>
  <si>
    <t>Дни</t>
  </si>
  <si>
    <t>Менеджеры</t>
  </si>
  <si>
    <t>Фио</t>
  </si>
  <si>
    <t>проекты</t>
  </si>
  <si>
    <t>сумма</t>
  </si>
  <si>
    <t>Год</t>
  </si>
  <si>
    <t>Месяц</t>
  </si>
  <si>
    <t>Год&amp;Месяц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</si>
</sst>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0.0%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0" tint="-0.499984740745262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3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3" borderId="1" xfId="0" applyFill="1" applyBorder="1" applyAlignment="1">
      <alignment horizontal="left"/>
    </xf>
    <xf numFmtId="2" fontId="0" fillId="3" borderId="1" xfId="0" applyNumberFormat="1" applyFill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0" fontId="0" fillId="3" borderId="1" xfId="0" applyFill="1" applyBorder="1"/>
    <xf numFmtId="0" fontId="5" fillId="0" borderId="0" xfId="0" applyFont="1"/>
    <xf numFmtId="0" fontId="0" fillId="4" borderId="0" xfId="0" applyFill="1"/>
    <xf numFmtId="0" fontId="0" fillId="0" borderId="0" xfId="0" quotePrefix="1"/>
    <xf numFmtId="0" fontId="6" fillId="0" borderId="0" xfId="0" applyFont="1"/>
    <xf numFmtId="0" fontId="6" fillId="0" borderId="0" xfId="0" applyFont="1" applyAlignment="1">
      <alignment horizontal="center"/>
    </xf>
    <xf numFmtId="0" fontId="3" fillId="3" borderId="1" xfId="0" applyFont="1" applyFill="1" applyBorder="1" applyAlignment="1">
      <alignment horizontal="left"/>
    </xf>
    <xf numFmtId="14" fontId="6" fillId="0" borderId="0" xfId="1" applyNumberFormat="1" applyFont="1"/>
    <xf numFmtId="14" fontId="6" fillId="0" borderId="0" xfId="0" applyNumberFormat="1" applyFont="1"/>
    <xf numFmtId="0" fontId="0" fillId="0" borderId="0" xfId="0" applyAlignment="1">
      <alignment horizontal="left"/>
    </xf>
    <xf numFmtId="165" fontId="2" fillId="3" borderId="1" xfId="2" applyNumberFormat="1" applyFill="1" applyBorder="1" applyAlignment="1">
      <alignment horizontal="left"/>
    </xf>
    <xf numFmtId="0" fontId="1" fillId="0" borderId="0" xfId="0" applyFont="1" applyFill="1" applyBorder="1" applyAlignment="1">
      <alignment horizontal="center" vertical="top"/>
    </xf>
    <xf numFmtId="9" fontId="0" fillId="3" borderId="1" xfId="2" applyFont="1" applyFill="1" applyBorder="1" applyAlignment="1">
      <alignment horizontal="left"/>
    </xf>
    <xf numFmtId="0" fontId="0" fillId="3" borderId="0" xfId="0" applyFill="1"/>
    <xf numFmtId="0" fontId="1" fillId="0" borderId="2" xfId="0" applyFont="1" applyFill="1" applyBorder="1" applyAlignment="1">
      <alignment horizontal="center" vertical="top"/>
    </xf>
    <xf numFmtId="9" fontId="0" fillId="0" borderId="0" xfId="2" applyFont="1"/>
    <xf numFmtId="164" fontId="0" fillId="0" borderId="0" xfId="1" applyFont="1"/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14</xdr:row>
      <xdr:rowOff>149678</xdr:rowOff>
    </xdr:from>
    <xdr:to>
      <xdr:col>11</xdr:col>
      <xdr:colOff>0</xdr:colOff>
      <xdr:row>20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610225" y="2997653"/>
          <a:ext cx="7791450" cy="1002847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workbookViewId="0">
      <selection activeCell="G22" sqref="G22"/>
    </sheetView>
  </sheetViews>
  <sheetFormatPr defaultRowHeight="15" x14ac:dyDescent="0.25"/>
  <cols>
    <col min="1" max="2" width="31.85546875" customWidth="1"/>
    <col min="3" max="3" width="12" customWidth="1"/>
    <col min="4" max="4" width="15" customWidth="1"/>
    <col min="5" max="5" width="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52260</v>
      </c>
      <c r="E2">
        <v>9</v>
      </c>
    </row>
    <row r="3" spans="1:5" x14ac:dyDescent="0.25">
      <c r="A3" t="s">
        <v>8</v>
      </c>
      <c r="B3" t="s">
        <v>9</v>
      </c>
      <c r="C3" t="s">
        <v>10</v>
      </c>
      <c r="D3">
        <v>32372</v>
      </c>
      <c r="E3">
        <v>7</v>
      </c>
    </row>
    <row r="4" spans="1:5" x14ac:dyDescent="0.25">
      <c r="A4" t="s">
        <v>11</v>
      </c>
      <c r="B4" t="s">
        <v>12</v>
      </c>
      <c r="C4" t="s">
        <v>10</v>
      </c>
      <c r="D4">
        <v>51312</v>
      </c>
      <c r="E4">
        <v>6</v>
      </c>
    </row>
    <row r="5" spans="1:5" x14ac:dyDescent="0.25">
      <c r="A5" t="s">
        <v>13</v>
      </c>
      <c r="B5" t="s">
        <v>14</v>
      </c>
      <c r="C5" t="s">
        <v>10</v>
      </c>
      <c r="D5">
        <v>37796</v>
      </c>
      <c r="E5">
        <v>6</v>
      </c>
    </row>
    <row r="6" spans="1:5" x14ac:dyDescent="0.25">
      <c r="A6" t="s">
        <v>11</v>
      </c>
      <c r="B6" t="s">
        <v>15</v>
      </c>
      <c r="C6" t="s">
        <v>10</v>
      </c>
      <c r="D6">
        <v>34852</v>
      </c>
      <c r="E6">
        <v>8</v>
      </c>
    </row>
    <row r="7" spans="1:5" x14ac:dyDescent="0.25">
      <c r="A7" t="s">
        <v>16</v>
      </c>
      <c r="B7" t="s">
        <v>17</v>
      </c>
      <c r="C7" t="s">
        <v>10</v>
      </c>
      <c r="D7">
        <v>53965</v>
      </c>
      <c r="E7">
        <v>6</v>
      </c>
    </row>
    <row r="8" spans="1:5" x14ac:dyDescent="0.25">
      <c r="A8" t="s">
        <v>5</v>
      </c>
      <c r="B8" t="s">
        <v>18</v>
      </c>
      <c r="C8" t="s">
        <v>10</v>
      </c>
      <c r="D8">
        <v>40844</v>
      </c>
      <c r="E8">
        <v>7</v>
      </c>
    </row>
    <row r="9" spans="1:5" x14ac:dyDescent="0.25">
      <c r="A9" t="s">
        <v>19</v>
      </c>
      <c r="B9" t="s">
        <v>20</v>
      </c>
      <c r="C9" t="s">
        <v>10</v>
      </c>
      <c r="D9">
        <v>36221</v>
      </c>
      <c r="E9">
        <v>6</v>
      </c>
    </row>
    <row r="10" spans="1:5" x14ac:dyDescent="0.25">
      <c r="A10" t="s">
        <v>21</v>
      </c>
      <c r="B10" t="s">
        <v>22</v>
      </c>
      <c r="C10" t="s">
        <v>23</v>
      </c>
      <c r="D10">
        <v>53891</v>
      </c>
      <c r="E10">
        <v>1</v>
      </c>
    </row>
    <row r="11" spans="1:5" x14ac:dyDescent="0.25">
      <c r="A11" t="s">
        <v>13</v>
      </c>
      <c r="B11" t="s">
        <v>24</v>
      </c>
      <c r="C11" t="s">
        <v>23</v>
      </c>
      <c r="D11">
        <v>64414</v>
      </c>
      <c r="E11">
        <v>2</v>
      </c>
    </row>
    <row r="12" spans="1:5" x14ac:dyDescent="0.25">
      <c r="A12" t="s">
        <v>8</v>
      </c>
      <c r="B12" t="s">
        <v>25</v>
      </c>
      <c r="C12" t="s">
        <v>23</v>
      </c>
      <c r="D12">
        <v>64671</v>
      </c>
      <c r="E12">
        <v>7</v>
      </c>
    </row>
    <row r="13" spans="1:5" x14ac:dyDescent="0.25">
      <c r="A13" t="s">
        <v>26</v>
      </c>
      <c r="B13" t="s">
        <v>20</v>
      </c>
      <c r="C13" t="s">
        <v>23</v>
      </c>
      <c r="D13">
        <v>90516</v>
      </c>
      <c r="E13">
        <v>7</v>
      </c>
    </row>
    <row r="14" spans="1:5" x14ac:dyDescent="0.25">
      <c r="A14" t="s">
        <v>16</v>
      </c>
      <c r="B14" t="s">
        <v>27</v>
      </c>
      <c r="C14" t="s">
        <v>23</v>
      </c>
      <c r="D14">
        <v>11869</v>
      </c>
      <c r="E14">
        <v>9</v>
      </c>
    </row>
    <row r="15" spans="1:5" x14ac:dyDescent="0.25">
      <c r="A15" t="s">
        <v>26</v>
      </c>
      <c r="B15" t="s">
        <v>28</v>
      </c>
      <c r="C15" t="s">
        <v>23</v>
      </c>
      <c r="D15">
        <v>77253</v>
      </c>
      <c r="E15">
        <v>4</v>
      </c>
    </row>
    <row r="16" spans="1:5" x14ac:dyDescent="0.25">
      <c r="A16" t="s">
        <v>29</v>
      </c>
      <c r="B16" t="s">
        <v>30</v>
      </c>
      <c r="C16" t="s">
        <v>31</v>
      </c>
      <c r="D16">
        <v>47664</v>
      </c>
      <c r="E16">
        <v>3</v>
      </c>
    </row>
    <row r="17" spans="1:5" x14ac:dyDescent="0.25">
      <c r="A17" t="s">
        <v>21</v>
      </c>
      <c r="B17" t="s">
        <v>32</v>
      </c>
      <c r="C17" t="s">
        <v>31</v>
      </c>
      <c r="D17">
        <v>36606</v>
      </c>
      <c r="E17">
        <v>7</v>
      </c>
    </row>
    <row r="18" spans="1:5" x14ac:dyDescent="0.25">
      <c r="A18" t="s">
        <v>19</v>
      </c>
      <c r="B18" t="s">
        <v>33</v>
      </c>
      <c r="C18" t="s">
        <v>31</v>
      </c>
      <c r="D18">
        <v>34803</v>
      </c>
      <c r="E18">
        <v>8</v>
      </c>
    </row>
    <row r="19" spans="1:5" x14ac:dyDescent="0.25">
      <c r="A19" t="s">
        <v>29</v>
      </c>
      <c r="B19" t="s">
        <v>28</v>
      </c>
      <c r="C19" t="s">
        <v>31</v>
      </c>
      <c r="D19">
        <v>35568</v>
      </c>
      <c r="E19">
        <v>6</v>
      </c>
    </row>
    <row r="20" spans="1:5" x14ac:dyDescent="0.25">
      <c r="A20" t="s">
        <v>29</v>
      </c>
      <c r="B20" t="s">
        <v>34</v>
      </c>
      <c r="C20" t="s">
        <v>35</v>
      </c>
      <c r="D20">
        <v>30906</v>
      </c>
      <c r="E20">
        <v>6</v>
      </c>
    </row>
    <row r="21" spans="1:5" x14ac:dyDescent="0.25">
      <c r="A21" t="s">
        <v>11</v>
      </c>
      <c r="B21" t="s">
        <v>36</v>
      </c>
      <c r="C21" t="s">
        <v>35</v>
      </c>
      <c r="D21">
        <v>78858</v>
      </c>
      <c r="E21">
        <v>5</v>
      </c>
    </row>
    <row r="22" spans="1:5" x14ac:dyDescent="0.25">
      <c r="A22" t="s">
        <v>13</v>
      </c>
      <c r="B22" t="s">
        <v>37</v>
      </c>
      <c r="C22" t="s">
        <v>35</v>
      </c>
      <c r="D22">
        <v>42053</v>
      </c>
      <c r="E22">
        <v>9</v>
      </c>
    </row>
    <row r="23" spans="1:5" x14ac:dyDescent="0.25">
      <c r="A23" t="s">
        <v>38</v>
      </c>
      <c r="B23" t="s">
        <v>39</v>
      </c>
      <c r="C23" t="s">
        <v>35</v>
      </c>
      <c r="D23">
        <v>96154</v>
      </c>
      <c r="E23">
        <v>4</v>
      </c>
    </row>
    <row r="24" spans="1:5" x14ac:dyDescent="0.25">
      <c r="A24" t="s">
        <v>29</v>
      </c>
      <c r="B24" t="s">
        <v>40</v>
      </c>
      <c r="C24" t="s">
        <v>41</v>
      </c>
      <c r="D24">
        <v>91473</v>
      </c>
      <c r="E24">
        <v>9</v>
      </c>
    </row>
    <row r="25" spans="1:5" x14ac:dyDescent="0.25">
      <c r="A25" t="s">
        <v>16</v>
      </c>
      <c r="B25" t="s">
        <v>42</v>
      </c>
      <c r="C25" t="s">
        <v>41</v>
      </c>
      <c r="D25">
        <v>93453</v>
      </c>
      <c r="E25">
        <v>6</v>
      </c>
    </row>
    <row r="26" spans="1:5" x14ac:dyDescent="0.25">
      <c r="A26" t="s">
        <v>43</v>
      </c>
      <c r="B26" t="s">
        <v>44</v>
      </c>
      <c r="C26" t="s">
        <v>41</v>
      </c>
      <c r="D26">
        <v>96730</v>
      </c>
      <c r="E26">
        <v>7</v>
      </c>
    </row>
    <row r="27" spans="1:5" x14ac:dyDescent="0.25">
      <c r="A27" t="s">
        <v>8</v>
      </c>
      <c r="B27" t="s">
        <v>45</v>
      </c>
      <c r="C27" t="s">
        <v>41</v>
      </c>
      <c r="D27">
        <v>70964</v>
      </c>
      <c r="E27">
        <v>7</v>
      </c>
    </row>
    <row r="28" spans="1:5" x14ac:dyDescent="0.25">
      <c r="A28" t="s">
        <v>8</v>
      </c>
      <c r="B28" t="s">
        <v>46</v>
      </c>
      <c r="C28" t="s">
        <v>41</v>
      </c>
      <c r="D28">
        <v>86746</v>
      </c>
      <c r="E28">
        <v>8</v>
      </c>
    </row>
    <row r="29" spans="1:5" x14ac:dyDescent="0.25">
      <c r="A29" t="s">
        <v>29</v>
      </c>
      <c r="B29" t="s">
        <v>47</v>
      </c>
      <c r="C29" t="s">
        <v>48</v>
      </c>
      <c r="D29">
        <v>83509</v>
      </c>
      <c r="E29">
        <v>7</v>
      </c>
    </row>
    <row r="30" spans="1:5" x14ac:dyDescent="0.25">
      <c r="A30" t="s">
        <v>8</v>
      </c>
      <c r="B30" t="s">
        <v>49</v>
      </c>
      <c r="C30" t="s">
        <v>48</v>
      </c>
      <c r="D30">
        <v>66696</v>
      </c>
      <c r="E30">
        <v>8</v>
      </c>
    </row>
    <row r="31" spans="1:5" x14ac:dyDescent="0.25">
      <c r="A31" t="s">
        <v>19</v>
      </c>
      <c r="B31" t="s">
        <v>50</v>
      </c>
      <c r="C31" t="s">
        <v>48</v>
      </c>
      <c r="D31">
        <v>88009</v>
      </c>
      <c r="E31">
        <v>7</v>
      </c>
    </row>
    <row r="32" spans="1:5" x14ac:dyDescent="0.25">
      <c r="A32" t="s">
        <v>29</v>
      </c>
      <c r="B32" t="s">
        <v>51</v>
      </c>
      <c r="C32" t="s">
        <v>48</v>
      </c>
      <c r="D32">
        <v>16548</v>
      </c>
      <c r="E32">
        <v>10</v>
      </c>
    </row>
    <row r="33" spans="1:5" x14ac:dyDescent="0.25">
      <c r="A33" t="s">
        <v>21</v>
      </c>
      <c r="B33" t="s">
        <v>52</v>
      </c>
      <c r="C33" t="s">
        <v>48</v>
      </c>
      <c r="D33">
        <v>23333</v>
      </c>
      <c r="E33">
        <v>3</v>
      </c>
    </row>
    <row r="34" spans="1:5" x14ac:dyDescent="0.25">
      <c r="A34" t="s">
        <v>19</v>
      </c>
      <c r="B34" t="s">
        <v>53</v>
      </c>
      <c r="C34" t="s">
        <v>48</v>
      </c>
      <c r="D34">
        <v>46669</v>
      </c>
      <c r="E34">
        <v>7</v>
      </c>
    </row>
    <row r="35" spans="1:5" x14ac:dyDescent="0.25">
      <c r="A35" t="s">
        <v>21</v>
      </c>
      <c r="B35" t="s">
        <v>54</v>
      </c>
      <c r="C35" t="s">
        <v>48</v>
      </c>
      <c r="D35">
        <v>83649</v>
      </c>
      <c r="E35">
        <v>3</v>
      </c>
    </row>
    <row r="36" spans="1:5" x14ac:dyDescent="0.25">
      <c r="A36" t="s">
        <v>55</v>
      </c>
      <c r="B36" t="s">
        <v>52</v>
      </c>
      <c r="C36" t="s">
        <v>56</v>
      </c>
      <c r="D36">
        <v>52636</v>
      </c>
      <c r="E36">
        <v>8</v>
      </c>
    </row>
    <row r="37" spans="1:5" x14ac:dyDescent="0.25">
      <c r="A37" t="s">
        <v>11</v>
      </c>
      <c r="B37" t="s">
        <v>57</v>
      </c>
      <c r="C37" t="s">
        <v>56</v>
      </c>
      <c r="D37">
        <v>36989</v>
      </c>
      <c r="E37">
        <v>1</v>
      </c>
    </row>
    <row r="38" spans="1:5" x14ac:dyDescent="0.25">
      <c r="A38" t="s">
        <v>8</v>
      </c>
      <c r="B38" t="s">
        <v>58</v>
      </c>
      <c r="C38" t="s">
        <v>56</v>
      </c>
      <c r="D38">
        <v>72277</v>
      </c>
      <c r="E38">
        <v>9</v>
      </c>
    </row>
    <row r="39" spans="1:5" x14ac:dyDescent="0.25">
      <c r="A39" t="s">
        <v>5</v>
      </c>
      <c r="B39" t="s">
        <v>59</v>
      </c>
      <c r="C39" t="s">
        <v>56</v>
      </c>
      <c r="D39">
        <v>92551</v>
      </c>
      <c r="E39">
        <v>0</v>
      </c>
    </row>
    <row r="40" spans="1:5" x14ac:dyDescent="0.25">
      <c r="A40" t="s">
        <v>11</v>
      </c>
      <c r="B40" t="s">
        <v>60</v>
      </c>
      <c r="C40" t="s">
        <v>56</v>
      </c>
      <c r="D40">
        <v>60042</v>
      </c>
      <c r="E40">
        <v>3</v>
      </c>
    </row>
    <row r="41" spans="1:5" x14ac:dyDescent="0.25">
      <c r="A41" t="s">
        <v>38</v>
      </c>
      <c r="B41" t="s">
        <v>61</v>
      </c>
      <c r="C41" t="s">
        <v>62</v>
      </c>
      <c r="D41">
        <v>98689</v>
      </c>
      <c r="E41">
        <v>7</v>
      </c>
    </row>
    <row r="42" spans="1:5" x14ac:dyDescent="0.25">
      <c r="A42" t="s">
        <v>16</v>
      </c>
      <c r="B42" t="s">
        <v>63</v>
      </c>
      <c r="C42" t="s">
        <v>62</v>
      </c>
      <c r="D42">
        <v>13769</v>
      </c>
      <c r="E42">
        <v>4</v>
      </c>
    </row>
    <row r="43" spans="1:5" x14ac:dyDescent="0.25">
      <c r="A43" t="s">
        <v>26</v>
      </c>
      <c r="B43" t="s">
        <v>64</v>
      </c>
      <c r="C43" t="s">
        <v>62</v>
      </c>
      <c r="D43">
        <v>52423</v>
      </c>
      <c r="E43">
        <v>8</v>
      </c>
    </row>
    <row r="44" spans="1:5" x14ac:dyDescent="0.25">
      <c r="A44" t="s">
        <v>11</v>
      </c>
      <c r="B44" t="s">
        <v>65</v>
      </c>
      <c r="C44" t="s">
        <v>66</v>
      </c>
      <c r="D44">
        <v>83818</v>
      </c>
      <c r="E44">
        <v>9</v>
      </c>
    </row>
    <row r="45" spans="1:5" x14ac:dyDescent="0.25">
      <c r="A45" t="s">
        <v>26</v>
      </c>
      <c r="B45" t="s">
        <v>67</v>
      </c>
      <c r="C45" t="s">
        <v>66</v>
      </c>
      <c r="D45">
        <v>12919</v>
      </c>
      <c r="E45">
        <v>9</v>
      </c>
    </row>
    <row r="46" spans="1:5" x14ac:dyDescent="0.25">
      <c r="A46" t="s">
        <v>11</v>
      </c>
      <c r="B46" t="s">
        <v>68</v>
      </c>
      <c r="C46" t="s">
        <v>69</v>
      </c>
      <c r="D46">
        <v>20920</v>
      </c>
      <c r="E46">
        <v>8</v>
      </c>
    </row>
    <row r="47" spans="1:5" x14ac:dyDescent="0.25">
      <c r="A47" t="s">
        <v>19</v>
      </c>
      <c r="B47" t="s">
        <v>49</v>
      </c>
      <c r="C47" t="s">
        <v>70</v>
      </c>
      <c r="D47">
        <v>76415</v>
      </c>
      <c r="E47">
        <v>2</v>
      </c>
    </row>
    <row r="48" spans="1:5" x14ac:dyDescent="0.25">
      <c r="A48" t="s">
        <v>19</v>
      </c>
      <c r="B48" t="s">
        <v>71</v>
      </c>
      <c r="C48" t="s">
        <v>70</v>
      </c>
      <c r="D48">
        <v>39344</v>
      </c>
      <c r="E48">
        <v>7</v>
      </c>
    </row>
    <row r="49" spans="1:5" x14ac:dyDescent="0.25">
      <c r="A49" t="s">
        <v>55</v>
      </c>
      <c r="B49" t="s">
        <v>72</v>
      </c>
      <c r="C49" t="s">
        <v>70</v>
      </c>
      <c r="D49">
        <v>81290</v>
      </c>
      <c r="E49">
        <v>8</v>
      </c>
    </row>
    <row r="50" spans="1:5" x14ac:dyDescent="0.25">
      <c r="A50" t="s">
        <v>26</v>
      </c>
      <c r="B50" t="s">
        <v>73</v>
      </c>
      <c r="C50" t="s">
        <v>70</v>
      </c>
      <c r="D50">
        <v>17566</v>
      </c>
      <c r="E50">
        <v>4</v>
      </c>
    </row>
    <row r="51" spans="1:5" x14ac:dyDescent="0.25">
      <c r="A51" t="s">
        <v>16</v>
      </c>
      <c r="B51" t="s">
        <v>74</v>
      </c>
      <c r="C51" t="s">
        <v>70</v>
      </c>
      <c r="D51">
        <v>24743</v>
      </c>
      <c r="E51">
        <v>9</v>
      </c>
    </row>
    <row r="52" spans="1:5" x14ac:dyDescent="0.25">
      <c r="A52" t="s">
        <v>21</v>
      </c>
      <c r="B52" t="s">
        <v>75</v>
      </c>
      <c r="C52" t="s">
        <v>70</v>
      </c>
      <c r="D52">
        <v>12641</v>
      </c>
      <c r="E52">
        <v>2</v>
      </c>
    </row>
    <row r="53" spans="1:5" x14ac:dyDescent="0.25">
      <c r="A53" t="s">
        <v>19</v>
      </c>
      <c r="B53" t="s">
        <v>76</v>
      </c>
      <c r="C53" t="s">
        <v>70</v>
      </c>
      <c r="D53">
        <v>50083</v>
      </c>
      <c r="E53">
        <v>2</v>
      </c>
    </row>
    <row r="54" spans="1:5" x14ac:dyDescent="0.25">
      <c r="A54" t="s">
        <v>19</v>
      </c>
      <c r="B54" t="s">
        <v>77</v>
      </c>
      <c r="C54" t="s">
        <v>70</v>
      </c>
      <c r="D54">
        <v>84729</v>
      </c>
      <c r="E54">
        <v>7</v>
      </c>
    </row>
    <row r="55" spans="1:5" x14ac:dyDescent="0.25">
      <c r="A55" t="s">
        <v>43</v>
      </c>
      <c r="B55" t="s">
        <v>61</v>
      </c>
      <c r="C55" t="s">
        <v>70</v>
      </c>
      <c r="D55">
        <v>45532</v>
      </c>
      <c r="E55">
        <v>10</v>
      </c>
    </row>
    <row r="56" spans="1:5" x14ac:dyDescent="0.25">
      <c r="A56" t="s">
        <v>19</v>
      </c>
      <c r="B56" t="s">
        <v>78</v>
      </c>
      <c r="C56" t="s">
        <v>70</v>
      </c>
      <c r="D56">
        <v>62998</v>
      </c>
      <c r="E56">
        <v>6</v>
      </c>
    </row>
    <row r="57" spans="1:5" x14ac:dyDescent="0.25">
      <c r="A57" t="s">
        <v>26</v>
      </c>
      <c r="B57" t="s">
        <v>79</v>
      </c>
      <c r="C57" t="s">
        <v>80</v>
      </c>
      <c r="D57">
        <v>40276</v>
      </c>
      <c r="E57">
        <v>5</v>
      </c>
    </row>
    <row r="58" spans="1:5" x14ac:dyDescent="0.25">
      <c r="A58" t="s">
        <v>26</v>
      </c>
      <c r="B58" t="s">
        <v>81</v>
      </c>
      <c r="C58" t="s">
        <v>80</v>
      </c>
      <c r="D58">
        <v>69923</v>
      </c>
      <c r="E58">
        <v>9</v>
      </c>
    </row>
    <row r="59" spans="1:5" x14ac:dyDescent="0.25">
      <c r="A59" t="s">
        <v>21</v>
      </c>
      <c r="B59" t="s">
        <v>33</v>
      </c>
      <c r="C59" t="s">
        <v>80</v>
      </c>
      <c r="D59">
        <v>50549</v>
      </c>
      <c r="E59">
        <v>5</v>
      </c>
    </row>
    <row r="60" spans="1:5" x14ac:dyDescent="0.25">
      <c r="A60" t="s">
        <v>13</v>
      </c>
      <c r="B60" t="s">
        <v>82</v>
      </c>
      <c r="C60" t="s">
        <v>83</v>
      </c>
      <c r="D60">
        <v>12904</v>
      </c>
      <c r="E60">
        <v>7</v>
      </c>
    </row>
    <row r="61" spans="1:5" x14ac:dyDescent="0.25">
      <c r="A61" t="s">
        <v>13</v>
      </c>
      <c r="B61" t="s">
        <v>71</v>
      </c>
      <c r="C61" t="s">
        <v>83</v>
      </c>
      <c r="D61">
        <v>17534</v>
      </c>
      <c r="E61">
        <v>7</v>
      </c>
    </row>
    <row r="62" spans="1:5" x14ac:dyDescent="0.25">
      <c r="A62" t="s">
        <v>43</v>
      </c>
      <c r="B62" t="s">
        <v>33</v>
      </c>
      <c r="C62" t="s">
        <v>83</v>
      </c>
      <c r="D62">
        <v>12396</v>
      </c>
      <c r="E62">
        <v>7</v>
      </c>
    </row>
    <row r="63" spans="1:5" x14ac:dyDescent="0.25">
      <c r="A63" t="s">
        <v>5</v>
      </c>
      <c r="B63" t="s">
        <v>84</v>
      </c>
      <c r="C63" t="s">
        <v>83</v>
      </c>
      <c r="D63">
        <v>76266</v>
      </c>
      <c r="E63">
        <v>7</v>
      </c>
    </row>
    <row r="64" spans="1:5" x14ac:dyDescent="0.25">
      <c r="A64" t="s">
        <v>11</v>
      </c>
      <c r="B64" t="s">
        <v>85</v>
      </c>
      <c r="C64" t="s">
        <v>86</v>
      </c>
      <c r="D64">
        <v>53281</v>
      </c>
      <c r="E64">
        <v>9</v>
      </c>
    </row>
    <row r="65" spans="1:5" x14ac:dyDescent="0.25">
      <c r="A65" t="s">
        <v>8</v>
      </c>
      <c r="B65" t="s">
        <v>30</v>
      </c>
      <c r="C65" t="s">
        <v>86</v>
      </c>
      <c r="D65">
        <v>57888</v>
      </c>
      <c r="E65">
        <v>1</v>
      </c>
    </row>
    <row r="66" spans="1:5" x14ac:dyDescent="0.25">
      <c r="A66" t="s">
        <v>29</v>
      </c>
      <c r="B66" t="s">
        <v>87</v>
      </c>
      <c r="C66" t="s">
        <v>86</v>
      </c>
      <c r="D66">
        <v>82564</v>
      </c>
      <c r="E66">
        <v>3</v>
      </c>
    </row>
    <row r="67" spans="1:5" x14ac:dyDescent="0.25">
      <c r="A67" t="s">
        <v>21</v>
      </c>
      <c r="B67" t="s">
        <v>88</v>
      </c>
      <c r="C67" t="s">
        <v>86</v>
      </c>
      <c r="D67">
        <v>32795</v>
      </c>
      <c r="E67">
        <v>8</v>
      </c>
    </row>
    <row r="68" spans="1:5" x14ac:dyDescent="0.25">
      <c r="A68" t="s">
        <v>16</v>
      </c>
      <c r="B68" t="s">
        <v>89</v>
      </c>
      <c r="C68" t="s">
        <v>90</v>
      </c>
      <c r="D68">
        <v>25942</v>
      </c>
      <c r="E68">
        <v>4</v>
      </c>
    </row>
    <row r="69" spans="1:5" x14ac:dyDescent="0.25">
      <c r="A69" t="s">
        <v>13</v>
      </c>
      <c r="B69" t="s">
        <v>91</v>
      </c>
      <c r="C69" t="s">
        <v>90</v>
      </c>
      <c r="D69">
        <v>58105</v>
      </c>
      <c r="E69">
        <v>5</v>
      </c>
    </row>
    <row r="70" spans="1:5" x14ac:dyDescent="0.25">
      <c r="A70" t="s">
        <v>16</v>
      </c>
      <c r="B70" t="s">
        <v>92</v>
      </c>
      <c r="C70" t="s">
        <v>90</v>
      </c>
      <c r="D70">
        <v>40851</v>
      </c>
      <c r="E70">
        <v>1</v>
      </c>
    </row>
    <row r="71" spans="1:5" x14ac:dyDescent="0.25">
      <c r="A71" t="s">
        <v>43</v>
      </c>
      <c r="B71" t="s">
        <v>93</v>
      </c>
      <c r="C71" t="s">
        <v>90</v>
      </c>
      <c r="D71">
        <v>51478</v>
      </c>
      <c r="E71">
        <v>9</v>
      </c>
    </row>
    <row r="72" spans="1:5" x14ac:dyDescent="0.25">
      <c r="A72" t="s">
        <v>8</v>
      </c>
      <c r="B72" t="s">
        <v>94</v>
      </c>
      <c r="C72" t="s">
        <v>95</v>
      </c>
      <c r="D72">
        <v>65190</v>
      </c>
      <c r="E72">
        <v>10</v>
      </c>
    </row>
    <row r="73" spans="1:5" x14ac:dyDescent="0.25">
      <c r="A73" t="s">
        <v>8</v>
      </c>
      <c r="B73" t="s">
        <v>96</v>
      </c>
      <c r="C73" t="s">
        <v>95</v>
      </c>
      <c r="D73">
        <v>41211</v>
      </c>
      <c r="E73">
        <v>7</v>
      </c>
    </row>
    <row r="74" spans="1:5" x14ac:dyDescent="0.25">
      <c r="A74" t="s">
        <v>11</v>
      </c>
      <c r="B74" t="s">
        <v>44</v>
      </c>
      <c r="C74" t="s">
        <v>95</v>
      </c>
      <c r="D74">
        <v>82990</v>
      </c>
      <c r="E74">
        <v>8</v>
      </c>
    </row>
    <row r="75" spans="1:5" x14ac:dyDescent="0.25">
      <c r="A75" t="s">
        <v>13</v>
      </c>
      <c r="B75" t="s">
        <v>97</v>
      </c>
      <c r="C75" t="s">
        <v>95</v>
      </c>
      <c r="D75">
        <v>86833</v>
      </c>
      <c r="E75">
        <v>7</v>
      </c>
    </row>
    <row r="76" spans="1:5" x14ac:dyDescent="0.25">
      <c r="A76" t="s">
        <v>43</v>
      </c>
      <c r="B76" t="s">
        <v>98</v>
      </c>
      <c r="C76" t="s">
        <v>95</v>
      </c>
      <c r="D76">
        <v>23376</v>
      </c>
      <c r="E76">
        <v>2</v>
      </c>
    </row>
    <row r="77" spans="1:5" x14ac:dyDescent="0.25">
      <c r="A77" t="s">
        <v>5</v>
      </c>
      <c r="B77" t="s">
        <v>59</v>
      </c>
      <c r="C77" t="s">
        <v>99</v>
      </c>
      <c r="D77">
        <v>84125</v>
      </c>
      <c r="E77">
        <v>8</v>
      </c>
    </row>
    <row r="78" spans="1:5" x14ac:dyDescent="0.25">
      <c r="A78" t="s">
        <v>55</v>
      </c>
      <c r="B78" t="s">
        <v>100</v>
      </c>
      <c r="C78" t="s">
        <v>101</v>
      </c>
      <c r="D78">
        <v>79288</v>
      </c>
      <c r="E78">
        <v>8</v>
      </c>
    </row>
    <row r="79" spans="1:5" x14ac:dyDescent="0.25">
      <c r="A79" t="s">
        <v>5</v>
      </c>
      <c r="B79" t="s">
        <v>102</v>
      </c>
      <c r="C79" t="s">
        <v>103</v>
      </c>
      <c r="D79">
        <v>62243</v>
      </c>
      <c r="E79">
        <v>4</v>
      </c>
    </row>
    <row r="80" spans="1:5" x14ac:dyDescent="0.25">
      <c r="A80" t="s">
        <v>38</v>
      </c>
      <c r="B80" t="s">
        <v>104</v>
      </c>
      <c r="C80" t="s">
        <v>103</v>
      </c>
      <c r="D80">
        <v>55242</v>
      </c>
      <c r="E80">
        <v>8</v>
      </c>
    </row>
    <row r="81" spans="1:5" x14ac:dyDescent="0.25">
      <c r="A81" t="s">
        <v>13</v>
      </c>
      <c r="B81" t="s">
        <v>105</v>
      </c>
      <c r="C81" t="s">
        <v>103</v>
      </c>
      <c r="D81">
        <v>49740</v>
      </c>
      <c r="E81">
        <v>7</v>
      </c>
    </row>
    <row r="82" spans="1:5" x14ac:dyDescent="0.25">
      <c r="A82" t="s">
        <v>29</v>
      </c>
      <c r="B82" t="s">
        <v>106</v>
      </c>
      <c r="C82" t="s">
        <v>103</v>
      </c>
      <c r="D82">
        <v>10413</v>
      </c>
      <c r="E82">
        <v>3</v>
      </c>
    </row>
    <row r="83" spans="1:5" x14ac:dyDescent="0.25">
      <c r="A83" t="s">
        <v>16</v>
      </c>
      <c r="B83" t="s">
        <v>107</v>
      </c>
      <c r="C83" t="s">
        <v>103</v>
      </c>
      <c r="D83">
        <v>69216</v>
      </c>
      <c r="E83">
        <v>2</v>
      </c>
    </row>
    <row r="84" spans="1:5" x14ac:dyDescent="0.25">
      <c r="A84" t="s">
        <v>55</v>
      </c>
      <c r="B84" t="s">
        <v>58</v>
      </c>
      <c r="C84" t="s">
        <v>108</v>
      </c>
      <c r="D84">
        <v>12296</v>
      </c>
      <c r="E84">
        <v>6</v>
      </c>
    </row>
    <row r="85" spans="1:5" x14ac:dyDescent="0.25">
      <c r="A85" t="s">
        <v>11</v>
      </c>
      <c r="B85" t="s">
        <v>49</v>
      </c>
      <c r="C85" t="s">
        <v>108</v>
      </c>
      <c r="D85">
        <v>92277</v>
      </c>
      <c r="E85">
        <v>10</v>
      </c>
    </row>
    <row r="86" spans="1:5" x14ac:dyDescent="0.25">
      <c r="A86" t="s">
        <v>21</v>
      </c>
      <c r="B86" t="s">
        <v>109</v>
      </c>
      <c r="C86" t="s">
        <v>108</v>
      </c>
      <c r="D86">
        <v>54417</v>
      </c>
      <c r="E86">
        <v>7</v>
      </c>
    </row>
    <row r="87" spans="1:5" x14ac:dyDescent="0.25">
      <c r="A87" t="s">
        <v>19</v>
      </c>
      <c r="B87" t="s">
        <v>53</v>
      </c>
      <c r="C87" t="s">
        <v>110</v>
      </c>
      <c r="D87">
        <v>15040</v>
      </c>
      <c r="E87">
        <v>10</v>
      </c>
    </row>
    <row r="88" spans="1:5" x14ac:dyDescent="0.25">
      <c r="A88" t="s">
        <v>11</v>
      </c>
      <c r="B88" t="s">
        <v>111</v>
      </c>
      <c r="C88" t="s">
        <v>110</v>
      </c>
      <c r="D88">
        <v>44609</v>
      </c>
      <c r="E88">
        <v>10</v>
      </c>
    </row>
    <row r="89" spans="1:5" x14ac:dyDescent="0.25">
      <c r="A89" t="s">
        <v>38</v>
      </c>
      <c r="B89" t="s">
        <v>20</v>
      </c>
      <c r="C89" t="s">
        <v>110</v>
      </c>
      <c r="D89">
        <v>83960</v>
      </c>
      <c r="E89">
        <v>9</v>
      </c>
    </row>
    <row r="90" spans="1:5" x14ac:dyDescent="0.25">
      <c r="A90" t="s">
        <v>21</v>
      </c>
      <c r="B90" t="s">
        <v>112</v>
      </c>
      <c r="C90" t="s">
        <v>110</v>
      </c>
      <c r="D90">
        <v>99866</v>
      </c>
      <c r="E90">
        <v>6</v>
      </c>
    </row>
    <row r="91" spans="1:5" x14ac:dyDescent="0.25">
      <c r="A91" t="s">
        <v>13</v>
      </c>
      <c r="B91" t="s">
        <v>113</v>
      </c>
      <c r="C91" t="s">
        <v>110</v>
      </c>
      <c r="D91">
        <v>68538</v>
      </c>
      <c r="E91">
        <v>7</v>
      </c>
    </row>
    <row r="92" spans="1:5" x14ac:dyDescent="0.25">
      <c r="A92" t="s">
        <v>55</v>
      </c>
      <c r="B92" t="s">
        <v>114</v>
      </c>
      <c r="C92" t="s">
        <v>110</v>
      </c>
      <c r="D92">
        <v>21953</v>
      </c>
      <c r="E92">
        <v>5</v>
      </c>
    </row>
    <row r="93" spans="1:5" x14ac:dyDescent="0.25">
      <c r="A93" t="s">
        <v>55</v>
      </c>
      <c r="B93" t="s">
        <v>115</v>
      </c>
      <c r="C93" t="s">
        <v>110</v>
      </c>
      <c r="D93">
        <v>79761</v>
      </c>
      <c r="E93">
        <v>7</v>
      </c>
    </row>
    <row r="94" spans="1:5" x14ac:dyDescent="0.25">
      <c r="A94" t="s">
        <v>21</v>
      </c>
      <c r="B94" t="s">
        <v>116</v>
      </c>
      <c r="C94" t="s">
        <v>117</v>
      </c>
      <c r="D94">
        <v>76873</v>
      </c>
      <c r="E94">
        <v>8</v>
      </c>
    </row>
    <row r="95" spans="1:5" x14ac:dyDescent="0.25">
      <c r="A95" t="s">
        <v>43</v>
      </c>
      <c r="B95" t="s">
        <v>118</v>
      </c>
      <c r="C95" t="s">
        <v>117</v>
      </c>
      <c r="D95">
        <v>98225</v>
      </c>
      <c r="E95">
        <v>2</v>
      </c>
    </row>
    <row r="96" spans="1:5" x14ac:dyDescent="0.25">
      <c r="A96" t="s">
        <v>5</v>
      </c>
      <c r="B96" t="s">
        <v>119</v>
      </c>
      <c r="C96" t="s">
        <v>120</v>
      </c>
      <c r="D96">
        <v>87885</v>
      </c>
      <c r="E96">
        <v>7</v>
      </c>
    </row>
    <row r="97" spans="1:5" x14ac:dyDescent="0.25">
      <c r="A97" t="s">
        <v>19</v>
      </c>
      <c r="B97" t="s">
        <v>121</v>
      </c>
      <c r="C97" t="s">
        <v>120</v>
      </c>
      <c r="D97">
        <v>73925</v>
      </c>
      <c r="E97">
        <v>7</v>
      </c>
    </row>
    <row r="98" spans="1:5" x14ac:dyDescent="0.25">
      <c r="A98" t="s">
        <v>11</v>
      </c>
      <c r="B98" t="s">
        <v>72</v>
      </c>
      <c r="C98" t="s">
        <v>122</v>
      </c>
      <c r="D98">
        <v>16819</v>
      </c>
      <c r="E98">
        <v>6</v>
      </c>
    </row>
    <row r="99" spans="1:5" x14ac:dyDescent="0.25">
      <c r="A99" t="s">
        <v>16</v>
      </c>
      <c r="B99" t="s">
        <v>118</v>
      </c>
      <c r="C99" t="s">
        <v>122</v>
      </c>
      <c r="D99">
        <v>67357</v>
      </c>
      <c r="E99">
        <v>8</v>
      </c>
    </row>
    <row r="100" spans="1:5" x14ac:dyDescent="0.25">
      <c r="A100" t="s">
        <v>11</v>
      </c>
      <c r="B100" t="s">
        <v>123</v>
      </c>
      <c r="C100" t="s">
        <v>124</v>
      </c>
      <c r="D100">
        <v>54932</v>
      </c>
      <c r="E100">
        <v>8</v>
      </c>
    </row>
    <row r="101" spans="1:5" x14ac:dyDescent="0.25">
      <c r="A101" t="s">
        <v>21</v>
      </c>
      <c r="B101" t="s">
        <v>125</v>
      </c>
      <c r="C101" t="s">
        <v>124</v>
      </c>
      <c r="D101">
        <v>89018</v>
      </c>
      <c r="E101">
        <v>3</v>
      </c>
    </row>
    <row r="102" spans="1:5" x14ac:dyDescent="0.25">
      <c r="A102" t="s">
        <v>8</v>
      </c>
      <c r="B102" t="s">
        <v>33</v>
      </c>
      <c r="C102" t="s">
        <v>124</v>
      </c>
      <c r="D102">
        <v>55568</v>
      </c>
      <c r="E102">
        <v>8</v>
      </c>
    </row>
    <row r="103" spans="1:5" x14ac:dyDescent="0.25">
      <c r="A103" t="s">
        <v>26</v>
      </c>
      <c r="B103" t="s">
        <v>126</v>
      </c>
      <c r="C103" t="s">
        <v>124</v>
      </c>
      <c r="D103">
        <v>39167</v>
      </c>
      <c r="E103">
        <v>7</v>
      </c>
    </row>
    <row r="104" spans="1:5" x14ac:dyDescent="0.25">
      <c r="A104" t="s">
        <v>38</v>
      </c>
      <c r="B104" t="s">
        <v>115</v>
      </c>
      <c r="C104" t="s">
        <v>124</v>
      </c>
      <c r="D104">
        <v>49275</v>
      </c>
      <c r="E104">
        <v>5</v>
      </c>
    </row>
    <row r="105" spans="1:5" x14ac:dyDescent="0.25">
      <c r="A105" t="s">
        <v>11</v>
      </c>
      <c r="B105" t="s">
        <v>119</v>
      </c>
      <c r="C105" t="s">
        <v>124</v>
      </c>
      <c r="D105">
        <v>45465</v>
      </c>
      <c r="E105">
        <v>2</v>
      </c>
    </row>
    <row r="106" spans="1:5" x14ac:dyDescent="0.25">
      <c r="A106" t="s">
        <v>21</v>
      </c>
      <c r="B106" t="s">
        <v>127</v>
      </c>
      <c r="C106" t="s">
        <v>128</v>
      </c>
      <c r="D106">
        <v>79509</v>
      </c>
      <c r="E106">
        <v>1</v>
      </c>
    </row>
    <row r="107" spans="1:5" x14ac:dyDescent="0.25">
      <c r="A107" t="s">
        <v>11</v>
      </c>
      <c r="B107" t="s">
        <v>129</v>
      </c>
      <c r="C107" t="s">
        <v>128</v>
      </c>
      <c r="D107">
        <v>35986</v>
      </c>
      <c r="E107">
        <v>5</v>
      </c>
    </row>
    <row r="108" spans="1:5" x14ac:dyDescent="0.25">
      <c r="A108" t="s">
        <v>8</v>
      </c>
      <c r="B108" t="s">
        <v>130</v>
      </c>
      <c r="C108" t="s">
        <v>128</v>
      </c>
      <c r="D108">
        <v>96551</v>
      </c>
      <c r="E108">
        <v>8</v>
      </c>
    </row>
    <row r="109" spans="1:5" x14ac:dyDescent="0.25">
      <c r="A109" t="s">
        <v>43</v>
      </c>
      <c r="B109" t="s">
        <v>131</v>
      </c>
      <c r="C109" t="s">
        <v>128</v>
      </c>
      <c r="D109">
        <v>15687</v>
      </c>
      <c r="E109">
        <v>10</v>
      </c>
    </row>
    <row r="110" spans="1:5" x14ac:dyDescent="0.25">
      <c r="A110" t="s">
        <v>38</v>
      </c>
      <c r="B110" t="s">
        <v>33</v>
      </c>
      <c r="C110" t="s">
        <v>128</v>
      </c>
      <c r="D110">
        <v>17727</v>
      </c>
      <c r="E110">
        <v>5</v>
      </c>
    </row>
    <row r="111" spans="1:5" x14ac:dyDescent="0.25">
      <c r="A111" t="s">
        <v>13</v>
      </c>
      <c r="B111" t="s">
        <v>37</v>
      </c>
      <c r="C111" t="s">
        <v>132</v>
      </c>
      <c r="D111">
        <v>70055</v>
      </c>
      <c r="E111">
        <v>9</v>
      </c>
    </row>
    <row r="112" spans="1:5" x14ac:dyDescent="0.25">
      <c r="A112" t="s">
        <v>43</v>
      </c>
      <c r="B112" t="s">
        <v>126</v>
      </c>
      <c r="C112" t="s">
        <v>132</v>
      </c>
      <c r="D112">
        <v>25336</v>
      </c>
      <c r="E112">
        <v>5</v>
      </c>
    </row>
    <row r="113" spans="1:5" x14ac:dyDescent="0.25">
      <c r="A113" t="s">
        <v>26</v>
      </c>
      <c r="B113" t="s">
        <v>111</v>
      </c>
      <c r="C113" t="s">
        <v>132</v>
      </c>
      <c r="D113">
        <v>84476</v>
      </c>
      <c r="E113">
        <v>10</v>
      </c>
    </row>
    <row r="114" spans="1:5" x14ac:dyDescent="0.25">
      <c r="A114" t="s">
        <v>5</v>
      </c>
      <c r="B114" t="s">
        <v>118</v>
      </c>
      <c r="C114" t="s">
        <v>133</v>
      </c>
      <c r="D114">
        <v>72638</v>
      </c>
      <c r="E114">
        <v>7</v>
      </c>
    </row>
    <row r="115" spans="1:5" x14ac:dyDescent="0.25">
      <c r="A115" t="s">
        <v>43</v>
      </c>
      <c r="B115" t="s">
        <v>134</v>
      </c>
      <c r="C115" t="s">
        <v>133</v>
      </c>
      <c r="D115">
        <v>96754</v>
      </c>
      <c r="E115">
        <v>2</v>
      </c>
    </row>
    <row r="116" spans="1:5" x14ac:dyDescent="0.25">
      <c r="A116" t="s">
        <v>55</v>
      </c>
      <c r="B116" t="s">
        <v>135</v>
      </c>
      <c r="C116" t="s">
        <v>133</v>
      </c>
      <c r="D116">
        <v>42649</v>
      </c>
      <c r="E116">
        <v>8</v>
      </c>
    </row>
    <row r="117" spans="1:5" x14ac:dyDescent="0.25">
      <c r="A117" t="s">
        <v>11</v>
      </c>
      <c r="B117" t="s">
        <v>136</v>
      </c>
      <c r="C117" t="s">
        <v>137</v>
      </c>
      <c r="D117">
        <v>26245</v>
      </c>
      <c r="E117">
        <v>7</v>
      </c>
    </row>
    <row r="118" spans="1:5" x14ac:dyDescent="0.25">
      <c r="A118" t="s">
        <v>21</v>
      </c>
      <c r="B118" t="s">
        <v>138</v>
      </c>
      <c r="C118" t="s">
        <v>137</v>
      </c>
      <c r="D118">
        <v>58245</v>
      </c>
      <c r="E118">
        <v>7</v>
      </c>
    </row>
    <row r="119" spans="1:5" x14ac:dyDescent="0.25">
      <c r="A119" t="s">
        <v>43</v>
      </c>
      <c r="B119" t="s">
        <v>139</v>
      </c>
      <c r="C119" t="s">
        <v>137</v>
      </c>
      <c r="D119">
        <v>57594</v>
      </c>
      <c r="E119">
        <v>8</v>
      </c>
    </row>
    <row r="120" spans="1:5" x14ac:dyDescent="0.25">
      <c r="A120" t="s">
        <v>43</v>
      </c>
      <c r="B120" t="s">
        <v>32</v>
      </c>
      <c r="C120" t="s">
        <v>137</v>
      </c>
      <c r="D120">
        <v>75379</v>
      </c>
      <c r="E120">
        <v>8</v>
      </c>
    </row>
    <row r="121" spans="1:5" x14ac:dyDescent="0.25">
      <c r="A121" t="s">
        <v>38</v>
      </c>
      <c r="B121" t="s">
        <v>125</v>
      </c>
      <c r="C121" t="s">
        <v>140</v>
      </c>
      <c r="D121">
        <v>67241</v>
      </c>
      <c r="E121">
        <v>7</v>
      </c>
    </row>
    <row r="122" spans="1:5" x14ac:dyDescent="0.25">
      <c r="A122" t="s">
        <v>55</v>
      </c>
      <c r="B122" t="s">
        <v>59</v>
      </c>
      <c r="C122" t="s">
        <v>140</v>
      </c>
      <c r="D122">
        <v>66629</v>
      </c>
      <c r="E122">
        <v>8</v>
      </c>
    </row>
    <row r="123" spans="1:5" x14ac:dyDescent="0.25">
      <c r="A123" t="s">
        <v>26</v>
      </c>
      <c r="B123" t="s">
        <v>141</v>
      </c>
      <c r="C123" t="s">
        <v>142</v>
      </c>
      <c r="D123">
        <v>53271</v>
      </c>
      <c r="E123">
        <v>7</v>
      </c>
    </row>
    <row r="124" spans="1:5" x14ac:dyDescent="0.25">
      <c r="A124" t="s">
        <v>29</v>
      </c>
      <c r="B124" t="s">
        <v>143</v>
      </c>
      <c r="C124" t="s">
        <v>142</v>
      </c>
      <c r="D124">
        <v>26291</v>
      </c>
      <c r="E124">
        <v>2</v>
      </c>
    </row>
    <row r="125" spans="1:5" x14ac:dyDescent="0.25">
      <c r="A125" t="s">
        <v>38</v>
      </c>
      <c r="B125" t="s">
        <v>144</v>
      </c>
      <c r="C125" t="s">
        <v>142</v>
      </c>
      <c r="D125">
        <v>49349</v>
      </c>
      <c r="E125">
        <v>5</v>
      </c>
    </row>
    <row r="126" spans="1:5" x14ac:dyDescent="0.25">
      <c r="A126" t="s">
        <v>19</v>
      </c>
      <c r="B126" t="s">
        <v>18</v>
      </c>
      <c r="C126" t="s">
        <v>142</v>
      </c>
      <c r="D126">
        <v>26952</v>
      </c>
      <c r="E126">
        <v>9</v>
      </c>
    </row>
    <row r="127" spans="1:5" x14ac:dyDescent="0.25">
      <c r="A127" t="s">
        <v>55</v>
      </c>
      <c r="B127" t="s">
        <v>74</v>
      </c>
      <c r="C127" t="s">
        <v>142</v>
      </c>
      <c r="D127">
        <v>32992</v>
      </c>
      <c r="E127">
        <v>9</v>
      </c>
    </row>
    <row r="128" spans="1:5" x14ac:dyDescent="0.25">
      <c r="A128" t="s">
        <v>19</v>
      </c>
      <c r="B128" t="s">
        <v>145</v>
      </c>
      <c r="C128" t="s">
        <v>142</v>
      </c>
      <c r="D128">
        <v>50994</v>
      </c>
      <c r="E128">
        <v>6</v>
      </c>
    </row>
    <row r="129" spans="1:5" x14ac:dyDescent="0.25">
      <c r="A129" t="s">
        <v>13</v>
      </c>
      <c r="B129" t="s">
        <v>146</v>
      </c>
      <c r="C129" t="s">
        <v>147</v>
      </c>
      <c r="D129">
        <v>97607</v>
      </c>
      <c r="E129">
        <v>7</v>
      </c>
    </row>
    <row r="130" spans="1:5" x14ac:dyDescent="0.25">
      <c r="A130" t="s">
        <v>16</v>
      </c>
      <c r="B130" t="s">
        <v>148</v>
      </c>
      <c r="C130" t="s">
        <v>147</v>
      </c>
      <c r="D130">
        <v>98228</v>
      </c>
      <c r="E130">
        <v>2</v>
      </c>
    </row>
    <row r="131" spans="1:5" x14ac:dyDescent="0.25">
      <c r="A131" t="s">
        <v>13</v>
      </c>
      <c r="B131" t="s">
        <v>149</v>
      </c>
      <c r="C131" t="s">
        <v>147</v>
      </c>
      <c r="D131">
        <v>54979</v>
      </c>
      <c r="E131">
        <v>9</v>
      </c>
    </row>
    <row r="132" spans="1:5" x14ac:dyDescent="0.25">
      <c r="A132" t="s">
        <v>11</v>
      </c>
      <c r="B132" t="s">
        <v>76</v>
      </c>
      <c r="C132" t="s">
        <v>150</v>
      </c>
      <c r="D132">
        <v>59356</v>
      </c>
      <c r="E132">
        <v>6</v>
      </c>
    </row>
    <row r="133" spans="1:5" x14ac:dyDescent="0.25">
      <c r="A133" t="s">
        <v>11</v>
      </c>
      <c r="B133" t="s">
        <v>119</v>
      </c>
      <c r="C133" t="s">
        <v>150</v>
      </c>
      <c r="D133">
        <v>76647</v>
      </c>
      <c r="E133">
        <v>10</v>
      </c>
    </row>
    <row r="134" spans="1:5" x14ac:dyDescent="0.25">
      <c r="A134" t="s">
        <v>55</v>
      </c>
      <c r="B134" t="s">
        <v>151</v>
      </c>
      <c r="C134" t="s">
        <v>150</v>
      </c>
      <c r="D134">
        <v>50770</v>
      </c>
      <c r="E134">
        <v>5</v>
      </c>
    </row>
    <row r="135" spans="1:5" x14ac:dyDescent="0.25">
      <c r="A135" t="s">
        <v>5</v>
      </c>
      <c r="B135" t="s">
        <v>27</v>
      </c>
      <c r="C135" t="s">
        <v>152</v>
      </c>
      <c r="D135">
        <v>52445</v>
      </c>
      <c r="E135">
        <v>7</v>
      </c>
    </row>
    <row r="136" spans="1:5" x14ac:dyDescent="0.25">
      <c r="A136" t="s">
        <v>21</v>
      </c>
      <c r="B136" t="s">
        <v>116</v>
      </c>
      <c r="C136" t="s">
        <v>152</v>
      </c>
      <c r="D136">
        <v>71365</v>
      </c>
      <c r="E136">
        <v>7</v>
      </c>
    </row>
    <row r="137" spans="1:5" x14ac:dyDescent="0.25">
      <c r="A137" t="s">
        <v>55</v>
      </c>
      <c r="B137" t="s">
        <v>153</v>
      </c>
      <c r="C137" t="s">
        <v>152</v>
      </c>
      <c r="D137">
        <v>48080</v>
      </c>
      <c r="E137">
        <v>7</v>
      </c>
    </row>
    <row r="138" spans="1:5" x14ac:dyDescent="0.25">
      <c r="A138" t="s">
        <v>38</v>
      </c>
      <c r="B138" t="s">
        <v>111</v>
      </c>
      <c r="C138" t="s">
        <v>152</v>
      </c>
      <c r="D138">
        <v>50987</v>
      </c>
      <c r="E138">
        <v>7</v>
      </c>
    </row>
    <row r="139" spans="1:5" x14ac:dyDescent="0.25">
      <c r="A139" t="s">
        <v>11</v>
      </c>
      <c r="B139" t="s">
        <v>154</v>
      </c>
      <c r="C139" t="s">
        <v>152</v>
      </c>
      <c r="D139">
        <v>90361</v>
      </c>
      <c r="E139">
        <v>2</v>
      </c>
    </row>
    <row r="140" spans="1:5" x14ac:dyDescent="0.25">
      <c r="A140" t="s">
        <v>13</v>
      </c>
      <c r="B140" t="s">
        <v>58</v>
      </c>
      <c r="C140" t="s">
        <v>152</v>
      </c>
      <c r="D140">
        <v>83810</v>
      </c>
      <c r="E140">
        <v>4</v>
      </c>
    </row>
    <row r="141" spans="1:5" x14ac:dyDescent="0.25">
      <c r="A141" t="s">
        <v>26</v>
      </c>
      <c r="B141" t="s">
        <v>155</v>
      </c>
      <c r="C141" t="s">
        <v>152</v>
      </c>
      <c r="D141">
        <v>23259</v>
      </c>
      <c r="E141">
        <v>7</v>
      </c>
    </row>
    <row r="142" spans="1:5" x14ac:dyDescent="0.25">
      <c r="A142" t="s">
        <v>38</v>
      </c>
      <c r="B142" t="s">
        <v>14</v>
      </c>
      <c r="C142" t="s">
        <v>152</v>
      </c>
      <c r="D142">
        <v>36316</v>
      </c>
      <c r="E142">
        <v>9</v>
      </c>
    </row>
    <row r="143" spans="1:5" x14ac:dyDescent="0.25">
      <c r="A143" t="s">
        <v>8</v>
      </c>
      <c r="B143" t="s">
        <v>156</v>
      </c>
      <c r="C143" t="s">
        <v>157</v>
      </c>
      <c r="D143">
        <v>52267</v>
      </c>
      <c r="E143">
        <v>3</v>
      </c>
    </row>
    <row r="144" spans="1:5" x14ac:dyDescent="0.25">
      <c r="A144" t="s">
        <v>16</v>
      </c>
      <c r="B144" t="s">
        <v>158</v>
      </c>
      <c r="C144" t="s">
        <v>157</v>
      </c>
      <c r="D144">
        <v>78434</v>
      </c>
      <c r="E144">
        <v>3</v>
      </c>
    </row>
    <row r="145" spans="1:5" x14ac:dyDescent="0.25">
      <c r="A145" t="s">
        <v>19</v>
      </c>
      <c r="B145" t="s">
        <v>159</v>
      </c>
      <c r="C145" t="s">
        <v>157</v>
      </c>
      <c r="D145">
        <v>22134</v>
      </c>
      <c r="E145">
        <v>7</v>
      </c>
    </row>
    <row r="146" spans="1:5" x14ac:dyDescent="0.25">
      <c r="A146" t="s">
        <v>5</v>
      </c>
      <c r="B146" t="s">
        <v>76</v>
      </c>
      <c r="C146" t="s">
        <v>157</v>
      </c>
      <c r="D146">
        <v>17419</v>
      </c>
      <c r="E146">
        <v>8</v>
      </c>
    </row>
    <row r="147" spans="1:5" x14ac:dyDescent="0.25">
      <c r="A147" t="s">
        <v>43</v>
      </c>
      <c r="B147" t="s">
        <v>160</v>
      </c>
      <c r="C147" t="s">
        <v>157</v>
      </c>
      <c r="D147">
        <v>92636</v>
      </c>
      <c r="E147">
        <v>8</v>
      </c>
    </row>
    <row r="148" spans="1:5" x14ac:dyDescent="0.25">
      <c r="A148" t="s">
        <v>26</v>
      </c>
      <c r="B148" t="s">
        <v>102</v>
      </c>
      <c r="C148" t="s">
        <v>157</v>
      </c>
      <c r="D148">
        <v>41053</v>
      </c>
      <c r="E148">
        <v>5</v>
      </c>
    </row>
    <row r="149" spans="1:5" x14ac:dyDescent="0.25">
      <c r="A149" t="s">
        <v>8</v>
      </c>
      <c r="B149" t="s">
        <v>161</v>
      </c>
      <c r="C149" t="s">
        <v>162</v>
      </c>
      <c r="D149">
        <v>17771</v>
      </c>
      <c r="E149">
        <v>4</v>
      </c>
    </row>
    <row r="150" spans="1:5" x14ac:dyDescent="0.25">
      <c r="A150" t="s">
        <v>19</v>
      </c>
      <c r="B150" t="s">
        <v>84</v>
      </c>
      <c r="C150" t="s">
        <v>163</v>
      </c>
      <c r="D150">
        <v>12840</v>
      </c>
      <c r="E150">
        <v>10</v>
      </c>
    </row>
    <row r="151" spans="1:5" x14ac:dyDescent="0.25">
      <c r="A151" t="s">
        <v>55</v>
      </c>
      <c r="B151" t="s">
        <v>164</v>
      </c>
      <c r="C151" t="s">
        <v>163</v>
      </c>
      <c r="D151">
        <v>91319</v>
      </c>
      <c r="E151">
        <v>10</v>
      </c>
    </row>
    <row r="152" spans="1:5" x14ac:dyDescent="0.25">
      <c r="A152" t="s">
        <v>16</v>
      </c>
      <c r="B152" t="s">
        <v>165</v>
      </c>
      <c r="C152" t="s">
        <v>163</v>
      </c>
      <c r="D152">
        <v>42546</v>
      </c>
      <c r="E152">
        <v>10</v>
      </c>
    </row>
    <row r="153" spans="1:5" x14ac:dyDescent="0.25">
      <c r="A153" t="s">
        <v>29</v>
      </c>
      <c r="B153" t="s">
        <v>149</v>
      </c>
      <c r="C153" t="s">
        <v>166</v>
      </c>
      <c r="D153">
        <v>33042</v>
      </c>
      <c r="E153">
        <v>8</v>
      </c>
    </row>
    <row r="154" spans="1:5" x14ac:dyDescent="0.25">
      <c r="A154" t="s">
        <v>29</v>
      </c>
      <c r="B154" t="s">
        <v>167</v>
      </c>
      <c r="C154" t="s">
        <v>166</v>
      </c>
      <c r="D154">
        <v>47913</v>
      </c>
      <c r="E154">
        <v>9</v>
      </c>
    </row>
    <row r="155" spans="1:5" x14ac:dyDescent="0.25">
      <c r="A155" t="s">
        <v>26</v>
      </c>
      <c r="B155" t="s">
        <v>30</v>
      </c>
      <c r="C155" t="s">
        <v>166</v>
      </c>
      <c r="D155">
        <v>32603</v>
      </c>
      <c r="E155">
        <v>8</v>
      </c>
    </row>
    <row r="156" spans="1:5" x14ac:dyDescent="0.25">
      <c r="A156" t="s">
        <v>29</v>
      </c>
      <c r="B156" t="s">
        <v>168</v>
      </c>
      <c r="C156" t="s">
        <v>166</v>
      </c>
      <c r="D156">
        <v>68657</v>
      </c>
      <c r="E156">
        <v>6</v>
      </c>
    </row>
    <row r="157" spans="1:5" x14ac:dyDescent="0.25">
      <c r="A157" t="s">
        <v>16</v>
      </c>
      <c r="B157" t="s">
        <v>169</v>
      </c>
      <c r="C157" t="s">
        <v>170</v>
      </c>
      <c r="D157">
        <v>66074</v>
      </c>
      <c r="E157">
        <v>5</v>
      </c>
    </row>
    <row r="158" spans="1:5" x14ac:dyDescent="0.25">
      <c r="A158" t="s">
        <v>8</v>
      </c>
      <c r="B158" t="s">
        <v>153</v>
      </c>
      <c r="C158" t="s">
        <v>170</v>
      </c>
      <c r="D158">
        <v>72027</v>
      </c>
      <c r="E158">
        <v>5</v>
      </c>
    </row>
    <row r="159" spans="1:5" x14ac:dyDescent="0.25">
      <c r="A159" t="s">
        <v>29</v>
      </c>
      <c r="B159" t="s">
        <v>82</v>
      </c>
      <c r="C159" t="s">
        <v>170</v>
      </c>
      <c r="D159">
        <v>19414</v>
      </c>
      <c r="E159">
        <v>4</v>
      </c>
    </row>
    <row r="160" spans="1:5" x14ac:dyDescent="0.25">
      <c r="A160" t="s">
        <v>16</v>
      </c>
      <c r="B160" t="s">
        <v>171</v>
      </c>
      <c r="C160" t="s">
        <v>170</v>
      </c>
      <c r="D160">
        <v>17787</v>
      </c>
      <c r="E160">
        <v>5</v>
      </c>
    </row>
    <row r="161" spans="1:5" x14ac:dyDescent="0.25">
      <c r="A161" t="s">
        <v>5</v>
      </c>
      <c r="B161" t="s">
        <v>28</v>
      </c>
      <c r="C161" t="s">
        <v>170</v>
      </c>
      <c r="D161">
        <v>49244</v>
      </c>
      <c r="E161">
        <v>6</v>
      </c>
    </row>
    <row r="162" spans="1:5" x14ac:dyDescent="0.25">
      <c r="A162" t="s">
        <v>8</v>
      </c>
      <c r="B162" t="s">
        <v>172</v>
      </c>
      <c r="C162" t="s">
        <v>170</v>
      </c>
      <c r="D162">
        <v>64882</v>
      </c>
      <c r="E162">
        <v>9</v>
      </c>
    </row>
    <row r="163" spans="1:5" x14ac:dyDescent="0.25">
      <c r="A163" t="s">
        <v>26</v>
      </c>
      <c r="B163" t="s">
        <v>63</v>
      </c>
      <c r="C163" t="s">
        <v>170</v>
      </c>
      <c r="D163">
        <v>46622</v>
      </c>
      <c r="E163">
        <v>6</v>
      </c>
    </row>
    <row r="164" spans="1:5" x14ac:dyDescent="0.25">
      <c r="A164" t="s">
        <v>55</v>
      </c>
      <c r="B164" t="s">
        <v>173</v>
      </c>
      <c r="C164" t="s">
        <v>170</v>
      </c>
      <c r="D164">
        <v>32223</v>
      </c>
      <c r="E164">
        <v>3</v>
      </c>
    </row>
    <row r="165" spans="1:5" x14ac:dyDescent="0.25">
      <c r="A165" t="s">
        <v>5</v>
      </c>
      <c r="B165" t="s">
        <v>174</v>
      </c>
      <c r="C165" t="s">
        <v>170</v>
      </c>
      <c r="D165">
        <v>88727</v>
      </c>
      <c r="E165">
        <v>8</v>
      </c>
    </row>
    <row r="166" spans="1:5" x14ac:dyDescent="0.25">
      <c r="A166" t="s">
        <v>19</v>
      </c>
      <c r="B166" t="s">
        <v>71</v>
      </c>
      <c r="C166" t="s">
        <v>170</v>
      </c>
      <c r="D166">
        <v>19500</v>
      </c>
      <c r="E166">
        <v>6</v>
      </c>
    </row>
    <row r="167" spans="1:5" x14ac:dyDescent="0.25">
      <c r="A167" t="s">
        <v>5</v>
      </c>
      <c r="B167" t="s">
        <v>18</v>
      </c>
      <c r="C167" t="s">
        <v>170</v>
      </c>
      <c r="D167">
        <v>25883</v>
      </c>
      <c r="E167">
        <v>5</v>
      </c>
    </row>
    <row r="168" spans="1:5" x14ac:dyDescent="0.25">
      <c r="A168" t="s">
        <v>55</v>
      </c>
      <c r="B168" t="s">
        <v>88</v>
      </c>
      <c r="C168" t="s">
        <v>175</v>
      </c>
      <c r="D168">
        <v>37578</v>
      </c>
      <c r="E168">
        <v>8</v>
      </c>
    </row>
    <row r="169" spans="1:5" x14ac:dyDescent="0.25">
      <c r="A169" t="s">
        <v>55</v>
      </c>
      <c r="B169" t="s">
        <v>176</v>
      </c>
      <c r="C169" t="s">
        <v>175</v>
      </c>
      <c r="D169">
        <v>93337</v>
      </c>
      <c r="E169">
        <v>1</v>
      </c>
    </row>
    <row r="170" spans="1:5" x14ac:dyDescent="0.25">
      <c r="A170" t="s">
        <v>16</v>
      </c>
      <c r="B170" t="s">
        <v>177</v>
      </c>
      <c r="C170" t="s">
        <v>175</v>
      </c>
      <c r="D170">
        <v>98115</v>
      </c>
      <c r="E170">
        <v>8</v>
      </c>
    </row>
    <row r="171" spans="1:5" x14ac:dyDescent="0.25">
      <c r="A171" t="s">
        <v>8</v>
      </c>
      <c r="B171" t="s">
        <v>22</v>
      </c>
      <c r="C171" t="s">
        <v>175</v>
      </c>
      <c r="D171">
        <v>55592</v>
      </c>
      <c r="E171">
        <v>2</v>
      </c>
    </row>
    <row r="172" spans="1:5" x14ac:dyDescent="0.25">
      <c r="A172" t="s">
        <v>21</v>
      </c>
      <c r="B172" t="s">
        <v>178</v>
      </c>
      <c r="C172" t="s">
        <v>179</v>
      </c>
      <c r="D172">
        <v>48375</v>
      </c>
      <c r="E172">
        <v>8</v>
      </c>
    </row>
    <row r="173" spans="1:5" x14ac:dyDescent="0.25">
      <c r="A173" t="s">
        <v>55</v>
      </c>
      <c r="B173" t="s">
        <v>115</v>
      </c>
      <c r="C173" t="s">
        <v>179</v>
      </c>
      <c r="D173">
        <v>52528</v>
      </c>
      <c r="E173">
        <v>7</v>
      </c>
    </row>
    <row r="174" spans="1:5" x14ac:dyDescent="0.25">
      <c r="A174" t="s">
        <v>8</v>
      </c>
      <c r="B174" t="s">
        <v>61</v>
      </c>
      <c r="C174" t="s">
        <v>179</v>
      </c>
      <c r="D174">
        <v>97951</v>
      </c>
      <c r="E174">
        <v>3</v>
      </c>
    </row>
    <row r="175" spans="1:5" x14ac:dyDescent="0.25">
      <c r="A175" t="s">
        <v>43</v>
      </c>
      <c r="B175" t="s">
        <v>44</v>
      </c>
      <c r="C175" t="s">
        <v>180</v>
      </c>
      <c r="D175">
        <v>54510</v>
      </c>
      <c r="E175">
        <v>10</v>
      </c>
    </row>
    <row r="176" spans="1:5" x14ac:dyDescent="0.25">
      <c r="A176" t="s">
        <v>43</v>
      </c>
      <c r="B176" t="s">
        <v>144</v>
      </c>
      <c r="C176" t="s">
        <v>180</v>
      </c>
      <c r="D176">
        <v>10377</v>
      </c>
      <c r="E176">
        <v>7</v>
      </c>
    </row>
    <row r="177" spans="1:5" x14ac:dyDescent="0.25">
      <c r="A177" t="s">
        <v>29</v>
      </c>
      <c r="B177" t="s">
        <v>181</v>
      </c>
      <c r="C177" t="s">
        <v>180</v>
      </c>
      <c r="D177">
        <v>34320</v>
      </c>
      <c r="E177">
        <v>9</v>
      </c>
    </row>
    <row r="178" spans="1:5" x14ac:dyDescent="0.25">
      <c r="A178" t="s">
        <v>43</v>
      </c>
      <c r="B178" t="s">
        <v>177</v>
      </c>
      <c r="C178" t="s">
        <v>182</v>
      </c>
      <c r="D178">
        <v>72910</v>
      </c>
      <c r="E178">
        <v>1</v>
      </c>
    </row>
    <row r="179" spans="1:5" x14ac:dyDescent="0.25">
      <c r="A179" t="s">
        <v>5</v>
      </c>
      <c r="B179" t="s">
        <v>9</v>
      </c>
      <c r="C179" t="s">
        <v>182</v>
      </c>
      <c r="D179">
        <v>71315</v>
      </c>
      <c r="E179">
        <v>3</v>
      </c>
    </row>
    <row r="180" spans="1:5" x14ac:dyDescent="0.25">
      <c r="A180" t="s">
        <v>5</v>
      </c>
      <c r="B180" t="s">
        <v>47</v>
      </c>
      <c r="C180" t="s">
        <v>182</v>
      </c>
      <c r="D180">
        <v>76865</v>
      </c>
      <c r="E180">
        <v>10</v>
      </c>
    </row>
    <row r="181" spans="1:5" x14ac:dyDescent="0.25">
      <c r="A181" t="s">
        <v>5</v>
      </c>
      <c r="B181" t="s">
        <v>183</v>
      </c>
      <c r="C181" t="s">
        <v>182</v>
      </c>
      <c r="D181">
        <v>67409</v>
      </c>
      <c r="E181">
        <v>8</v>
      </c>
    </row>
    <row r="182" spans="1:5" x14ac:dyDescent="0.25">
      <c r="A182" t="s">
        <v>55</v>
      </c>
      <c r="B182" t="s">
        <v>184</v>
      </c>
      <c r="C182" t="s">
        <v>182</v>
      </c>
      <c r="D182">
        <v>61942</v>
      </c>
      <c r="E182">
        <v>9</v>
      </c>
    </row>
    <row r="183" spans="1:5" x14ac:dyDescent="0.25">
      <c r="A183" t="s">
        <v>43</v>
      </c>
      <c r="B183" t="s">
        <v>12</v>
      </c>
      <c r="C183" t="s">
        <v>185</v>
      </c>
      <c r="D183">
        <v>80661</v>
      </c>
      <c r="E183">
        <v>6</v>
      </c>
    </row>
    <row r="184" spans="1:5" x14ac:dyDescent="0.25">
      <c r="A184" t="s">
        <v>8</v>
      </c>
      <c r="B184" t="s">
        <v>186</v>
      </c>
      <c r="C184" t="s">
        <v>185</v>
      </c>
      <c r="D184">
        <v>40546</v>
      </c>
      <c r="E184">
        <v>7</v>
      </c>
    </row>
    <row r="185" spans="1:5" x14ac:dyDescent="0.25">
      <c r="A185" t="s">
        <v>16</v>
      </c>
      <c r="B185" t="s">
        <v>187</v>
      </c>
      <c r="C185" t="s">
        <v>185</v>
      </c>
      <c r="D185">
        <v>50625</v>
      </c>
      <c r="E185">
        <v>7</v>
      </c>
    </row>
    <row r="186" spans="1:5" x14ac:dyDescent="0.25">
      <c r="A186" t="s">
        <v>5</v>
      </c>
      <c r="B186" t="s">
        <v>145</v>
      </c>
      <c r="C186" t="s">
        <v>185</v>
      </c>
      <c r="D186">
        <v>94330</v>
      </c>
      <c r="E186">
        <v>6</v>
      </c>
    </row>
    <row r="187" spans="1:5" x14ac:dyDescent="0.25">
      <c r="A187" t="s">
        <v>19</v>
      </c>
      <c r="B187" t="s">
        <v>76</v>
      </c>
      <c r="C187" t="s">
        <v>185</v>
      </c>
      <c r="D187">
        <v>69840</v>
      </c>
      <c r="E187">
        <v>8</v>
      </c>
    </row>
    <row r="188" spans="1:5" x14ac:dyDescent="0.25">
      <c r="A188" t="s">
        <v>38</v>
      </c>
      <c r="B188" t="s">
        <v>188</v>
      </c>
      <c r="C188" t="s">
        <v>185</v>
      </c>
      <c r="D188">
        <v>34134</v>
      </c>
      <c r="E188">
        <v>8</v>
      </c>
    </row>
    <row r="189" spans="1:5" x14ac:dyDescent="0.25">
      <c r="A189" t="s">
        <v>29</v>
      </c>
      <c r="B189" t="s">
        <v>73</v>
      </c>
      <c r="C189" t="s">
        <v>185</v>
      </c>
      <c r="D189">
        <v>76007</v>
      </c>
      <c r="E189">
        <v>8</v>
      </c>
    </row>
    <row r="190" spans="1:5" x14ac:dyDescent="0.25">
      <c r="A190" t="s">
        <v>29</v>
      </c>
      <c r="B190" t="s">
        <v>94</v>
      </c>
      <c r="C190" t="s">
        <v>185</v>
      </c>
      <c r="D190">
        <v>54659</v>
      </c>
      <c r="E190">
        <v>3</v>
      </c>
    </row>
    <row r="191" spans="1:5" x14ac:dyDescent="0.25">
      <c r="A191" t="s">
        <v>19</v>
      </c>
      <c r="B191" t="s">
        <v>58</v>
      </c>
      <c r="C191" t="s">
        <v>185</v>
      </c>
      <c r="D191">
        <v>55838</v>
      </c>
      <c r="E191">
        <v>6</v>
      </c>
    </row>
    <row r="192" spans="1:5" x14ac:dyDescent="0.25">
      <c r="A192" t="s">
        <v>26</v>
      </c>
      <c r="B192" t="s">
        <v>64</v>
      </c>
      <c r="C192" t="s">
        <v>189</v>
      </c>
      <c r="D192">
        <v>67803</v>
      </c>
      <c r="E192">
        <v>7</v>
      </c>
    </row>
    <row r="193" spans="1:5" x14ac:dyDescent="0.25">
      <c r="A193" t="s">
        <v>19</v>
      </c>
      <c r="B193" t="s">
        <v>190</v>
      </c>
      <c r="C193" t="s">
        <v>189</v>
      </c>
      <c r="D193">
        <v>42842</v>
      </c>
      <c r="E193">
        <v>10</v>
      </c>
    </row>
    <row r="194" spans="1:5" x14ac:dyDescent="0.25">
      <c r="A194" t="s">
        <v>16</v>
      </c>
      <c r="B194" t="s">
        <v>102</v>
      </c>
      <c r="C194" t="s">
        <v>191</v>
      </c>
      <c r="D194">
        <v>54135</v>
      </c>
      <c r="E194">
        <v>8</v>
      </c>
    </row>
    <row r="195" spans="1:5" x14ac:dyDescent="0.25">
      <c r="A195" t="s">
        <v>11</v>
      </c>
      <c r="B195" t="s">
        <v>42</v>
      </c>
      <c r="C195" t="s">
        <v>191</v>
      </c>
      <c r="D195">
        <v>72604</v>
      </c>
      <c r="E195">
        <v>5</v>
      </c>
    </row>
    <row r="196" spans="1:5" x14ac:dyDescent="0.25">
      <c r="A196" t="s">
        <v>21</v>
      </c>
      <c r="B196" t="s">
        <v>27</v>
      </c>
      <c r="C196" t="s">
        <v>191</v>
      </c>
      <c r="D196">
        <v>74314</v>
      </c>
      <c r="E196">
        <v>4</v>
      </c>
    </row>
    <row r="197" spans="1:5" x14ac:dyDescent="0.25">
      <c r="A197" t="s">
        <v>13</v>
      </c>
      <c r="B197" t="s">
        <v>47</v>
      </c>
      <c r="C197" t="s">
        <v>192</v>
      </c>
      <c r="D197">
        <v>33961</v>
      </c>
      <c r="E197">
        <v>5</v>
      </c>
    </row>
    <row r="198" spans="1:5" x14ac:dyDescent="0.25">
      <c r="A198" t="s">
        <v>26</v>
      </c>
      <c r="B198" t="s">
        <v>193</v>
      </c>
      <c r="C198" t="s">
        <v>192</v>
      </c>
      <c r="D198">
        <v>81286</v>
      </c>
      <c r="E198">
        <v>2</v>
      </c>
    </row>
    <row r="199" spans="1:5" x14ac:dyDescent="0.25">
      <c r="A199" t="s">
        <v>5</v>
      </c>
      <c r="B199" t="s">
        <v>194</v>
      </c>
      <c r="C199" t="s">
        <v>192</v>
      </c>
      <c r="D199">
        <v>98283</v>
      </c>
      <c r="E199">
        <v>9</v>
      </c>
    </row>
    <row r="200" spans="1:5" x14ac:dyDescent="0.25">
      <c r="A200" t="s">
        <v>19</v>
      </c>
      <c r="B200" t="s">
        <v>42</v>
      </c>
      <c r="C200" t="s">
        <v>195</v>
      </c>
      <c r="D200">
        <v>78236</v>
      </c>
      <c r="E200">
        <v>6</v>
      </c>
    </row>
    <row r="201" spans="1:5" x14ac:dyDescent="0.25">
      <c r="A201" t="s">
        <v>13</v>
      </c>
      <c r="B201" t="s">
        <v>196</v>
      </c>
      <c r="C201" t="s">
        <v>195</v>
      </c>
      <c r="D201">
        <v>45409</v>
      </c>
      <c r="E201">
        <v>7</v>
      </c>
    </row>
    <row r="202" spans="1:5" x14ac:dyDescent="0.25">
      <c r="A202" t="s">
        <v>16</v>
      </c>
      <c r="B202" t="s">
        <v>197</v>
      </c>
      <c r="C202" t="s">
        <v>198</v>
      </c>
      <c r="D202">
        <v>75273</v>
      </c>
      <c r="E202">
        <v>7</v>
      </c>
    </row>
    <row r="203" spans="1:5" x14ac:dyDescent="0.25">
      <c r="A203" t="s">
        <v>26</v>
      </c>
      <c r="B203" t="s">
        <v>153</v>
      </c>
      <c r="C203" t="s">
        <v>198</v>
      </c>
      <c r="D203">
        <v>20347</v>
      </c>
      <c r="E203">
        <v>9</v>
      </c>
    </row>
    <row r="204" spans="1:5" x14ac:dyDescent="0.25">
      <c r="A204" t="s">
        <v>26</v>
      </c>
      <c r="B204" t="s">
        <v>183</v>
      </c>
      <c r="C204" t="s">
        <v>198</v>
      </c>
      <c r="D204">
        <v>44078</v>
      </c>
      <c r="E204">
        <v>5</v>
      </c>
    </row>
    <row r="205" spans="1:5" x14ac:dyDescent="0.25">
      <c r="A205" t="s">
        <v>13</v>
      </c>
      <c r="B205" t="s">
        <v>149</v>
      </c>
      <c r="C205" t="s">
        <v>198</v>
      </c>
      <c r="D205">
        <v>74687</v>
      </c>
      <c r="E205">
        <v>6</v>
      </c>
    </row>
    <row r="206" spans="1:5" x14ac:dyDescent="0.25">
      <c r="A206" t="s">
        <v>21</v>
      </c>
      <c r="B206" t="s">
        <v>199</v>
      </c>
      <c r="C206" t="s">
        <v>198</v>
      </c>
      <c r="D206">
        <v>33583</v>
      </c>
      <c r="E206">
        <v>7</v>
      </c>
    </row>
    <row r="207" spans="1:5" x14ac:dyDescent="0.25">
      <c r="A207" t="s">
        <v>43</v>
      </c>
      <c r="B207" t="s">
        <v>200</v>
      </c>
      <c r="C207" t="s">
        <v>198</v>
      </c>
      <c r="D207">
        <v>66888</v>
      </c>
      <c r="E207">
        <v>9</v>
      </c>
    </row>
    <row r="208" spans="1:5" x14ac:dyDescent="0.25">
      <c r="A208" t="s">
        <v>26</v>
      </c>
      <c r="B208" t="s">
        <v>88</v>
      </c>
      <c r="C208" t="s">
        <v>198</v>
      </c>
      <c r="D208">
        <v>60121</v>
      </c>
      <c r="E208">
        <v>6</v>
      </c>
    </row>
    <row r="209" spans="1:5" x14ac:dyDescent="0.25">
      <c r="A209" t="s">
        <v>11</v>
      </c>
      <c r="B209" t="s">
        <v>61</v>
      </c>
      <c r="C209" t="s">
        <v>201</v>
      </c>
      <c r="D209">
        <v>15414</v>
      </c>
      <c r="E209">
        <v>7</v>
      </c>
    </row>
    <row r="210" spans="1:5" x14ac:dyDescent="0.25">
      <c r="A210" t="s">
        <v>19</v>
      </c>
      <c r="B210" t="s">
        <v>72</v>
      </c>
      <c r="C210" t="s">
        <v>201</v>
      </c>
      <c r="D210">
        <v>33790</v>
      </c>
      <c r="E210">
        <v>10</v>
      </c>
    </row>
    <row r="211" spans="1:5" x14ac:dyDescent="0.25">
      <c r="A211" t="s">
        <v>29</v>
      </c>
      <c r="B211" t="s">
        <v>15</v>
      </c>
      <c r="C211" t="s">
        <v>201</v>
      </c>
      <c r="D211">
        <v>74396</v>
      </c>
      <c r="E211">
        <v>4</v>
      </c>
    </row>
    <row r="212" spans="1:5" x14ac:dyDescent="0.25">
      <c r="A212" t="s">
        <v>21</v>
      </c>
      <c r="B212" t="s">
        <v>202</v>
      </c>
      <c r="C212" t="s">
        <v>201</v>
      </c>
      <c r="D212">
        <v>89872</v>
      </c>
      <c r="E212">
        <v>5</v>
      </c>
    </row>
    <row r="213" spans="1:5" x14ac:dyDescent="0.25">
      <c r="A213" t="s">
        <v>38</v>
      </c>
      <c r="B213" t="s">
        <v>65</v>
      </c>
      <c r="C213" t="s">
        <v>203</v>
      </c>
      <c r="D213">
        <v>48271</v>
      </c>
      <c r="E213">
        <v>8</v>
      </c>
    </row>
    <row r="214" spans="1:5" x14ac:dyDescent="0.25">
      <c r="A214" t="s">
        <v>8</v>
      </c>
      <c r="B214" t="s">
        <v>131</v>
      </c>
      <c r="C214" t="s">
        <v>203</v>
      </c>
      <c r="D214">
        <v>68282</v>
      </c>
      <c r="E214">
        <v>3</v>
      </c>
    </row>
    <row r="215" spans="1:5" x14ac:dyDescent="0.25">
      <c r="A215" t="s">
        <v>13</v>
      </c>
      <c r="B215" t="s">
        <v>119</v>
      </c>
      <c r="C215" t="s">
        <v>204</v>
      </c>
      <c r="D215">
        <v>59033</v>
      </c>
      <c r="E215">
        <v>6</v>
      </c>
    </row>
    <row r="216" spans="1:5" x14ac:dyDescent="0.25">
      <c r="A216" t="s">
        <v>11</v>
      </c>
      <c r="B216" t="s">
        <v>74</v>
      </c>
      <c r="C216" t="s">
        <v>204</v>
      </c>
      <c r="D216">
        <v>25168</v>
      </c>
      <c r="E216">
        <v>7</v>
      </c>
    </row>
    <row r="217" spans="1:5" x14ac:dyDescent="0.25">
      <c r="A217" t="s">
        <v>13</v>
      </c>
      <c r="B217" t="s">
        <v>188</v>
      </c>
      <c r="C217" t="s">
        <v>204</v>
      </c>
      <c r="D217">
        <v>58762</v>
      </c>
      <c r="E217">
        <v>6</v>
      </c>
    </row>
    <row r="218" spans="1:5" x14ac:dyDescent="0.25">
      <c r="A218" t="s">
        <v>16</v>
      </c>
      <c r="B218" t="s">
        <v>153</v>
      </c>
      <c r="C218" t="s">
        <v>205</v>
      </c>
      <c r="D218">
        <v>28276</v>
      </c>
      <c r="E218">
        <v>6</v>
      </c>
    </row>
    <row r="219" spans="1:5" x14ac:dyDescent="0.25">
      <c r="A219" t="s">
        <v>55</v>
      </c>
      <c r="B219" t="s">
        <v>206</v>
      </c>
      <c r="C219" t="s">
        <v>205</v>
      </c>
      <c r="D219">
        <v>24385</v>
      </c>
      <c r="E219">
        <v>4</v>
      </c>
    </row>
    <row r="220" spans="1:5" x14ac:dyDescent="0.25">
      <c r="A220" t="s">
        <v>5</v>
      </c>
      <c r="B220" t="s">
        <v>28</v>
      </c>
      <c r="C220" t="s">
        <v>205</v>
      </c>
      <c r="D220">
        <v>91236</v>
      </c>
      <c r="E220">
        <v>3</v>
      </c>
    </row>
    <row r="221" spans="1:5" x14ac:dyDescent="0.25">
      <c r="A221" t="s">
        <v>26</v>
      </c>
      <c r="B221" t="s">
        <v>149</v>
      </c>
      <c r="C221" t="s">
        <v>205</v>
      </c>
      <c r="D221">
        <v>78597</v>
      </c>
      <c r="E221">
        <v>5</v>
      </c>
    </row>
    <row r="222" spans="1:5" x14ac:dyDescent="0.25">
      <c r="A222" t="s">
        <v>38</v>
      </c>
      <c r="B222" t="s">
        <v>92</v>
      </c>
      <c r="C222" t="s">
        <v>205</v>
      </c>
      <c r="D222">
        <v>28058</v>
      </c>
      <c r="E222">
        <v>10</v>
      </c>
    </row>
    <row r="223" spans="1:5" x14ac:dyDescent="0.25">
      <c r="A223" t="s">
        <v>13</v>
      </c>
      <c r="B223" t="s">
        <v>134</v>
      </c>
      <c r="C223" t="s">
        <v>205</v>
      </c>
      <c r="D223">
        <v>59498</v>
      </c>
      <c r="E223">
        <v>9</v>
      </c>
    </row>
    <row r="224" spans="1:5" x14ac:dyDescent="0.25">
      <c r="A224" t="s">
        <v>55</v>
      </c>
      <c r="B224" t="s">
        <v>40</v>
      </c>
      <c r="C224" t="s">
        <v>205</v>
      </c>
      <c r="D224">
        <v>61919</v>
      </c>
      <c r="E224">
        <v>6</v>
      </c>
    </row>
    <row r="225" spans="1:5" x14ac:dyDescent="0.25">
      <c r="A225" t="s">
        <v>19</v>
      </c>
      <c r="B225" t="s">
        <v>207</v>
      </c>
      <c r="C225" t="s">
        <v>205</v>
      </c>
      <c r="D225">
        <v>97925</v>
      </c>
      <c r="E225">
        <v>6</v>
      </c>
    </row>
    <row r="226" spans="1:5" x14ac:dyDescent="0.25">
      <c r="A226" t="s">
        <v>16</v>
      </c>
      <c r="B226" t="s">
        <v>46</v>
      </c>
      <c r="C226" t="s">
        <v>205</v>
      </c>
      <c r="D226">
        <v>95367</v>
      </c>
      <c r="E226">
        <v>1</v>
      </c>
    </row>
    <row r="227" spans="1:5" x14ac:dyDescent="0.25">
      <c r="A227" t="s">
        <v>55</v>
      </c>
      <c r="B227" t="s">
        <v>172</v>
      </c>
      <c r="C227" t="s">
        <v>208</v>
      </c>
      <c r="D227">
        <v>85638</v>
      </c>
      <c r="E227">
        <v>9</v>
      </c>
    </row>
    <row r="228" spans="1:5" x14ac:dyDescent="0.25">
      <c r="A228" t="s">
        <v>19</v>
      </c>
      <c r="B228" t="s">
        <v>209</v>
      </c>
      <c r="C228" t="s">
        <v>208</v>
      </c>
      <c r="D228">
        <v>66475</v>
      </c>
      <c r="E228">
        <v>8</v>
      </c>
    </row>
    <row r="229" spans="1:5" x14ac:dyDescent="0.25">
      <c r="A229" t="s">
        <v>38</v>
      </c>
      <c r="B229" t="s">
        <v>93</v>
      </c>
      <c r="C229" t="s">
        <v>210</v>
      </c>
      <c r="D229">
        <v>40900</v>
      </c>
      <c r="E229">
        <v>2</v>
      </c>
    </row>
    <row r="230" spans="1:5" x14ac:dyDescent="0.25">
      <c r="A230" t="s">
        <v>13</v>
      </c>
      <c r="B230" t="s">
        <v>211</v>
      </c>
      <c r="C230" t="s">
        <v>210</v>
      </c>
      <c r="D230">
        <v>12658</v>
      </c>
      <c r="E230">
        <v>7</v>
      </c>
    </row>
    <row r="231" spans="1:5" x14ac:dyDescent="0.25">
      <c r="A231" t="s">
        <v>29</v>
      </c>
      <c r="B231" t="s">
        <v>68</v>
      </c>
      <c r="C231" t="s">
        <v>212</v>
      </c>
      <c r="D231">
        <v>20767</v>
      </c>
      <c r="E231">
        <v>7</v>
      </c>
    </row>
    <row r="232" spans="1:5" x14ac:dyDescent="0.25">
      <c r="A232" t="s">
        <v>19</v>
      </c>
      <c r="B232" t="s">
        <v>64</v>
      </c>
      <c r="C232" t="s">
        <v>213</v>
      </c>
      <c r="D232">
        <v>27390</v>
      </c>
      <c r="E232">
        <v>0</v>
      </c>
    </row>
    <row r="233" spans="1:5" x14ac:dyDescent="0.25">
      <c r="A233" t="s">
        <v>55</v>
      </c>
      <c r="B233" t="s">
        <v>94</v>
      </c>
      <c r="C233" t="s">
        <v>214</v>
      </c>
      <c r="D233">
        <v>14277</v>
      </c>
      <c r="E233">
        <v>8</v>
      </c>
    </row>
    <row r="234" spans="1:5" x14ac:dyDescent="0.25">
      <c r="A234" t="s">
        <v>16</v>
      </c>
      <c r="B234" t="s">
        <v>33</v>
      </c>
      <c r="C234" t="s">
        <v>214</v>
      </c>
      <c r="D234">
        <v>50661</v>
      </c>
      <c r="E234">
        <v>6</v>
      </c>
    </row>
    <row r="235" spans="1:5" x14ac:dyDescent="0.25">
      <c r="A235" t="s">
        <v>38</v>
      </c>
      <c r="B235" t="s">
        <v>178</v>
      </c>
      <c r="C235" t="s">
        <v>214</v>
      </c>
      <c r="D235">
        <v>88556</v>
      </c>
      <c r="E235">
        <v>9</v>
      </c>
    </row>
    <row r="236" spans="1:5" x14ac:dyDescent="0.25">
      <c r="A236" t="s">
        <v>55</v>
      </c>
      <c r="B236" t="s">
        <v>159</v>
      </c>
      <c r="C236" t="s">
        <v>214</v>
      </c>
      <c r="D236">
        <v>18002</v>
      </c>
      <c r="E236">
        <v>4</v>
      </c>
    </row>
    <row r="237" spans="1:5" x14ac:dyDescent="0.25">
      <c r="A237" t="s">
        <v>13</v>
      </c>
      <c r="B237" t="s">
        <v>200</v>
      </c>
      <c r="C237" t="s">
        <v>214</v>
      </c>
      <c r="D237">
        <v>74462</v>
      </c>
      <c r="E237">
        <v>8</v>
      </c>
    </row>
    <row r="238" spans="1:5" x14ac:dyDescent="0.25">
      <c r="A238" t="s">
        <v>19</v>
      </c>
      <c r="B238" t="s">
        <v>215</v>
      </c>
      <c r="C238" t="s">
        <v>214</v>
      </c>
      <c r="D238">
        <v>35475</v>
      </c>
      <c r="E238">
        <v>9</v>
      </c>
    </row>
    <row r="239" spans="1:5" x14ac:dyDescent="0.25">
      <c r="A239" t="s">
        <v>16</v>
      </c>
      <c r="B239" t="s">
        <v>112</v>
      </c>
      <c r="C239" t="s">
        <v>214</v>
      </c>
      <c r="D239">
        <v>99841</v>
      </c>
      <c r="E239">
        <v>6</v>
      </c>
    </row>
    <row r="240" spans="1:5" x14ac:dyDescent="0.25">
      <c r="A240" t="s">
        <v>43</v>
      </c>
      <c r="B240" t="s">
        <v>216</v>
      </c>
      <c r="C240" t="s">
        <v>214</v>
      </c>
      <c r="D240">
        <v>45545</v>
      </c>
      <c r="E240">
        <v>7</v>
      </c>
    </row>
    <row r="241" spans="1:5" x14ac:dyDescent="0.25">
      <c r="A241" t="s">
        <v>26</v>
      </c>
      <c r="B241" t="s">
        <v>118</v>
      </c>
      <c r="C241" t="s">
        <v>214</v>
      </c>
      <c r="D241">
        <v>17576</v>
      </c>
      <c r="E241">
        <v>8</v>
      </c>
    </row>
    <row r="242" spans="1:5" x14ac:dyDescent="0.25">
      <c r="A242" t="s">
        <v>43</v>
      </c>
      <c r="B242" t="s">
        <v>165</v>
      </c>
      <c r="C242" t="s">
        <v>214</v>
      </c>
      <c r="D242">
        <v>38964</v>
      </c>
      <c r="E242">
        <v>8</v>
      </c>
    </row>
    <row r="243" spans="1:5" x14ac:dyDescent="0.25">
      <c r="A243" t="s">
        <v>19</v>
      </c>
      <c r="B243" t="s">
        <v>217</v>
      </c>
      <c r="C243" t="s">
        <v>214</v>
      </c>
      <c r="D243">
        <v>43364</v>
      </c>
      <c r="E243">
        <v>6</v>
      </c>
    </row>
    <row r="244" spans="1:5" x14ac:dyDescent="0.25">
      <c r="A244" t="s">
        <v>11</v>
      </c>
      <c r="B244" t="s">
        <v>59</v>
      </c>
      <c r="C244" t="s">
        <v>218</v>
      </c>
      <c r="D244">
        <v>25743</v>
      </c>
      <c r="E244">
        <v>3</v>
      </c>
    </row>
    <row r="245" spans="1:5" x14ac:dyDescent="0.25">
      <c r="A245" t="s">
        <v>55</v>
      </c>
      <c r="B245" t="s">
        <v>177</v>
      </c>
      <c r="C245" t="s">
        <v>218</v>
      </c>
      <c r="D245">
        <v>99101</v>
      </c>
      <c r="E245">
        <v>6</v>
      </c>
    </row>
    <row r="246" spans="1:5" x14ac:dyDescent="0.25">
      <c r="A246" t="s">
        <v>16</v>
      </c>
      <c r="B246" t="s">
        <v>63</v>
      </c>
      <c r="C246" t="s">
        <v>218</v>
      </c>
      <c r="D246">
        <v>48245</v>
      </c>
      <c r="E246">
        <v>3</v>
      </c>
    </row>
    <row r="247" spans="1:5" x14ac:dyDescent="0.25">
      <c r="A247" t="s">
        <v>21</v>
      </c>
      <c r="B247" t="s">
        <v>73</v>
      </c>
      <c r="C247" t="s">
        <v>218</v>
      </c>
      <c r="D247">
        <v>72366</v>
      </c>
      <c r="E247">
        <v>9</v>
      </c>
    </row>
    <row r="248" spans="1:5" x14ac:dyDescent="0.25">
      <c r="A248" t="s">
        <v>38</v>
      </c>
      <c r="B248" t="s">
        <v>45</v>
      </c>
      <c r="C248" t="s">
        <v>219</v>
      </c>
      <c r="D248">
        <v>20535</v>
      </c>
      <c r="E248">
        <v>7</v>
      </c>
    </row>
    <row r="249" spans="1:5" x14ac:dyDescent="0.25">
      <c r="A249" t="s">
        <v>29</v>
      </c>
      <c r="B249" t="s">
        <v>183</v>
      </c>
      <c r="C249" t="s">
        <v>219</v>
      </c>
      <c r="D249">
        <v>50780</v>
      </c>
      <c r="E249">
        <v>4</v>
      </c>
    </row>
    <row r="250" spans="1:5" x14ac:dyDescent="0.25">
      <c r="A250" t="s">
        <v>13</v>
      </c>
      <c r="B250" t="s">
        <v>220</v>
      </c>
      <c r="C250" t="s">
        <v>219</v>
      </c>
      <c r="D250">
        <v>20525</v>
      </c>
      <c r="E250">
        <v>5</v>
      </c>
    </row>
    <row r="251" spans="1:5" x14ac:dyDescent="0.25">
      <c r="A251" t="s">
        <v>5</v>
      </c>
      <c r="B251" t="s">
        <v>221</v>
      </c>
      <c r="C251" t="s">
        <v>219</v>
      </c>
      <c r="D251">
        <v>44647</v>
      </c>
      <c r="E251">
        <v>8</v>
      </c>
    </row>
    <row r="252" spans="1:5" x14ac:dyDescent="0.25">
      <c r="A252" t="s">
        <v>43</v>
      </c>
      <c r="B252" t="s">
        <v>25</v>
      </c>
      <c r="C252" t="s">
        <v>222</v>
      </c>
      <c r="D252">
        <v>85644</v>
      </c>
      <c r="E252">
        <v>7</v>
      </c>
    </row>
    <row r="253" spans="1:5" x14ac:dyDescent="0.25">
      <c r="A253" t="s">
        <v>29</v>
      </c>
      <c r="B253" t="s">
        <v>42</v>
      </c>
      <c r="C253" t="s">
        <v>222</v>
      </c>
      <c r="D253">
        <v>99805</v>
      </c>
      <c r="E253">
        <v>7</v>
      </c>
    </row>
    <row r="254" spans="1:5" x14ac:dyDescent="0.25">
      <c r="A254" t="s">
        <v>19</v>
      </c>
      <c r="B254" t="s">
        <v>25</v>
      </c>
      <c r="C254" t="s">
        <v>222</v>
      </c>
      <c r="D254">
        <v>48738</v>
      </c>
      <c r="E254">
        <v>6</v>
      </c>
    </row>
    <row r="255" spans="1:5" x14ac:dyDescent="0.25">
      <c r="A255" t="s">
        <v>26</v>
      </c>
      <c r="B255" t="s">
        <v>93</v>
      </c>
      <c r="C255" t="s">
        <v>223</v>
      </c>
      <c r="D255">
        <v>61048</v>
      </c>
      <c r="E255">
        <v>8</v>
      </c>
    </row>
    <row r="256" spans="1:5" x14ac:dyDescent="0.25">
      <c r="A256" t="s">
        <v>38</v>
      </c>
      <c r="B256" t="s">
        <v>171</v>
      </c>
      <c r="C256" t="s">
        <v>223</v>
      </c>
      <c r="D256">
        <v>15653</v>
      </c>
      <c r="E256">
        <v>9</v>
      </c>
    </row>
    <row r="257" spans="1:5" x14ac:dyDescent="0.25">
      <c r="A257" t="s">
        <v>11</v>
      </c>
      <c r="B257" t="s">
        <v>34</v>
      </c>
      <c r="C257" t="s">
        <v>224</v>
      </c>
      <c r="D257">
        <v>67851</v>
      </c>
      <c r="E257">
        <v>4</v>
      </c>
    </row>
    <row r="258" spans="1:5" x14ac:dyDescent="0.25">
      <c r="A258" t="s">
        <v>16</v>
      </c>
      <c r="B258" t="s">
        <v>28</v>
      </c>
      <c r="C258" t="s">
        <v>224</v>
      </c>
      <c r="D258">
        <v>46262</v>
      </c>
      <c r="E258">
        <v>5</v>
      </c>
    </row>
    <row r="259" spans="1:5" x14ac:dyDescent="0.25">
      <c r="A259" t="s">
        <v>43</v>
      </c>
      <c r="B259" t="s">
        <v>136</v>
      </c>
      <c r="C259" t="s">
        <v>224</v>
      </c>
      <c r="D259">
        <v>37783</v>
      </c>
      <c r="E259">
        <v>6</v>
      </c>
    </row>
    <row r="260" spans="1:5" x14ac:dyDescent="0.25">
      <c r="A260" t="s">
        <v>26</v>
      </c>
      <c r="B260" t="s">
        <v>169</v>
      </c>
      <c r="C260" t="s">
        <v>224</v>
      </c>
      <c r="D260">
        <v>98301</v>
      </c>
      <c r="E260">
        <v>3</v>
      </c>
    </row>
    <row r="261" spans="1:5" x14ac:dyDescent="0.25">
      <c r="A261" t="s">
        <v>43</v>
      </c>
      <c r="B261" t="s">
        <v>158</v>
      </c>
      <c r="C261" t="s">
        <v>224</v>
      </c>
      <c r="D261">
        <v>26676</v>
      </c>
      <c r="E261">
        <v>3</v>
      </c>
    </row>
    <row r="262" spans="1:5" x14ac:dyDescent="0.25">
      <c r="A262" t="s">
        <v>29</v>
      </c>
      <c r="B262" t="s">
        <v>40</v>
      </c>
      <c r="C262" t="s">
        <v>225</v>
      </c>
      <c r="D262">
        <v>41376</v>
      </c>
      <c r="E262">
        <v>0</v>
      </c>
    </row>
    <row r="263" spans="1:5" x14ac:dyDescent="0.25">
      <c r="A263" t="s">
        <v>26</v>
      </c>
      <c r="B263" t="s">
        <v>25</v>
      </c>
      <c r="C263" t="s">
        <v>225</v>
      </c>
      <c r="D263">
        <v>59816</v>
      </c>
      <c r="E263">
        <v>6</v>
      </c>
    </row>
    <row r="264" spans="1:5" x14ac:dyDescent="0.25">
      <c r="A264" t="s">
        <v>11</v>
      </c>
      <c r="B264" t="s">
        <v>78</v>
      </c>
      <c r="C264" t="s">
        <v>225</v>
      </c>
      <c r="D264">
        <v>74388</v>
      </c>
      <c r="E264">
        <v>7</v>
      </c>
    </row>
    <row r="265" spans="1:5" x14ac:dyDescent="0.25">
      <c r="A265" t="s">
        <v>13</v>
      </c>
      <c r="B265" t="s">
        <v>30</v>
      </c>
      <c r="C265" t="s">
        <v>226</v>
      </c>
      <c r="D265">
        <v>93656</v>
      </c>
      <c r="E265">
        <v>2</v>
      </c>
    </row>
    <row r="266" spans="1:5" x14ac:dyDescent="0.25">
      <c r="A266" t="s">
        <v>26</v>
      </c>
      <c r="B266" t="s">
        <v>227</v>
      </c>
      <c r="C266" t="s">
        <v>226</v>
      </c>
      <c r="D266">
        <v>79691</v>
      </c>
      <c r="E266">
        <v>6</v>
      </c>
    </row>
    <row r="267" spans="1:5" x14ac:dyDescent="0.25">
      <c r="A267" t="s">
        <v>5</v>
      </c>
      <c r="B267" t="s">
        <v>134</v>
      </c>
      <c r="C267" t="s">
        <v>226</v>
      </c>
      <c r="D267">
        <v>23294</v>
      </c>
      <c r="E267">
        <v>0</v>
      </c>
    </row>
    <row r="268" spans="1:5" x14ac:dyDescent="0.25">
      <c r="A268" t="s">
        <v>21</v>
      </c>
      <c r="B268" t="s">
        <v>15</v>
      </c>
      <c r="C268" t="s">
        <v>226</v>
      </c>
      <c r="D268">
        <v>63306</v>
      </c>
      <c r="E268">
        <v>6</v>
      </c>
    </row>
    <row r="269" spans="1:5" x14ac:dyDescent="0.25">
      <c r="A269" t="s">
        <v>21</v>
      </c>
      <c r="B269" t="s">
        <v>22</v>
      </c>
      <c r="C269" t="s">
        <v>228</v>
      </c>
      <c r="D269">
        <v>74191</v>
      </c>
      <c r="E269">
        <v>9</v>
      </c>
    </row>
    <row r="270" spans="1:5" x14ac:dyDescent="0.25">
      <c r="A270" t="s">
        <v>13</v>
      </c>
      <c r="B270" t="s">
        <v>216</v>
      </c>
      <c r="C270" t="s">
        <v>228</v>
      </c>
      <c r="D270">
        <v>48352</v>
      </c>
      <c r="E270">
        <v>6</v>
      </c>
    </row>
    <row r="271" spans="1:5" x14ac:dyDescent="0.25">
      <c r="A271" t="s">
        <v>21</v>
      </c>
      <c r="B271" t="s">
        <v>111</v>
      </c>
      <c r="C271" t="s">
        <v>229</v>
      </c>
      <c r="D271">
        <v>70278</v>
      </c>
      <c r="E271">
        <v>8</v>
      </c>
    </row>
    <row r="272" spans="1:5" x14ac:dyDescent="0.25">
      <c r="A272" t="s">
        <v>26</v>
      </c>
      <c r="B272" t="s">
        <v>169</v>
      </c>
      <c r="C272" t="s">
        <v>229</v>
      </c>
      <c r="D272">
        <v>56715</v>
      </c>
      <c r="E272">
        <v>7</v>
      </c>
    </row>
    <row r="273" spans="1:5" x14ac:dyDescent="0.25">
      <c r="A273" t="s">
        <v>19</v>
      </c>
      <c r="B273" t="s">
        <v>92</v>
      </c>
      <c r="C273" t="s">
        <v>229</v>
      </c>
      <c r="D273">
        <v>53168</v>
      </c>
      <c r="E273">
        <v>7</v>
      </c>
    </row>
    <row r="274" spans="1:5" x14ac:dyDescent="0.25">
      <c r="A274" t="s">
        <v>29</v>
      </c>
      <c r="B274" t="s">
        <v>67</v>
      </c>
      <c r="C274" t="s">
        <v>229</v>
      </c>
      <c r="D274">
        <v>83074</v>
      </c>
      <c r="E274">
        <v>7</v>
      </c>
    </row>
    <row r="275" spans="1:5" x14ac:dyDescent="0.25">
      <c r="A275" t="s">
        <v>43</v>
      </c>
      <c r="B275" t="s">
        <v>104</v>
      </c>
      <c r="C275" t="s">
        <v>229</v>
      </c>
      <c r="D275">
        <v>64658</v>
      </c>
      <c r="E275">
        <v>7</v>
      </c>
    </row>
    <row r="276" spans="1:5" x14ac:dyDescent="0.25">
      <c r="A276" t="s">
        <v>38</v>
      </c>
      <c r="B276" t="s">
        <v>206</v>
      </c>
      <c r="C276" t="s">
        <v>230</v>
      </c>
      <c r="D276">
        <v>17135</v>
      </c>
      <c r="E276">
        <v>10</v>
      </c>
    </row>
    <row r="277" spans="1:5" x14ac:dyDescent="0.25">
      <c r="A277" t="s">
        <v>19</v>
      </c>
      <c r="B277" t="s">
        <v>61</v>
      </c>
      <c r="C277" t="s">
        <v>230</v>
      </c>
      <c r="D277">
        <v>81319</v>
      </c>
      <c r="E277">
        <v>3</v>
      </c>
    </row>
    <row r="278" spans="1:5" x14ac:dyDescent="0.25">
      <c r="A278" t="s">
        <v>55</v>
      </c>
      <c r="B278" t="s">
        <v>102</v>
      </c>
      <c r="C278" t="s">
        <v>231</v>
      </c>
      <c r="D278">
        <v>56693</v>
      </c>
      <c r="E278">
        <v>7</v>
      </c>
    </row>
    <row r="279" spans="1:5" x14ac:dyDescent="0.25">
      <c r="A279" t="s">
        <v>13</v>
      </c>
      <c r="B279" t="s">
        <v>71</v>
      </c>
      <c r="C279" t="s">
        <v>231</v>
      </c>
      <c r="D279">
        <v>10383</v>
      </c>
      <c r="E279">
        <v>6</v>
      </c>
    </row>
    <row r="280" spans="1:5" x14ac:dyDescent="0.25">
      <c r="A280" t="s">
        <v>26</v>
      </c>
      <c r="B280" t="s">
        <v>232</v>
      </c>
      <c r="C280" t="s">
        <v>233</v>
      </c>
      <c r="D280">
        <v>65730</v>
      </c>
      <c r="E280">
        <v>7</v>
      </c>
    </row>
    <row r="281" spans="1:5" x14ac:dyDescent="0.25">
      <c r="A281" t="s">
        <v>19</v>
      </c>
      <c r="B281" t="s">
        <v>28</v>
      </c>
      <c r="C281" t="s">
        <v>233</v>
      </c>
      <c r="D281">
        <v>54713</v>
      </c>
      <c r="E281">
        <v>5</v>
      </c>
    </row>
    <row r="282" spans="1:5" x14ac:dyDescent="0.25">
      <c r="A282" t="s">
        <v>5</v>
      </c>
      <c r="B282" t="s">
        <v>116</v>
      </c>
      <c r="C282" t="s">
        <v>233</v>
      </c>
      <c r="D282">
        <v>63808</v>
      </c>
      <c r="E282">
        <v>5</v>
      </c>
    </row>
    <row r="283" spans="1:5" x14ac:dyDescent="0.25">
      <c r="A283" t="s">
        <v>8</v>
      </c>
      <c r="B283" t="s">
        <v>234</v>
      </c>
      <c r="C283" t="s">
        <v>235</v>
      </c>
      <c r="D283">
        <v>79492</v>
      </c>
      <c r="E283">
        <v>3</v>
      </c>
    </row>
    <row r="284" spans="1:5" x14ac:dyDescent="0.25">
      <c r="A284" t="s">
        <v>13</v>
      </c>
      <c r="B284" t="s">
        <v>202</v>
      </c>
      <c r="C284" t="s">
        <v>235</v>
      </c>
      <c r="D284">
        <v>24149</v>
      </c>
      <c r="E284">
        <v>9</v>
      </c>
    </row>
    <row r="285" spans="1:5" x14ac:dyDescent="0.25">
      <c r="A285" t="s">
        <v>29</v>
      </c>
      <c r="B285" t="s">
        <v>199</v>
      </c>
      <c r="C285" t="s">
        <v>235</v>
      </c>
      <c r="D285">
        <v>76746</v>
      </c>
      <c r="E285">
        <v>7</v>
      </c>
    </row>
    <row r="286" spans="1:5" x14ac:dyDescent="0.25">
      <c r="A286" t="s">
        <v>55</v>
      </c>
      <c r="B286" t="s">
        <v>174</v>
      </c>
      <c r="C286" t="s">
        <v>236</v>
      </c>
      <c r="D286">
        <v>51161</v>
      </c>
      <c r="E286">
        <v>10</v>
      </c>
    </row>
    <row r="287" spans="1:5" x14ac:dyDescent="0.25">
      <c r="A287" t="s">
        <v>8</v>
      </c>
      <c r="B287" t="s">
        <v>54</v>
      </c>
      <c r="C287" t="s">
        <v>236</v>
      </c>
      <c r="D287">
        <v>39743</v>
      </c>
      <c r="E287">
        <v>5</v>
      </c>
    </row>
    <row r="288" spans="1:5" x14ac:dyDescent="0.25">
      <c r="A288" t="s">
        <v>29</v>
      </c>
      <c r="B288" t="s">
        <v>171</v>
      </c>
      <c r="C288" t="s">
        <v>236</v>
      </c>
      <c r="D288">
        <v>28030</v>
      </c>
      <c r="E288">
        <v>3</v>
      </c>
    </row>
    <row r="289" spans="1:5" x14ac:dyDescent="0.25">
      <c r="A289" t="s">
        <v>16</v>
      </c>
      <c r="B289" t="s">
        <v>79</v>
      </c>
      <c r="C289" t="s">
        <v>236</v>
      </c>
      <c r="D289">
        <v>27566</v>
      </c>
      <c r="E289">
        <v>7</v>
      </c>
    </row>
    <row r="290" spans="1:5" x14ac:dyDescent="0.25">
      <c r="A290" t="s">
        <v>43</v>
      </c>
      <c r="B290" t="s">
        <v>119</v>
      </c>
      <c r="C290" t="s">
        <v>236</v>
      </c>
      <c r="D290">
        <v>42298</v>
      </c>
      <c r="E290">
        <v>8</v>
      </c>
    </row>
    <row r="291" spans="1:5" x14ac:dyDescent="0.25">
      <c r="A291" t="s">
        <v>26</v>
      </c>
      <c r="B291" t="s">
        <v>237</v>
      </c>
      <c r="C291" t="s">
        <v>236</v>
      </c>
      <c r="D291">
        <v>14560</v>
      </c>
      <c r="E291">
        <v>3</v>
      </c>
    </row>
    <row r="292" spans="1:5" x14ac:dyDescent="0.25">
      <c r="A292" t="s">
        <v>8</v>
      </c>
      <c r="B292" t="s">
        <v>46</v>
      </c>
      <c r="C292" t="s">
        <v>236</v>
      </c>
      <c r="D292">
        <v>54451</v>
      </c>
      <c r="E292">
        <v>6</v>
      </c>
    </row>
    <row r="293" spans="1:5" x14ac:dyDescent="0.25">
      <c r="A293" t="s">
        <v>13</v>
      </c>
      <c r="B293" t="s">
        <v>45</v>
      </c>
      <c r="C293" t="s">
        <v>236</v>
      </c>
      <c r="D293">
        <v>20883</v>
      </c>
      <c r="E293">
        <v>8</v>
      </c>
    </row>
    <row r="294" spans="1:5" x14ac:dyDescent="0.25">
      <c r="A294" t="s">
        <v>8</v>
      </c>
      <c r="B294" t="s">
        <v>151</v>
      </c>
      <c r="C294" t="s">
        <v>238</v>
      </c>
      <c r="D294">
        <v>23472</v>
      </c>
      <c r="E294">
        <v>9</v>
      </c>
    </row>
    <row r="295" spans="1:5" x14ac:dyDescent="0.25">
      <c r="A295" t="s">
        <v>16</v>
      </c>
      <c r="B295" t="s">
        <v>89</v>
      </c>
      <c r="C295" t="s">
        <v>238</v>
      </c>
      <c r="D295">
        <v>54800</v>
      </c>
      <c r="E295">
        <v>4</v>
      </c>
    </row>
    <row r="296" spans="1:5" x14ac:dyDescent="0.25">
      <c r="A296" t="s">
        <v>43</v>
      </c>
      <c r="B296" t="s">
        <v>239</v>
      </c>
      <c r="C296" t="s">
        <v>238</v>
      </c>
      <c r="D296">
        <v>14062</v>
      </c>
      <c r="E296">
        <v>1</v>
      </c>
    </row>
    <row r="297" spans="1:5" x14ac:dyDescent="0.25">
      <c r="A297" t="s">
        <v>5</v>
      </c>
      <c r="B297" t="s">
        <v>227</v>
      </c>
      <c r="C297" t="s">
        <v>238</v>
      </c>
      <c r="D297">
        <v>53959</v>
      </c>
      <c r="E297">
        <v>4</v>
      </c>
    </row>
    <row r="298" spans="1:5" x14ac:dyDescent="0.25">
      <c r="A298" t="s">
        <v>21</v>
      </c>
      <c r="B298" t="s">
        <v>176</v>
      </c>
      <c r="C298" t="s">
        <v>238</v>
      </c>
      <c r="D298">
        <v>25618</v>
      </c>
      <c r="E298">
        <v>8</v>
      </c>
    </row>
    <row r="299" spans="1:5" x14ac:dyDescent="0.25">
      <c r="A299" t="s">
        <v>13</v>
      </c>
      <c r="B299" t="s">
        <v>227</v>
      </c>
      <c r="C299" t="s">
        <v>238</v>
      </c>
      <c r="D299">
        <v>24529</v>
      </c>
      <c r="E299">
        <v>6</v>
      </c>
    </row>
    <row r="300" spans="1:5" x14ac:dyDescent="0.25">
      <c r="A300" t="s">
        <v>13</v>
      </c>
      <c r="B300" t="s">
        <v>33</v>
      </c>
      <c r="C300" t="s">
        <v>240</v>
      </c>
      <c r="D300">
        <v>10621</v>
      </c>
      <c r="E300">
        <v>3</v>
      </c>
    </row>
    <row r="301" spans="1:5" x14ac:dyDescent="0.25">
      <c r="A301" t="s">
        <v>8</v>
      </c>
      <c r="B301" t="s">
        <v>54</v>
      </c>
      <c r="C301" t="s">
        <v>241</v>
      </c>
      <c r="D301">
        <v>14051</v>
      </c>
      <c r="E301">
        <v>9</v>
      </c>
    </row>
    <row r="302" spans="1:5" x14ac:dyDescent="0.25">
      <c r="A302" t="s">
        <v>19</v>
      </c>
      <c r="B302" t="s">
        <v>91</v>
      </c>
      <c r="C302" t="s">
        <v>241</v>
      </c>
      <c r="D302">
        <v>68114</v>
      </c>
      <c r="E302">
        <v>6</v>
      </c>
    </row>
    <row r="303" spans="1:5" x14ac:dyDescent="0.25">
      <c r="A303" t="s">
        <v>16</v>
      </c>
      <c r="B303" t="s">
        <v>165</v>
      </c>
      <c r="C303" t="s">
        <v>241</v>
      </c>
      <c r="D303">
        <v>73358</v>
      </c>
      <c r="E303">
        <v>0</v>
      </c>
    </row>
    <row r="304" spans="1:5" x14ac:dyDescent="0.25">
      <c r="A304" t="s">
        <v>38</v>
      </c>
      <c r="B304" t="s">
        <v>237</v>
      </c>
      <c r="C304" t="s">
        <v>241</v>
      </c>
      <c r="D304">
        <v>83628</v>
      </c>
      <c r="E304">
        <v>3</v>
      </c>
    </row>
    <row r="305" spans="1:5" x14ac:dyDescent="0.25">
      <c r="A305" t="s">
        <v>13</v>
      </c>
      <c r="B305" t="s">
        <v>28</v>
      </c>
      <c r="C305" t="s">
        <v>241</v>
      </c>
      <c r="D305">
        <v>45764</v>
      </c>
      <c r="E305">
        <v>7</v>
      </c>
    </row>
    <row r="306" spans="1:5" x14ac:dyDescent="0.25">
      <c r="A306" t="s">
        <v>21</v>
      </c>
      <c r="B306" t="s">
        <v>193</v>
      </c>
      <c r="C306" t="s">
        <v>242</v>
      </c>
      <c r="D306">
        <v>27697</v>
      </c>
      <c r="E306">
        <v>7</v>
      </c>
    </row>
    <row r="307" spans="1:5" x14ac:dyDescent="0.25">
      <c r="A307" t="s">
        <v>38</v>
      </c>
      <c r="B307" t="s">
        <v>64</v>
      </c>
      <c r="C307" t="s">
        <v>242</v>
      </c>
      <c r="D307">
        <v>49464</v>
      </c>
      <c r="E307">
        <v>6</v>
      </c>
    </row>
    <row r="308" spans="1:5" x14ac:dyDescent="0.25">
      <c r="A308" t="s">
        <v>11</v>
      </c>
      <c r="B308" t="s">
        <v>33</v>
      </c>
      <c r="C308" t="s">
        <v>242</v>
      </c>
      <c r="D308">
        <v>41864</v>
      </c>
      <c r="E308">
        <v>4</v>
      </c>
    </row>
    <row r="309" spans="1:5" x14ac:dyDescent="0.25">
      <c r="A309" t="s">
        <v>55</v>
      </c>
      <c r="B309" t="s">
        <v>173</v>
      </c>
      <c r="C309" t="s">
        <v>242</v>
      </c>
      <c r="D309">
        <v>44628</v>
      </c>
      <c r="E309">
        <v>5</v>
      </c>
    </row>
    <row r="310" spans="1:5" x14ac:dyDescent="0.25">
      <c r="A310" t="s">
        <v>11</v>
      </c>
      <c r="B310" t="s">
        <v>97</v>
      </c>
      <c r="C310" t="s">
        <v>242</v>
      </c>
      <c r="D310">
        <v>43126</v>
      </c>
      <c r="E310">
        <v>7</v>
      </c>
    </row>
    <row r="311" spans="1:5" x14ac:dyDescent="0.25">
      <c r="A311" t="s">
        <v>38</v>
      </c>
      <c r="B311" t="s">
        <v>97</v>
      </c>
      <c r="C311" t="s">
        <v>242</v>
      </c>
      <c r="D311">
        <v>46030</v>
      </c>
      <c r="E311">
        <v>3</v>
      </c>
    </row>
    <row r="312" spans="1:5" x14ac:dyDescent="0.25">
      <c r="A312" t="s">
        <v>13</v>
      </c>
      <c r="B312" t="s">
        <v>186</v>
      </c>
      <c r="C312" t="s">
        <v>242</v>
      </c>
      <c r="D312">
        <v>23023</v>
      </c>
      <c r="E312">
        <v>9</v>
      </c>
    </row>
    <row r="313" spans="1:5" x14ac:dyDescent="0.25">
      <c r="A313" t="s">
        <v>13</v>
      </c>
      <c r="B313" t="s">
        <v>64</v>
      </c>
      <c r="C313" t="s">
        <v>243</v>
      </c>
      <c r="D313">
        <v>97026</v>
      </c>
      <c r="E313">
        <v>7</v>
      </c>
    </row>
    <row r="314" spans="1:5" x14ac:dyDescent="0.25">
      <c r="A314" t="s">
        <v>19</v>
      </c>
      <c r="B314" t="s">
        <v>196</v>
      </c>
      <c r="C314" t="s">
        <v>243</v>
      </c>
      <c r="D314">
        <v>19203</v>
      </c>
      <c r="E314">
        <v>3</v>
      </c>
    </row>
    <row r="315" spans="1:5" x14ac:dyDescent="0.25">
      <c r="A315" t="s">
        <v>13</v>
      </c>
      <c r="B315" t="s">
        <v>75</v>
      </c>
      <c r="C315" t="s">
        <v>244</v>
      </c>
      <c r="D315">
        <v>96695</v>
      </c>
      <c r="E315">
        <v>3</v>
      </c>
    </row>
    <row r="316" spans="1:5" x14ac:dyDescent="0.25">
      <c r="A316" t="s">
        <v>11</v>
      </c>
      <c r="B316" t="s">
        <v>193</v>
      </c>
      <c r="C316" t="s">
        <v>244</v>
      </c>
      <c r="D316">
        <v>38784</v>
      </c>
      <c r="E316">
        <v>6</v>
      </c>
    </row>
    <row r="317" spans="1:5" x14ac:dyDescent="0.25">
      <c r="A317" t="s">
        <v>26</v>
      </c>
      <c r="B317" t="s">
        <v>209</v>
      </c>
      <c r="C317" t="s">
        <v>244</v>
      </c>
      <c r="D317">
        <v>37397</v>
      </c>
      <c r="E317">
        <v>9</v>
      </c>
    </row>
    <row r="318" spans="1:5" x14ac:dyDescent="0.25">
      <c r="A318" t="s">
        <v>13</v>
      </c>
      <c r="B318" t="s">
        <v>221</v>
      </c>
      <c r="C318" t="s">
        <v>245</v>
      </c>
      <c r="D318">
        <v>10974</v>
      </c>
      <c r="E318">
        <v>7</v>
      </c>
    </row>
    <row r="319" spans="1:5" x14ac:dyDescent="0.25">
      <c r="A319" t="s">
        <v>38</v>
      </c>
      <c r="B319" t="s">
        <v>246</v>
      </c>
      <c r="C319" t="s">
        <v>245</v>
      </c>
      <c r="D319">
        <v>73539</v>
      </c>
      <c r="E319">
        <v>4</v>
      </c>
    </row>
    <row r="320" spans="1:5" x14ac:dyDescent="0.25">
      <c r="A320" t="s">
        <v>21</v>
      </c>
      <c r="B320" t="s">
        <v>46</v>
      </c>
      <c r="C320" t="s">
        <v>245</v>
      </c>
      <c r="D320">
        <v>86028</v>
      </c>
      <c r="E320">
        <v>3</v>
      </c>
    </row>
    <row r="321" spans="1:5" x14ac:dyDescent="0.25">
      <c r="A321" t="s">
        <v>19</v>
      </c>
      <c r="B321" t="s">
        <v>33</v>
      </c>
      <c r="C321" t="s">
        <v>247</v>
      </c>
      <c r="D321">
        <v>80463</v>
      </c>
      <c r="E321">
        <v>8</v>
      </c>
    </row>
    <row r="322" spans="1:5" x14ac:dyDescent="0.25">
      <c r="A322" t="s">
        <v>19</v>
      </c>
      <c r="B322" t="s">
        <v>46</v>
      </c>
      <c r="C322" t="s">
        <v>247</v>
      </c>
      <c r="D322">
        <v>48044</v>
      </c>
      <c r="E322">
        <v>7</v>
      </c>
    </row>
    <row r="323" spans="1:5" x14ac:dyDescent="0.25">
      <c r="A323" t="s">
        <v>19</v>
      </c>
      <c r="B323" t="s">
        <v>47</v>
      </c>
      <c r="C323" t="s">
        <v>247</v>
      </c>
      <c r="D323">
        <v>34356</v>
      </c>
      <c r="E323">
        <v>9</v>
      </c>
    </row>
    <row r="324" spans="1:5" x14ac:dyDescent="0.25">
      <c r="A324" t="s">
        <v>38</v>
      </c>
      <c r="B324" t="s">
        <v>239</v>
      </c>
      <c r="C324" t="s">
        <v>247</v>
      </c>
      <c r="D324">
        <v>99542</v>
      </c>
      <c r="E324">
        <v>4</v>
      </c>
    </row>
    <row r="325" spans="1:5" x14ac:dyDescent="0.25">
      <c r="A325" t="s">
        <v>19</v>
      </c>
      <c r="B325" t="s">
        <v>215</v>
      </c>
      <c r="C325" t="s">
        <v>247</v>
      </c>
      <c r="D325">
        <v>55873</v>
      </c>
      <c r="E325">
        <v>7</v>
      </c>
    </row>
    <row r="326" spans="1:5" x14ac:dyDescent="0.25">
      <c r="A326" t="s">
        <v>55</v>
      </c>
      <c r="B326" t="s">
        <v>248</v>
      </c>
      <c r="C326" t="s">
        <v>247</v>
      </c>
      <c r="D326">
        <v>56217</v>
      </c>
      <c r="E326">
        <v>10</v>
      </c>
    </row>
    <row r="327" spans="1:5" x14ac:dyDescent="0.25">
      <c r="A327" t="s">
        <v>8</v>
      </c>
      <c r="B327" t="s">
        <v>91</v>
      </c>
      <c r="C327" t="s">
        <v>249</v>
      </c>
      <c r="D327">
        <v>24529</v>
      </c>
      <c r="E327">
        <v>9</v>
      </c>
    </row>
    <row r="328" spans="1:5" x14ac:dyDescent="0.25">
      <c r="A328" t="s">
        <v>19</v>
      </c>
      <c r="B328" t="s">
        <v>250</v>
      </c>
      <c r="C328" t="s">
        <v>249</v>
      </c>
      <c r="D328">
        <v>75544</v>
      </c>
      <c r="E328">
        <v>6</v>
      </c>
    </row>
    <row r="329" spans="1:5" x14ac:dyDescent="0.25">
      <c r="A329" t="s">
        <v>29</v>
      </c>
      <c r="B329" t="s">
        <v>125</v>
      </c>
      <c r="C329" t="s">
        <v>249</v>
      </c>
      <c r="D329">
        <v>41438</v>
      </c>
      <c r="E329">
        <v>7</v>
      </c>
    </row>
    <row r="330" spans="1:5" x14ac:dyDescent="0.25">
      <c r="A330" t="s">
        <v>11</v>
      </c>
      <c r="B330" t="s">
        <v>139</v>
      </c>
      <c r="C330" t="s">
        <v>249</v>
      </c>
      <c r="D330">
        <v>32885</v>
      </c>
      <c r="E330">
        <v>5</v>
      </c>
    </row>
    <row r="331" spans="1:5" x14ac:dyDescent="0.25">
      <c r="A331" t="s">
        <v>55</v>
      </c>
      <c r="B331" t="s">
        <v>33</v>
      </c>
      <c r="C331" t="s">
        <v>251</v>
      </c>
      <c r="D331">
        <v>76909</v>
      </c>
      <c r="E331">
        <v>6</v>
      </c>
    </row>
    <row r="332" spans="1:5" x14ac:dyDescent="0.25">
      <c r="A332" t="s">
        <v>55</v>
      </c>
      <c r="B332" t="s">
        <v>215</v>
      </c>
      <c r="C332" t="s">
        <v>251</v>
      </c>
      <c r="D332">
        <v>13794</v>
      </c>
      <c r="E332">
        <v>7</v>
      </c>
    </row>
    <row r="333" spans="1:5" x14ac:dyDescent="0.25">
      <c r="A333" t="s">
        <v>55</v>
      </c>
      <c r="B333" t="s">
        <v>54</v>
      </c>
      <c r="C333" t="s">
        <v>252</v>
      </c>
      <c r="D333">
        <v>96532</v>
      </c>
      <c r="E333">
        <v>5</v>
      </c>
    </row>
    <row r="334" spans="1:5" x14ac:dyDescent="0.25">
      <c r="A334" t="s">
        <v>43</v>
      </c>
      <c r="B334" t="s">
        <v>253</v>
      </c>
      <c r="C334" t="s">
        <v>252</v>
      </c>
      <c r="D334">
        <v>29103</v>
      </c>
      <c r="E334">
        <v>6</v>
      </c>
    </row>
    <row r="335" spans="1:5" x14ac:dyDescent="0.25">
      <c r="A335" t="s">
        <v>21</v>
      </c>
      <c r="B335" t="s">
        <v>141</v>
      </c>
      <c r="C335" t="s">
        <v>252</v>
      </c>
      <c r="D335">
        <v>64916</v>
      </c>
      <c r="E335">
        <v>9</v>
      </c>
    </row>
    <row r="336" spans="1:5" x14ac:dyDescent="0.25">
      <c r="A336" t="s">
        <v>29</v>
      </c>
      <c r="B336" t="s">
        <v>33</v>
      </c>
      <c r="C336" t="s">
        <v>254</v>
      </c>
      <c r="D336">
        <v>77864</v>
      </c>
      <c r="E336">
        <v>4</v>
      </c>
    </row>
    <row r="337" spans="1:5" x14ac:dyDescent="0.25">
      <c r="A337" t="s">
        <v>11</v>
      </c>
      <c r="B337" t="s">
        <v>161</v>
      </c>
      <c r="C337" t="s">
        <v>254</v>
      </c>
      <c r="D337">
        <v>11054</v>
      </c>
      <c r="E337">
        <v>8</v>
      </c>
    </row>
    <row r="338" spans="1:5" x14ac:dyDescent="0.25">
      <c r="A338" t="s">
        <v>8</v>
      </c>
      <c r="B338" t="s">
        <v>255</v>
      </c>
      <c r="C338" t="s">
        <v>254</v>
      </c>
      <c r="D338">
        <v>74987</v>
      </c>
      <c r="E338">
        <v>7</v>
      </c>
    </row>
    <row r="339" spans="1:5" x14ac:dyDescent="0.25">
      <c r="A339" t="s">
        <v>13</v>
      </c>
      <c r="B339" t="s">
        <v>131</v>
      </c>
      <c r="C339" t="s">
        <v>254</v>
      </c>
      <c r="D339">
        <v>27034</v>
      </c>
      <c r="E339">
        <v>7</v>
      </c>
    </row>
    <row r="340" spans="1:5" x14ac:dyDescent="0.25">
      <c r="A340" t="s">
        <v>11</v>
      </c>
      <c r="B340" t="s">
        <v>45</v>
      </c>
      <c r="C340" t="s">
        <v>254</v>
      </c>
      <c r="D340">
        <v>39607</v>
      </c>
      <c r="E340">
        <v>6</v>
      </c>
    </row>
    <row r="341" spans="1:5" x14ac:dyDescent="0.25">
      <c r="A341" t="s">
        <v>55</v>
      </c>
      <c r="B341" t="s">
        <v>100</v>
      </c>
      <c r="C341" t="s">
        <v>254</v>
      </c>
      <c r="D341">
        <v>13676</v>
      </c>
      <c r="E341">
        <v>5</v>
      </c>
    </row>
    <row r="342" spans="1:5" x14ac:dyDescent="0.25">
      <c r="A342" t="s">
        <v>8</v>
      </c>
      <c r="B342" t="s">
        <v>37</v>
      </c>
      <c r="C342" t="s">
        <v>254</v>
      </c>
      <c r="D342">
        <v>82580</v>
      </c>
      <c r="E342">
        <v>6</v>
      </c>
    </row>
    <row r="343" spans="1:5" x14ac:dyDescent="0.25">
      <c r="A343" t="s">
        <v>13</v>
      </c>
      <c r="B343" t="s">
        <v>183</v>
      </c>
      <c r="C343" t="s">
        <v>256</v>
      </c>
      <c r="D343">
        <v>40137</v>
      </c>
      <c r="E343">
        <v>8</v>
      </c>
    </row>
    <row r="344" spans="1:5" x14ac:dyDescent="0.25">
      <c r="A344" t="s">
        <v>13</v>
      </c>
      <c r="B344" t="s">
        <v>20</v>
      </c>
      <c r="C344" t="s">
        <v>256</v>
      </c>
      <c r="D344">
        <v>32060</v>
      </c>
      <c r="E344">
        <v>6</v>
      </c>
    </row>
    <row r="345" spans="1:5" x14ac:dyDescent="0.25">
      <c r="A345" t="s">
        <v>26</v>
      </c>
      <c r="B345" t="s">
        <v>73</v>
      </c>
      <c r="C345" t="s">
        <v>256</v>
      </c>
      <c r="D345">
        <v>84247</v>
      </c>
      <c r="E345">
        <v>7</v>
      </c>
    </row>
    <row r="346" spans="1:5" x14ac:dyDescent="0.25">
      <c r="A346" t="s">
        <v>26</v>
      </c>
      <c r="B346" t="s">
        <v>257</v>
      </c>
      <c r="C346" t="s">
        <v>256</v>
      </c>
      <c r="D346">
        <v>13634</v>
      </c>
      <c r="E346">
        <v>6</v>
      </c>
    </row>
    <row r="347" spans="1:5" x14ac:dyDescent="0.25">
      <c r="A347" t="s">
        <v>5</v>
      </c>
      <c r="B347" t="s">
        <v>258</v>
      </c>
      <c r="C347" t="s">
        <v>256</v>
      </c>
      <c r="D347">
        <v>75623</v>
      </c>
      <c r="E347">
        <v>8</v>
      </c>
    </row>
    <row r="348" spans="1:5" x14ac:dyDescent="0.25">
      <c r="A348" t="s">
        <v>26</v>
      </c>
      <c r="B348" t="s">
        <v>193</v>
      </c>
      <c r="C348" t="s">
        <v>256</v>
      </c>
      <c r="D348">
        <v>64212</v>
      </c>
      <c r="E348">
        <v>7</v>
      </c>
    </row>
    <row r="349" spans="1:5" x14ac:dyDescent="0.25">
      <c r="A349" t="s">
        <v>5</v>
      </c>
      <c r="B349" t="s">
        <v>167</v>
      </c>
      <c r="C349" t="s">
        <v>256</v>
      </c>
      <c r="D349">
        <v>93264</v>
      </c>
      <c r="E349">
        <v>8</v>
      </c>
    </row>
    <row r="350" spans="1:5" x14ac:dyDescent="0.25">
      <c r="A350" t="s">
        <v>29</v>
      </c>
      <c r="B350" t="s">
        <v>187</v>
      </c>
      <c r="C350" t="s">
        <v>259</v>
      </c>
      <c r="D350">
        <v>62010</v>
      </c>
      <c r="E350">
        <v>0</v>
      </c>
    </row>
    <row r="351" spans="1:5" x14ac:dyDescent="0.25">
      <c r="A351" t="s">
        <v>11</v>
      </c>
      <c r="B351" t="s">
        <v>257</v>
      </c>
      <c r="C351" t="s">
        <v>260</v>
      </c>
      <c r="D351">
        <v>28868</v>
      </c>
      <c r="E351">
        <v>6</v>
      </c>
    </row>
    <row r="352" spans="1:5" x14ac:dyDescent="0.25">
      <c r="A352" t="s">
        <v>26</v>
      </c>
      <c r="B352" t="s">
        <v>190</v>
      </c>
      <c r="C352" t="s">
        <v>261</v>
      </c>
      <c r="D352">
        <v>39335</v>
      </c>
      <c r="E352">
        <v>2</v>
      </c>
    </row>
    <row r="353" spans="1:5" x14ac:dyDescent="0.25">
      <c r="A353" t="s">
        <v>21</v>
      </c>
      <c r="B353" t="s">
        <v>91</v>
      </c>
      <c r="C353" t="s">
        <v>261</v>
      </c>
      <c r="D353">
        <v>36872</v>
      </c>
      <c r="E353">
        <v>1</v>
      </c>
    </row>
    <row r="354" spans="1:5" x14ac:dyDescent="0.25">
      <c r="A354" t="s">
        <v>13</v>
      </c>
      <c r="B354" t="s">
        <v>85</v>
      </c>
      <c r="C354" t="s">
        <v>261</v>
      </c>
      <c r="D354">
        <v>95042</v>
      </c>
      <c r="E354">
        <v>7</v>
      </c>
    </row>
    <row r="355" spans="1:5" x14ac:dyDescent="0.25">
      <c r="A355" t="s">
        <v>13</v>
      </c>
      <c r="B355" t="s">
        <v>78</v>
      </c>
      <c r="C355" t="s">
        <v>262</v>
      </c>
      <c r="D355">
        <v>85922</v>
      </c>
      <c r="E355">
        <v>3</v>
      </c>
    </row>
    <row r="356" spans="1:5" x14ac:dyDescent="0.25">
      <c r="A356" t="s">
        <v>16</v>
      </c>
      <c r="B356" t="s">
        <v>129</v>
      </c>
      <c r="C356" t="s">
        <v>262</v>
      </c>
      <c r="D356">
        <v>49532</v>
      </c>
      <c r="E356">
        <v>6</v>
      </c>
    </row>
    <row r="357" spans="1:5" x14ac:dyDescent="0.25">
      <c r="A357" t="s">
        <v>19</v>
      </c>
      <c r="B357" t="s">
        <v>34</v>
      </c>
      <c r="C357" t="s">
        <v>262</v>
      </c>
      <c r="D357">
        <v>21605</v>
      </c>
      <c r="E357">
        <v>4</v>
      </c>
    </row>
    <row r="358" spans="1:5" x14ac:dyDescent="0.25">
      <c r="A358" t="s">
        <v>8</v>
      </c>
      <c r="B358" t="s">
        <v>106</v>
      </c>
      <c r="C358" t="s">
        <v>262</v>
      </c>
      <c r="D358">
        <v>90713</v>
      </c>
      <c r="E358">
        <v>7</v>
      </c>
    </row>
    <row r="359" spans="1:5" x14ac:dyDescent="0.25">
      <c r="A359" t="s">
        <v>19</v>
      </c>
      <c r="B359" t="s">
        <v>79</v>
      </c>
      <c r="C359" t="s">
        <v>262</v>
      </c>
      <c r="D359">
        <v>61271</v>
      </c>
      <c r="E359">
        <v>6</v>
      </c>
    </row>
    <row r="360" spans="1:5" x14ac:dyDescent="0.25">
      <c r="A360" t="s">
        <v>5</v>
      </c>
      <c r="B360" t="s">
        <v>257</v>
      </c>
      <c r="C360" t="s">
        <v>262</v>
      </c>
      <c r="D360">
        <v>82509</v>
      </c>
      <c r="E360">
        <v>4</v>
      </c>
    </row>
    <row r="361" spans="1:5" x14ac:dyDescent="0.25">
      <c r="A361" t="s">
        <v>38</v>
      </c>
      <c r="B361" t="s">
        <v>79</v>
      </c>
      <c r="C361" t="s">
        <v>262</v>
      </c>
      <c r="D361">
        <v>36740</v>
      </c>
      <c r="E361">
        <v>4</v>
      </c>
    </row>
    <row r="362" spans="1:5" x14ac:dyDescent="0.25">
      <c r="A362" t="s">
        <v>5</v>
      </c>
      <c r="B362" t="s">
        <v>33</v>
      </c>
      <c r="C362" t="s">
        <v>262</v>
      </c>
      <c r="D362">
        <v>83414</v>
      </c>
      <c r="E362">
        <v>5</v>
      </c>
    </row>
    <row r="363" spans="1:5" x14ac:dyDescent="0.25">
      <c r="A363" t="s">
        <v>21</v>
      </c>
      <c r="B363" t="s">
        <v>263</v>
      </c>
      <c r="C363" t="s">
        <v>262</v>
      </c>
      <c r="D363">
        <v>72088</v>
      </c>
      <c r="E363">
        <v>9</v>
      </c>
    </row>
    <row r="364" spans="1:5" x14ac:dyDescent="0.25">
      <c r="A364" t="s">
        <v>11</v>
      </c>
      <c r="B364" t="s">
        <v>34</v>
      </c>
      <c r="C364" t="s">
        <v>262</v>
      </c>
      <c r="D364">
        <v>37083</v>
      </c>
      <c r="E364">
        <v>7</v>
      </c>
    </row>
    <row r="365" spans="1:5" x14ac:dyDescent="0.25">
      <c r="A365" t="s">
        <v>55</v>
      </c>
      <c r="B365" t="s">
        <v>264</v>
      </c>
      <c r="C365" t="s">
        <v>262</v>
      </c>
      <c r="D365">
        <v>23389</v>
      </c>
      <c r="E365">
        <v>8</v>
      </c>
    </row>
    <row r="366" spans="1:5" x14ac:dyDescent="0.25">
      <c r="A366" t="s">
        <v>19</v>
      </c>
      <c r="B366" t="s">
        <v>265</v>
      </c>
      <c r="C366" t="s">
        <v>266</v>
      </c>
      <c r="D366">
        <v>71593</v>
      </c>
      <c r="E366">
        <v>4</v>
      </c>
    </row>
    <row r="367" spans="1:5" x14ac:dyDescent="0.25">
      <c r="A367" t="s">
        <v>11</v>
      </c>
      <c r="B367" t="s">
        <v>27</v>
      </c>
      <c r="C367" t="s">
        <v>266</v>
      </c>
      <c r="D367">
        <v>57786</v>
      </c>
      <c r="E367">
        <v>8</v>
      </c>
    </row>
    <row r="368" spans="1:5" x14ac:dyDescent="0.25">
      <c r="A368" t="s">
        <v>13</v>
      </c>
      <c r="B368" t="s">
        <v>6</v>
      </c>
      <c r="C368" t="s">
        <v>266</v>
      </c>
      <c r="D368">
        <v>59565</v>
      </c>
      <c r="E368">
        <v>7</v>
      </c>
    </row>
    <row r="369" spans="1:5" x14ac:dyDescent="0.25">
      <c r="A369" t="s">
        <v>11</v>
      </c>
      <c r="B369" t="s">
        <v>267</v>
      </c>
      <c r="C369" t="s">
        <v>268</v>
      </c>
      <c r="D369">
        <v>24171</v>
      </c>
      <c r="E369">
        <v>4</v>
      </c>
    </row>
    <row r="370" spans="1:5" x14ac:dyDescent="0.25">
      <c r="A370" t="s">
        <v>5</v>
      </c>
      <c r="B370" t="s">
        <v>269</v>
      </c>
      <c r="C370" t="s">
        <v>268</v>
      </c>
      <c r="D370">
        <v>48658</v>
      </c>
      <c r="E370">
        <v>6</v>
      </c>
    </row>
    <row r="371" spans="1:5" x14ac:dyDescent="0.25">
      <c r="A371" t="s">
        <v>26</v>
      </c>
      <c r="B371" t="s">
        <v>33</v>
      </c>
      <c r="C371" t="s">
        <v>268</v>
      </c>
      <c r="D371">
        <v>27757</v>
      </c>
      <c r="E371">
        <v>3</v>
      </c>
    </row>
    <row r="372" spans="1:5" x14ac:dyDescent="0.25">
      <c r="A372" t="s">
        <v>43</v>
      </c>
      <c r="B372" t="s">
        <v>187</v>
      </c>
      <c r="C372" t="s">
        <v>270</v>
      </c>
      <c r="D372">
        <v>25460</v>
      </c>
      <c r="E372">
        <v>2</v>
      </c>
    </row>
    <row r="373" spans="1:5" x14ac:dyDescent="0.25">
      <c r="A373" t="s">
        <v>29</v>
      </c>
      <c r="B373" t="s">
        <v>181</v>
      </c>
      <c r="C373" t="s">
        <v>271</v>
      </c>
      <c r="D373">
        <v>45526</v>
      </c>
      <c r="E373">
        <v>6</v>
      </c>
    </row>
    <row r="374" spans="1:5" x14ac:dyDescent="0.25">
      <c r="A374" t="s">
        <v>13</v>
      </c>
      <c r="B374" t="s">
        <v>272</v>
      </c>
      <c r="C374" t="s">
        <v>271</v>
      </c>
      <c r="D374">
        <v>17542</v>
      </c>
      <c r="E374">
        <v>4</v>
      </c>
    </row>
    <row r="375" spans="1:5" x14ac:dyDescent="0.25">
      <c r="A375" t="s">
        <v>16</v>
      </c>
      <c r="B375" t="s">
        <v>139</v>
      </c>
      <c r="C375" t="s">
        <v>271</v>
      </c>
      <c r="D375">
        <v>81183</v>
      </c>
      <c r="E375">
        <v>6</v>
      </c>
    </row>
    <row r="376" spans="1:5" x14ac:dyDescent="0.25">
      <c r="A376" t="s">
        <v>38</v>
      </c>
      <c r="B376" t="s">
        <v>127</v>
      </c>
      <c r="C376" t="s">
        <v>271</v>
      </c>
      <c r="D376">
        <v>12143</v>
      </c>
      <c r="E376">
        <v>9</v>
      </c>
    </row>
    <row r="377" spans="1:5" x14ac:dyDescent="0.25">
      <c r="A377" t="s">
        <v>29</v>
      </c>
      <c r="B377" t="s">
        <v>47</v>
      </c>
      <c r="C377" t="s">
        <v>271</v>
      </c>
      <c r="D377">
        <v>50934</v>
      </c>
      <c r="E377">
        <v>2</v>
      </c>
    </row>
    <row r="378" spans="1:5" x14ac:dyDescent="0.25">
      <c r="A378" t="s">
        <v>21</v>
      </c>
      <c r="B378" t="s">
        <v>114</v>
      </c>
      <c r="C378" t="s">
        <v>273</v>
      </c>
      <c r="D378">
        <v>45656</v>
      </c>
      <c r="E378">
        <v>8</v>
      </c>
    </row>
    <row r="379" spans="1:5" x14ac:dyDescent="0.25">
      <c r="A379" t="s">
        <v>26</v>
      </c>
      <c r="B379" t="s">
        <v>93</v>
      </c>
      <c r="C379" t="s">
        <v>273</v>
      </c>
      <c r="D379">
        <v>70390</v>
      </c>
      <c r="E379">
        <v>5</v>
      </c>
    </row>
    <row r="380" spans="1:5" x14ac:dyDescent="0.25">
      <c r="A380" t="s">
        <v>8</v>
      </c>
      <c r="B380" t="s">
        <v>274</v>
      </c>
      <c r="C380" t="s">
        <v>273</v>
      </c>
      <c r="D380">
        <v>66881</v>
      </c>
      <c r="E380">
        <v>7</v>
      </c>
    </row>
    <row r="381" spans="1:5" x14ac:dyDescent="0.25">
      <c r="A381" t="s">
        <v>38</v>
      </c>
      <c r="B381" t="s">
        <v>206</v>
      </c>
      <c r="C381" t="s">
        <v>273</v>
      </c>
      <c r="D381">
        <v>35445</v>
      </c>
      <c r="E381">
        <v>0</v>
      </c>
    </row>
    <row r="382" spans="1:5" x14ac:dyDescent="0.25">
      <c r="A382" t="s">
        <v>11</v>
      </c>
      <c r="B382" t="s">
        <v>275</v>
      </c>
      <c r="C382" t="s">
        <v>273</v>
      </c>
      <c r="D382">
        <v>20514</v>
      </c>
      <c r="E382">
        <v>8</v>
      </c>
    </row>
    <row r="383" spans="1:5" x14ac:dyDescent="0.25">
      <c r="A383" t="s">
        <v>5</v>
      </c>
      <c r="B383" t="s">
        <v>88</v>
      </c>
      <c r="C383" t="s">
        <v>273</v>
      </c>
      <c r="D383">
        <v>41627</v>
      </c>
      <c r="E383">
        <v>4</v>
      </c>
    </row>
    <row r="384" spans="1:5" x14ac:dyDescent="0.25">
      <c r="A384" t="s">
        <v>5</v>
      </c>
      <c r="B384" t="s">
        <v>276</v>
      </c>
      <c r="C384" t="s">
        <v>273</v>
      </c>
      <c r="D384">
        <v>17306</v>
      </c>
      <c r="E384">
        <v>4</v>
      </c>
    </row>
    <row r="385" spans="1:5" x14ac:dyDescent="0.25">
      <c r="A385" t="s">
        <v>21</v>
      </c>
      <c r="B385" t="s">
        <v>73</v>
      </c>
      <c r="C385" t="s">
        <v>273</v>
      </c>
      <c r="D385">
        <v>28990</v>
      </c>
      <c r="E385">
        <v>7</v>
      </c>
    </row>
    <row r="386" spans="1:5" x14ac:dyDescent="0.25">
      <c r="A386" t="s">
        <v>26</v>
      </c>
      <c r="B386" t="s">
        <v>91</v>
      </c>
      <c r="C386" t="s">
        <v>273</v>
      </c>
      <c r="D386">
        <v>60610</v>
      </c>
      <c r="E386">
        <v>4</v>
      </c>
    </row>
    <row r="387" spans="1:5" x14ac:dyDescent="0.25">
      <c r="A387" t="s">
        <v>38</v>
      </c>
      <c r="B387" t="s">
        <v>215</v>
      </c>
      <c r="C387" t="s">
        <v>273</v>
      </c>
      <c r="D387">
        <v>72161</v>
      </c>
      <c r="E387">
        <v>4</v>
      </c>
    </row>
    <row r="388" spans="1:5" x14ac:dyDescent="0.25">
      <c r="A388" t="s">
        <v>16</v>
      </c>
      <c r="B388" t="s">
        <v>82</v>
      </c>
      <c r="C388" t="s">
        <v>273</v>
      </c>
      <c r="D388">
        <v>87892</v>
      </c>
      <c r="E388">
        <v>8</v>
      </c>
    </row>
    <row r="389" spans="1:5" x14ac:dyDescent="0.25">
      <c r="A389" t="s">
        <v>38</v>
      </c>
      <c r="B389" t="s">
        <v>153</v>
      </c>
      <c r="C389" t="s">
        <v>273</v>
      </c>
      <c r="D389">
        <v>23493</v>
      </c>
      <c r="E389">
        <v>5</v>
      </c>
    </row>
    <row r="390" spans="1:5" x14ac:dyDescent="0.25">
      <c r="A390" t="s">
        <v>16</v>
      </c>
      <c r="B390" t="s">
        <v>131</v>
      </c>
      <c r="C390" t="s">
        <v>273</v>
      </c>
      <c r="D390">
        <v>43709</v>
      </c>
      <c r="E390">
        <v>1</v>
      </c>
    </row>
    <row r="391" spans="1:5" x14ac:dyDescent="0.25">
      <c r="A391" t="s">
        <v>13</v>
      </c>
      <c r="B391" t="s">
        <v>216</v>
      </c>
      <c r="C391" t="s">
        <v>277</v>
      </c>
      <c r="D391">
        <v>95886</v>
      </c>
      <c r="E391">
        <v>9</v>
      </c>
    </row>
    <row r="392" spans="1:5" x14ac:dyDescent="0.25">
      <c r="A392" t="s">
        <v>29</v>
      </c>
      <c r="B392" t="s">
        <v>151</v>
      </c>
      <c r="C392" t="s">
        <v>277</v>
      </c>
      <c r="D392">
        <v>48276</v>
      </c>
      <c r="E392">
        <v>6</v>
      </c>
    </row>
    <row r="393" spans="1:5" x14ac:dyDescent="0.25">
      <c r="A393" t="s">
        <v>19</v>
      </c>
      <c r="B393" t="s">
        <v>57</v>
      </c>
      <c r="C393" t="s">
        <v>277</v>
      </c>
      <c r="D393">
        <v>50637</v>
      </c>
      <c r="E393">
        <v>7</v>
      </c>
    </row>
    <row r="394" spans="1:5" x14ac:dyDescent="0.25">
      <c r="A394" t="s">
        <v>13</v>
      </c>
      <c r="B394" t="s">
        <v>25</v>
      </c>
      <c r="C394" t="s">
        <v>277</v>
      </c>
      <c r="D394">
        <v>33701</v>
      </c>
      <c r="E394">
        <v>6</v>
      </c>
    </row>
    <row r="395" spans="1:5" x14ac:dyDescent="0.25">
      <c r="A395" t="s">
        <v>5</v>
      </c>
      <c r="B395" t="s">
        <v>278</v>
      </c>
      <c r="C395" t="s">
        <v>277</v>
      </c>
      <c r="D395">
        <v>89547</v>
      </c>
      <c r="E395">
        <v>1</v>
      </c>
    </row>
    <row r="396" spans="1:5" x14ac:dyDescent="0.25">
      <c r="A396" t="s">
        <v>11</v>
      </c>
      <c r="B396" t="s">
        <v>76</v>
      </c>
      <c r="C396" t="s">
        <v>279</v>
      </c>
      <c r="D396">
        <v>34071</v>
      </c>
      <c r="E396">
        <v>7</v>
      </c>
    </row>
    <row r="397" spans="1:5" x14ac:dyDescent="0.25">
      <c r="A397" t="s">
        <v>43</v>
      </c>
      <c r="B397" t="s">
        <v>85</v>
      </c>
      <c r="C397" t="s">
        <v>279</v>
      </c>
      <c r="D397">
        <v>24425</v>
      </c>
      <c r="E397">
        <v>9</v>
      </c>
    </row>
    <row r="398" spans="1:5" x14ac:dyDescent="0.25">
      <c r="A398" t="s">
        <v>21</v>
      </c>
      <c r="B398" t="s">
        <v>202</v>
      </c>
      <c r="C398" t="s">
        <v>279</v>
      </c>
      <c r="D398">
        <v>14013</v>
      </c>
      <c r="E398">
        <v>6</v>
      </c>
    </row>
    <row r="399" spans="1:5" x14ac:dyDescent="0.25">
      <c r="A399" t="s">
        <v>43</v>
      </c>
      <c r="B399" t="s">
        <v>100</v>
      </c>
      <c r="C399" t="s">
        <v>280</v>
      </c>
      <c r="D399">
        <v>46251</v>
      </c>
      <c r="E399">
        <v>2</v>
      </c>
    </row>
    <row r="400" spans="1:5" x14ac:dyDescent="0.25">
      <c r="A400" t="s">
        <v>11</v>
      </c>
      <c r="B400" t="s">
        <v>96</v>
      </c>
      <c r="C400" t="s">
        <v>281</v>
      </c>
      <c r="D400">
        <v>16063</v>
      </c>
      <c r="E400">
        <v>4</v>
      </c>
    </row>
    <row r="401" spans="1:5" x14ac:dyDescent="0.25">
      <c r="A401" t="s">
        <v>43</v>
      </c>
      <c r="B401" t="s">
        <v>258</v>
      </c>
      <c r="C401" t="s">
        <v>282</v>
      </c>
      <c r="D401">
        <v>35536</v>
      </c>
      <c r="E401">
        <v>8</v>
      </c>
    </row>
    <row r="402" spans="1:5" x14ac:dyDescent="0.25">
      <c r="A402" t="s">
        <v>55</v>
      </c>
      <c r="B402" t="s">
        <v>283</v>
      </c>
      <c r="C402" t="s">
        <v>282</v>
      </c>
      <c r="D402">
        <v>99695</v>
      </c>
      <c r="E402">
        <v>7</v>
      </c>
    </row>
    <row r="403" spans="1:5" x14ac:dyDescent="0.25">
      <c r="A403" t="s">
        <v>21</v>
      </c>
      <c r="B403" t="s">
        <v>12</v>
      </c>
      <c r="C403" t="s">
        <v>282</v>
      </c>
      <c r="D403">
        <v>52042</v>
      </c>
      <c r="E403">
        <v>10</v>
      </c>
    </row>
    <row r="404" spans="1:5" x14ac:dyDescent="0.25">
      <c r="A404" t="s">
        <v>21</v>
      </c>
      <c r="B404" t="s">
        <v>184</v>
      </c>
      <c r="C404" t="s">
        <v>282</v>
      </c>
      <c r="D404">
        <v>39022</v>
      </c>
      <c r="E404">
        <v>0</v>
      </c>
    </row>
    <row r="405" spans="1:5" x14ac:dyDescent="0.25">
      <c r="A405" t="s">
        <v>16</v>
      </c>
      <c r="B405" t="s">
        <v>187</v>
      </c>
      <c r="C405" t="s">
        <v>282</v>
      </c>
      <c r="D405">
        <v>56600</v>
      </c>
      <c r="E405">
        <v>6</v>
      </c>
    </row>
    <row r="406" spans="1:5" x14ac:dyDescent="0.25">
      <c r="A406" t="s">
        <v>8</v>
      </c>
      <c r="B406" t="s">
        <v>79</v>
      </c>
      <c r="C406" t="s">
        <v>282</v>
      </c>
      <c r="D406">
        <v>38663</v>
      </c>
      <c r="E406">
        <v>1</v>
      </c>
    </row>
    <row r="407" spans="1:5" x14ac:dyDescent="0.25">
      <c r="A407" t="s">
        <v>38</v>
      </c>
      <c r="B407" t="s">
        <v>188</v>
      </c>
      <c r="C407" t="s">
        <v>282</v>
      </c>
      <c r="D407">
        <v>18441</v>
      </c>
      <c r="E407">
        <v>4</v>
      </c>
    </row>
    <row r="408" spans="1:5" x14ac:dyDescent="0.25">
      <c r="A408" t="s">
        <v>19</v>
      </c>
      <c r="B408" t="s">
        <v>167</v>
      </c>
      <c r="C408" t="s">
        <v>282</v>
      </c>
      <c r="D408">
        <v>35739</v>
      </c>
      <c r="E408">
        <v>7</v>
      </c>
    </row>
    <row r="409" spans="1:5" x14ac:dyDescent="0.25">
      <c r="A409" t="s">
        <v>29</v>
      </c>
      <c r="B409" t="s">
        <v>144</v>
      </c>
      <c r="C409" t="s">
        <v>282</v>
      </c>
      <c r="D409">
        <v>40236</v>
      </c>
      <c r="E409">
        <v>8</v>
      </c>
    </row>
    <row r="410" spans="1:5" x14ac:dyDescent="0.25">
      <c r="A410" t="s">
        <v>21</v>
      </c>
      <c r="B410" t="s">
        <v>258</v>
      </c>
      <c r="C410" t="s">
        <v>282</v>
      </c>
      <c r="D410">
        <v>55135</v>
      </c>
      <c r="E410">
        <v>3</v>
      </c>
    </row>
    <row r="411" spans="1:5" x14ac:dyDescent="0.25">
      <c r="A411" t="s">
        <v>38</v>
      </c>
      <c r="B411" t="s">
        <v>97</v>
      </c>
      <c r="C411" t="s">
        <v>282</v>
      </c>
      <c r="D411">
        <v>46244</v>
      </c>
      <c r="E411">
        <v>10</v>
      </c>
    </row>
    <row r="412" spans="1:5" x14ac:dyDescent="0.25">
      <c r="A412" t="s">
        <v>8</v>
      </c>
      <c r="B412" t="s">
        <v>71</v>
      </c>
      <c r="C412" t="s">
        <v>282</v>
      </c>
      <c r="D412">
        <v>34754</v>
      </c>
      <c r="E412">
        <v>2</v>
      </c>
    </row>
    <row r="413" spans="1:5" x14ac:dyDescent="0.25">
      <c r="A413" t="s">
        <v>43</v>
      </c>
      <c r="B413" t="s">
        <v>165</v>
      </c>
      <c r="C413" t="s">
        <v>284</v>
      </c>
      <c r="D413">
        <v>37931</v>
      </c>
      <c r="E413">
        <v>4</v>
      </c>
    </row>
    <row r="414" spans="1:5" x14ac:dyDescent="0.25">
      <c r="A414" t="s">
        <v>5</v>
      </c>
      <c r="B414" t="s">
        <v>71</v>
      </c>
      <c r="C414" t="s">
        <v>284</v>
      </c>
      <c r="D414">
        <v>12714</v>
      </c>
      <c r="E414">
        <v>6</v>
      </c>
    </row>
    <row r="415" spans="1:5" x14ac:dyDescent="0.25">
      <c r="A415" t="s">
        <v>19</v>
      </c>
      <c r="B415" t="s">
        <v>209</v>
      </c>
      <c r="C415" t="s">
        <v>284</v>
      </c>
      <c r="D415">
        <v>21713</v>
      </c>
      <c r="E415">
        <v>8</v>
      </c>
    </row>
    <row r="416" spans="1:5" x14ac:dyDescent="0.25">
      <c r="A416" t="s">
        <v>38</v>
      </c>
      <c r="B416" t="s">
        <v>172</v>
      </c>
      <c r="C416" t="s">
        <v>284</v>
      </c>
      <c r="D416">
        <v>79421</v>
      </c>
      <c r="E416">
        <v>9</v>
      </c>
    </row>
    <row r="417" spans="1:5" x14ac:dyDescent="0.25">
      <c r="A417" t="s">
        <v>19</v>
      </c>
      <c r="B417" t="s">
        <v>49</v>
      </c>
      <c r="C417" t="s">
        <v>285</v>
      </c>
      <c r="D417">
        <v>65707</v>
      </c>
      <c r="E417">
        <v>7</v>
      </c>
    </row>
    <row r="418" spans="1:5" x14ac:dyDescent="0.25">
      <c r="A418" t="s">
        <v>8</v>
      </c>
      <c r="B418" t="s">
        <v>92</v>
      </c>
      <c r="C418" t="s">
        <v>285</v>
      </c>
      <c r="D418">
        <v>72534</v>
      </c>
      <c r="E418">
        <v>9</v>
      </c>
    </row>
    <row r="419" spans="1:5" x14ac:dyDescent="0.25">
      <c r="A419" t="s">
        <v>8</v>
      </c>
      <c r="B419" t="s">
        <v>74</v>
      </c>
      <c r="C419" t="s">
        <v>285</v>
      </c>
      <c r="D419">
        <v>72322</v>
      </c>
      <c r="E419">
        <v>8</v>
      </c>
    </row>
    <row r="420" spans="1:5" x14ac:dyDescent="0.25">
      <c r="A420" t="s">
        <v>16</v>
      </c>
      <c r="B420" t="s">
        <v>217</v>
      </c>
      <c r="C420" t="s">
        <v>285</v>
      </c>
      <c r="D420">
        <v>24228</v>
      </c>
      <c r="E420">
        <v>9</v>
      </c>
    </row>
    <row r="421" spans="1:5" x14ac:dyDescent="0.25">
      <c r="A421" t="s">
        <v>13</v>
      </c>
      <c r="B421" t="s">
        <v>187</v>
      </c>
      <c r="C421" t="s">
        <v>286</v>
      </c>
      <c r="D421">
        <v>86176</v>
      </c>
      <c r="E421">
        <v>6</v>
      </c>
    </row>
    <row r="422" spans="1:5" x14ac:dyDescent="0.25">
      <c r="A422" t="s">
        <v>19</v>
      </c>
      <c r="B422" t="s">
        <v>28</v>
      </c>
      <c r="C422" t="s">
        <v>286</v>
      </c>
      <c r="D422">
        <v>91852</v>
      </c>
      <c r="E422">
        <v>7</v>
      </c>
    </row>
    <row r="423" spans="1:5" x14ac:dyDescent="0.25">
      <c r="A423" t="s">
        <v>19</v>
      </c>
      <c r="B423" t="s">
        <v>54</v>
      </c>
      <c r="C423" t="s">
        <v>286</v>
      </c>
      <c r="D423">
        <v>12700</v>
      </c>
      <c r="E423">
        <v>4</v>
      </c>
    </row>
    <row r="424" spans="1:5" x14ac:dyDescent="0.25">
      <c r="A424" t="s">
        <v>5</v>
      </c>
      <c r="B424" t="s">
        <v>248</v>
      </c>
      <c r="C424" t="s">
        <v>287</v>
      </c>
      <c r="D424">
        <v>38400</v>
      </c>
      <c r="E424">
        <v>7</v>
      </c>
    </row>
    <row r="425" spans="1:5" x14ac:dyDescent="0.25">
      <c r="A425" t="s">
        <v>21</v>
      </c>
      <c r="B425" t="s">
        <v>269</v>
      </c>
      <c r="C425" t="s">
        <v>287</v>
      </c>
      <c r="D425">
        <v>36977</v>
      </c>
      <c r="E425">
        <v>8</v>
      </c>
    </row>
    <row r="426" spans="1:5" x14ac:dyDescent="0.25">
      <c r="A426" t="s">
        <v>55</v>
      </c>
      <c r="B426" t="s">
        <v>125</v>
      </c>
      <c r="C426" t="s">
        <v>287</v>
      </c>
      <c r="D426">
        <v>57153</v>
      </c>
      <c r="E426">
        <v>6</v>
      </c>
    </row>
    <row r="427" spans="1:5" x14ac:dyDescent="0.25">
      <c r="A427" t="s">
        <v>8</v>
      </c>
      <c r="B427" t="s">
        <v>28</v>
      </c>
      <c r="C427" t="s">
        <v>287</v>
      </c>
      <c r="D427">
        <v>35824</v>
      </c>
      <c r="E427">
        <v>8</v>
      </c>
    </row>
    <row r="428" spans="1:5" x14ac:dyDescent="0.25">
      <c r="A428" t="s">
        <v>11</v>
      </c>
      <c r="B428" t="s">
        <v>72</v>
      </c>
      <c r="C428" t="s">
        <v>287</v>
      </c>
      <c r="D428">
        <v>98979</v>
      </c>
      <c r="E428">
        <v>8</v>
      </c>
    </row>
    <row r="429" spans="1:5" x14ac:dyDescent="0.25">
      <c r="A429" t="s">
        <v>55</v>
      </c>
      <c r="B429" t="s">
        <v>73</v>
      </c>
      <c r="C429" t="s">
        <v>287</v>
      </c>
      <c r="D429">
        <v>91141</v>
      </c>
      <c r="E429">
        <v>8</v>
      </c>
    </row>
    <row r="430" spans="1:5" x14ac:dyDescent="0.25">
      <c r="A430" t="s">
        <v>16</v>
      </c>
      <c r="B430" t="s">
        <v>96</v>
      </c>
      <c r="C430" t="s">
        <v>287</v>
      </c>
      <c r="D430">
        <v>39066</v>
      </c>
      <c r="E430">
        <v>8</v>
      </c>
    </row>
    <row r="431" spans="1:5" x14ac:dyDescent="0.25">
      <c r="A431" t="s">
        <v>38</v>
      </c>
      <c r="B431" t="s">
        <v>188</v>
      </c>
      <c r="C431" t="s">
        <v>287</v>
      </c>
      <c r="D431">
        <v>12285</v>
      </c>
      <c r="E431">
        <v>6</v>
      </c>
    </row>
    <row r="432" spans="1:5" x14ac:dyDescent="0.25">
      <c r="A432" t="s">
        <v>8</v>
      </c>
      <c r="B432" t="s">
        <v>30</v>
      </c>
      <c r="C432" t="s">
        <v>288</v>
      </c>
      <c r="D432">
        <v>74203</v>
      </c>
      <c r="E432">
        <v>5</v>
      </c>
    </row>
    <row r="433" spans="1:5" x14ac:dyDescent="0.25">
      <c r="A433" t="s">
        <v>26</v>
      </c>
      <c r="B433" t="s">
        <v>177</v>
      </c>
      <c r="C433" t="s">
        <v>288</v>
      </c>
      <c r="D433">
        <v>72738</v>
      </c>
      <c r="E433">
        <v>9</v>
      </c>
    </row>
    <row r="434" spans="1:5" x14ac:dyDescent="0.25">
      <c r="A434" t="s">
        <v>19</v>
      </c>
      <c r="B434" t="s">
        <v>199</v>
      </c>
      <c r="C434" t="s">
        <v>288</v>
      </c>
      <c r="D434">
        <v>21383</v>
      </c>
      <c r="E434">
        <v>9</v>
      </c>
    </row>
    <row r="435" spans="1:5" x14ac:dyDescent="0.25">
      <c r="A435" t="s">
        <v>8</v>
      </c>
      <c r="B435" t="s">
        <v>289</v>
      </c>
      <c r="C435" t="s">
        <v>288</v>
      </c>
      <c r="D435">
        <v>59008</v>
      </c>
      <c r="E435">
        <v>7</v>
      </c>
    </row>
    <row r="436" spans="1:5" x14ac:dyDescent="0.25">
      <c r="A436" t="s">
        <v>16</v>
      </c>
      <c r="B436" t="s">
        <v>257</v>
      </c>
      <c r="C436" t="s">
        <v>288</v>
      </c>
      <c r="D436">
        <v>99178</v>
      </c>
      <c r="E436">
        <v>2</v>
      </c>
    </row>
    <row r="437" spans="1:5" x14ac:dyDescent="0.25">
      <c r="A437" t="s">
        <v>19</v>
      </c>
      <c r="B437" t="s">
        <v>171</v>
      </c>
      <c r="C437" t="s">
        <v>290</v>
      </c>
      <c r="D437">
        <v>18601</v>
      </c>
      <c r="E437">
        <v>8</v>
      </c>
    </row>
    <row r="438" spans="1:5" x14ac:dyDescent="0.25">
      <c r="A438" t="s">
        <v>29</v>
      </c>
      <c r="B438" t="s">
        <v>112</v>
      </c>
      <c r="C438" t="s">
        <v>290</v>
      </c>
      <c r="D438">
        <v>10752</v>
      </c>
      <c r="E438">
        <v>9</v>
      </c>
    </row>
    <row r="439" spans="1:5" x14ac:dyDescent="0.25">
      <c r="A439" t="s">
        <v>11</v>
      </c>
      <c r="B439" t="s">
        <v>121</v>
      </c>
      <c r="C439" t="s">
        <v>290</v>
      </c>
      <c r="D439">
        <v>61036</v>
      </c>
      <c r="E439">
        <v>4</v>
      </c>
    </row>
    <row r="440" spans="1:5" x14ac:dyDescent="0.25">
      <c r="A440" t="s">
        <v>8</v>
      </c>
      <c r="B440" t="s">
        <v>64</v>
      </c>
      <c r="C440" t="s">
        <v>290</v>
      </c>
      <c r="D440">
        <v>38380</v>
      </c>
      <c r="E440">
        <v>5</v>
      </c>
    </row>
    <row r="441" spans="1:5" x14ac:dyDescent="0.25">
      <c r="A441" t="s">
        <v>13</v>
      </c>
      <c r="B441" t="s">
        <v>237</v>
      </c>
      <c r="C441" t="s">
        <v>290</v>
      </c>
      <c r="D441">
        <v>72807</v>
      </c>
      <c r="E441">
        <v>5</v>
      </c>
    </row>
    <row r="442" spans="1:5" x14ac:dyDescent="0.25">
      <c r="A442" t="s">
        <v>26</v>
      </c>
      <c r="B442" t="s">
        <v>274</v>
      </c>
      <c r="C442" t="s">
        <v>291</v>
      </c>
      <c r="D442">
        <v>59143</v>
      </c>
      <c r="E442">
        <v>10</v>
      </c>
    </row>
    <row r="443" spans="1:5" x14ac:dyDescent="0.25">
      <c r="A443" t="s">
        <v>16</v>
      </c>
      <c r="B443" t="s">
        <v>63</v>
      </c>
      <c r="C443" t="s">
        <v>291</v>
      </c>
      <c r="D443">
        <v>73166</v>
      </c>
      <c r="E443">
        <v>9</v>
      </c>
    </row>
    <row r="444" spans="1:5" x14ac:dyDescent="0.25">
      <c r="A444" t="s">
        <v>21</v>
      </c>
      <c r="B444" t="s">
        <v>269</v>
      </c>
      <c r="C444" t="s">
        <v>291</v>
      </c>
      <c r="D444">
        <v>92055</v>
      </c>
      <c r="E444">
        <v>0</v>
      </c>
    </row>
    <row r="445" spans="1:5" x14ac:dyDescent="0.25">
      <c r="A445" t="s">
        <v>38</v>
      </c>
      <c r="B445" t="s">
        <v>144</v>
      </c>
      <c r="C445" t="s">
        <v>291</v>
      </c>
      <c r="D445">
        <v>10264</v>
      </c>
      <c r="E445">
        <v>8</v>
      </c>
    </row>
    <row r="446" spans="1:5" x14ac:dyDescent="0.25">
      <c r="A446" t="s">
        <v>38</v>
      </c>
      <c r="B446" t="s">
        <v>28</v>
      </c>
      <c r="C446" t="s">
        <v>292</v>
      </c>
      <c r="D446">
        <v>32512</v>
      </c>
      <c r="E446">
        <v>6</v>
      </c>
    </row>
    <row r="447" spans="1:5" x14ac:dyDescent="0.25">
      <c r="A447" t="s">
        <v>26</v>
      </c>
      <c r="B447" t="s">
        <v>121</v>
      </c>
      <c r="C447" t="s">
        <v>292</v>
      </c>
      <c r="D447">
        <v>30922</v>
      </c>
      <c r="E447">
        <v>7</v>
      </c>
    </row>
    <row r="448" spans="1:5" x14ac:dyDescent="0.25">
      <c r="A448" t="s">
        <v>38</v>
      </c>
      <c r="B448" t="s">
        <v>76</v>
      </c>
      <c r="C448" t="s">
        <v>292</v>
      </c>
      <c r="D448">
        <v>89095</v>
      </c>
      <c r="E448">
        <v>3</v>
      </c>
    </row>
    <row r="449" spans="1:5" x14ac:dyDescent="0.25">
      <c r="A449" t="s">
        <v>16</v>
      </c>
      <c r="B449" t="s">
        <v>293</v>
      </c>
      <c r="C449" t="s">
        <v>292</v>
      </c>
      <c r="D449">
        <v>97139</v>
      </c>
      <c r="E449">
        <v>8</v>
      </c>
    </row>
    <row r="450" spans="1:5" x14ac:dyDescent="0.25">
      <c r="A450" t="s">
        <v>11</v>
      </c>
      <c r="B450" t="s">
        <v>257</v>
      </c>
      <c r="C450" t="s">
        <v>292</v>
      </c>
      <c r="D450">
        <v>55394</v>
      </c>
      <c r="E450">
        <v>9</v>
      </c>
    </row>
    <row r="451" spans="1:5" x14ac:dyDescent="0.25">
      <c r="A451" t="s">
        <v>29</v>
      </c>
      <c r="B451" t="s">
        <v>63</v>
      </c>
      <c r="C451" t="s">
        <v>292</v>
      </c>
      <c r="D451">
        <v>33124</v>
      </c>
      <c r="E451">
        <v>8</v>
      </c>
    </row>
    <row r="452" spans="1:5" x14ac:dyDescent="0.25">
      <c r="A452" t="s">
        <v>5</v>
      </c>
      <c r="B452" t="s">
        <v>123</v>
      </c>
      <c r="C452" t="s">
        <v>292</v>
      </c>
      <c r="D452">
        <v>39062</v>
      </c>
      <c r="E452">
        <v>3</v>
      </c>
    </row>
    <row r="453" spans="1:5" x14ac:dyDescent="0.25">
      <c r="A453" t="s">
        <v>55</v>
      </c>
      <c r="B453" t="s">
        <v>294</v>
      </c>
      <c r="C453" t="s">
        <v>292</v>
      </c>
      <c r="D453">
        <v>30305</v>
      </c>
      <c r="E453">
        <v>6</v>
      </c>
    </row>
    <row r="454" spans="1:5" x14ac:dyDescent="0.25">
      <c r="A454" t="s">
        <v>13</v>
      </c>
      <c r="B454" t="s">
        <v>295</v>
      </c>
      <c r="C454" t="s">
        <v>296</v>
      </c>
      <c r="D454">
        <v>69883</v>
      </c>
      <c r="E454">
        <v>7</v>
      </c>
    </row>
    <row r="455" spans="1:5" x14ac:dyDescent="0.25">
      <c r="A455" t="s">
        <v>16</v>
      </c>
      <c r="B455" t="s">
        <v>234</v>
      </c>
      <c r="C455" t="s">
        <v>296</v>
      </c>
      <c r="D455">
        <v>96678</v>
      </c>
      <c r="E455">
        <v>6</v>
      </c>
    </row>
    <row r="456" spans="1:5" x14ac:dyDescent="0.25">
      <c r="A456" t="s">
        <v>11</v>
      </c>
      <c r="B456" t="s">
        <v>168</v>
      </c>
      <c r="C456" t="s">
        <v>296</v>
      </c>
      <c r="D456">
        <v>20103</v>
      </c>
      <c r="E456">
        <v>5</v>
      </c>
    </row>
    <row r="457" spans="1:5" x14ac:dyDescent="0.25">
      <c r="A457" t="s">
        <v>21</v>
      </c>
      <c r="B457" t="s">
        <v>97</v>
      </c>
      <c r="C457" t="s">
        <v>296</v>
      </c>
      <c r="D457">
        <v>93675</v>
      </c>
      <c r="E457">
        <v>9</v>
      </c>
    </row>
    <row r="458" spans="1:5" x14ac:dyDescent="0.25">
      <c r="A458" t="s">
        <v>43</v>
      </c>
      <c r="B458" t="s">
        <v>6</v>
      </c>
      <c r="C458" t="s">
        <v>296</v>
      </c>
      <c r="D458">
        <v>52315</v>
      </c>
      <c r="E458">
        <v>7</v>
      </c>
    </row>
    <row r="459" spans="1:5" x14ac:dyDescent="0.25">
      <c r="A459" t="s">
        <v>19</v>
      </c>
      <c r="B459" t="s">
        <v>104</v>
      </c>
      <c r="C459" t="s">
        <v>296</v>
      </c>
      <c r="D459">
        <v>29961</v>
      </c>
      <c r="E459">
        <v>4</v>
      </c>
    </row>
    <row r="460" spans="1:5" x14ac:dyDescent="0.25">
      <c r="A460" t="s">
        <v>21</v>
      </c>
      <c r="B460" t="s">
        <v>187</v>
      </c>
      <c r="C460" t="s">
        <v>297</v>
      </c>
      <c r="D460">
        <v>64260</v>
      </c>
      <c r="E460">
        <v>4</v>
      </c>
    </row>
    <row r="461" spans="1:5" x14ac:dyDescent="0.25">
      <c r="A461" t="s">
        <v>29</v>
      </c>
      <c r="B461" t="s">
        <v>82</v>
      </c>
      <c r="C461" t="s">
        <v>297</v>
      </c>
      <c r="D461">
        <v>66621</v>
      </c>
      <c r="E461">
        <v>7</v>
      </c>
    </row>
    <row r="462" spans="1:5" x14ac:dyDescent="0.25">
      <c r="A462" t="s">
        <v>55</v>
      </c>
      <c r="B462" t="s">
        <v>146</v>
      </c>
      <c r="C462" t="s">
        <v>297</v>
      </c>
      <c r="D462">
        <v>13243</v>
      </c>
      <c r="E462">
        <v>6</v>
      </c>
    </row>
    <row r="463" spans="1:5" x14ac:dyDescent="0.25">
      <c r="A463" t="s">
        <v>11</v>
      </c>
      <c r="B463" t="s">
        <v>227</v>
      </c>
      <c r="C463" t="s">
        <v>298</v>
      </c>
      <c r="D463">
        <v>28740</v>
      </c>
      <c r="E463">
        <v>8</v>
      </c>
    </row>
    <row r="464" spans="1:5" x14ac:dyDescent="0.25">
      <c r="A464" t="s">
        <v>19</v>
      </c>
      <c r="B464" t="s">
        <v>92</v>
      </c>
      <c r="C464" t="s">
        <v>298</v>
      </c>
      <c r="D464">
        <v>64755</v>
      </c>
      <c r="E464">
        <v>3</v>
      </c>
    </row>
    <row r="465" spans="1:5" x14ac:dyDescent="0.25">
      <c r="A465" t="s">
        <v>16</v>
      </c>
      <c r="B465" t="s">
        <v>18</v>
      </c>
      <c r="C465" t="s">
        <v>298</v>
      </c>
      <c r="D465">
        <v>99404</v>
      </c>
      <c r="E465">
        <v>8</v>
      </c>
    </row>
    <row r="466" spans="1:5" x14ac:dyDescent="0.25">
      <c r="A466" t="s">
        <v>16</v>
      </c>
      <c r="B466" t="s">
        <v>253</v>
      </c>
      <c r="C466" t="s">
        <v>298</v>
      </c>
      <c r="D466">
        <v>74546</v>
      </c>
      <c r="E466">
        <v>3</v>
      </c>
    </row>
    <row r="467" spans="1:5" x14ac:dyDescent="0.25">
      <c r="A467" t="s">
        <v>5</v>
      </c>
      <c r="B467" t="s">
        <v>156</v>
      </c>
      <c r="C467" t="s">
        <v>298</v>
      </c>
      <c r="D467">
        <v>35646</v>
      </c>
      <c r="E467">
        <v>7</v>
      </c>
    </row>
    <row r="468" spans="1:5" x14ac:dyDescent="0.25">
      <c r="A468" t="s">
        <v>43</v>
      </c>
      <c r="B468" t="s">
        <v>91</v>
      </c>
      <c r="C468" t="s">
        <v>298</v>
      </c>
      <c r="D468">
        <v>13727</v>
      </c>
      <c r="E468">
        <v>7</v>
      </c>
    </row>
    <row r="469" spans="1:5" x14ac:dyDescent="0.25">
      <c r="A469" t="s">
        <v>38</v>
      </c>
      <c r="B469" t="s">
        <v>68</v>
      </c>
      <c r="C469" t="s">
        <v>298</v>
      </c>
      <c r="D469">
        <v>80025</v>
      </c>
      <c r="E469">
        <v>7</v>
      </c>
    </row>
    <row r="470" spans="1:5" x14ac:dyDescent="0.25">
      <c r="A470" t="s">
        <v>16</v>
      </c>
      <c r="B470" t="s">
        <v>63</v>
      </c>
      <c r="C470" t="s">
        <v>298</v>
      </c>
      <c r="D470">
        <v>31192</v>
      </c>
      <c r="E470">
        <v>5</v>
      </c>
    </row>
    <row r="471" spans="1:5" x14ac:dyDescent="0.25">
      <c r="A471" t="s">
        <v>38</v>
      </c>
      <c r="B471" t="s">
        <v>34</v>
      </c>
      <c r="C471" t="s">
        <v>298</v>
      </c>
      <c r="D471">
        <v>37670</v>
      </c>
      <c r="E471">
        <v>7</v>
      </c>
    </row>
    <row r="472" spans="1:5" x14ac:dyDescent="0.25">
      <c r="A472" t="s">
        <v>5</v>
      </c>
      <c r="B472" t="s">
        <v>299</v>
      </c>
      <c r="C472" t="s">
        <v>300</v>
      </c>
      <c r="D472">
        <v>26883</v>
      </c>
      <c r="E472">
        <v>7</v>
      </c>
    </row>
    <row r="473" spans="1:5" x14ac:dyDescent="0.25">
      <c r="A473" t="s">
        <v>5</v>
      </c>
      <c r="B473" t="s">
        <v>112</v>
      </c>
      <c r="C473" t="s">
        <v>301</v>
      </c>
      <c r="D473">
        <v>40353</v>
      </c>
      <c r="E473">
        <v>2</v>
      </c>
    </row>
    <row r="474" spans="1:5" x14ac:dyDescent="0.25">
      <c r="A474" t="s">
        <v>43</v>
      </c>
      <c r="B474" t="s">
        <v>18</v>
      </c>
      <c r="C474" t="s">
        <v>301</v>
      </c>
      <c r="D474">
        <v>86851</v>
      </c>
      <c r="E474">
        <v>5</v>
      </c>
    </row>
    <row r="475" spans="1:5" x14ac:dyDescent="0.25">
      <c r="A475" t="s">
        <v>55</v>
      </c>
      <c r="B475" t="s">
        <v>119</v>
      </c>
      <c r="C475" t="s">
        <v>301</v>
      </c>
      <c r="D475">
        <v>88565</v>
      </c>
      <c r="E475">
        <v>5</v>
      </c>
    </row>
    <row r="476" spans="1:5" x14ac:dyDescent="0.25">
      <c r="A476" t="s">
        <v>26</v>
      </c>
      <c r="B476" t="s">
        <v>51</v>
      </c>
      <c r="C476" t="s">
        <v>302</v>
      </c>
      <c r="D476">
        <v>95378</v>
      </c>
      <c r="E476">
        <v>7</v>
      </c>
    </row>
    <row r="477" spans="1:5" x14ac:dyDescent="0.25">
      <c r="A477" t="s">
        <v>55</v>
      </c>
      <c r="B477" t="s">
        <v>74</v>
      </c>
      <c r="C477" t="s">
        <v>302</v>
      </c>
      <c r="D477">
        <v>74977</v>
      </c>
      <c r="E477">
        <v>1</v>
      </c>
    </row>
    <row r="478" spans="1:5" x14ac:dyDescent="0.25">
      <c r="A478" t="s">
        <v>43</v>
      </c>
      <c r="B478" t="s">
        <v>303</v>
      </c>
      <c r="C478" t="s">
        <v>302</v>
      </c>
      <c r="D478">
        <v>81099</v>
      </c>
      <c r="E478">
        <v>9</v>
      </c>
    </row>
    <row r="479" spans="1:5" x14ac:dyDescent="0.25">
      <c r="A479" t="s">
        <v>43</v>
      </c>
      <c r="B479" t="s">
        <v>93</v>
      </c>
      <c r="C479" t="s">
        <v>304</v>
      </c>
      <c r="D479">
        <v>98178</v>
      </c>
      <c r="E479">
        <v>9</v>
      </c>
    </row>
    <row r="480" spans="1:5" x14ac:dyDescent="0.25">
      <c r="A480" t="s">
        <v>29</v>
      </c>
      <c r="B480" t="s">
        <v>22</v>
      </c>
      <c r="C480" t="s">
        <v>304</v>
      </c>
      <c r="D480">
        <v>79031</v>
      </c>
      <c r="E480">
        <v>7</v>
      </c>
    </row>
    <row r="481" spans="1:5" x14ac:dyDescent="0.25">
      <c r="A481" t="s">
        <v>11</v>
      </c>
      <c r="B481" t="s">
        <v>305</v>
      </c>
      <c r="C481" t="s">
        <v>304</v>
      </c>
      <c r="D481">
        <v>60850</v>
      </c>
      <c r="E481">
        <v>8</v>
      </c>
    </row>
    <row r="482" spans="1:5" x14ac:dyDescent="0.25">
      <c r="A482" t="s">
        <v>13</v>
      </c>
      <c r="B482" t="s">
        <v>92</v>
      </c>
      <c r="C482" t="s">
        <v>304</v>
      </c>
      <c r="D482">
        <v>85441</v>
      </c>
      <c r="E482">
        <v>4</v>
      </c>
    </row>
    <row r="483" spans="1:5" x14ac:dyDescent="0.25">
      <c r="A483" t="s">
        <v>21</v>
      </c>
      <c r="B483" t="s">
        <v>264</v>
      </c>
      <c r="C483" t="s">
        <v>306</v>
      </c>
      <c r="D483">
        <v>45778</v>
      </c>
      <c r="E483">
        <v>7</v>
      </c>
    </row>
    <row r="484" spans="1:5" x14ac:dyDescent="0.25">
      <c r="A484" t="s">
        <v>55</v>
      </c>
      <c r="B484" t="s">
        <v>184</v>
      </c>
      <c r="C484" t="s">
        <v>306</v>
      </c>
      <c r="D484">
        <v>92606</v>
      </c>
      <c r="E484">
        <v>8</v>
      </c>
    </row>
    <row r="485" spans="1:5" x14ac:dyDescent="0.25">
      <c r="A485" t="s">
        <v>13</v>
      </c>
      <c r="B485" t="s">
        <v>174</v>
      </c>
      <c r="C485" t="s">
        <v>306</v>
      </c>
      <c r="D485">
        <v>65130</v>
      </c>
      <c r="E485">
        <v>5</v>
      </c>
    </row>
    <row r="486" spans="1:5" x14ac:dyDescent="0.25">
      <c r="A486" t="s">
        <v>13</v>
      </c>
      <c r="B486" t="s">
        <v>49</v>
      </c>
      <c r="C486" t="s">
        <v>306</v>
      </c>
      <c r="D486">
        <v>62191</v>
      </c>
      <c r="E486">
        <v>2</v>
      </c>
    </row>
    <row r="487" spans="1:5" x14ac:dyDescent="0.25">
      <c r="A487" t="s">
        <v>5</v>
      </c>
      <c r="B487" t="s">
        <v>289</v>
      </c>
      <c r="C487" t="s">
        <v>306</v>
      </c>
      <c r="D487">
        <v>23402</v>
      </c>
      <c r="E487">
        <v>7</v>
      </c>
    </row>
    <row r="488" spans="1:5" x14ac:dyDescent="0.25">
      <c r="A488" t="s">
        <v>11</v>
      </c>
      <c r="B488" t="s">
        <v>94</v>
      </c>
      <c r="C488" t="s">
        <v>307</v>
      </c>
      <c r="D488">
        <v>62868</v>
      </c>
      <c r="E488">
        <v>5</v>
      </c>
    </row>
    <row r="489" spans="1:5" x14ac:dyDescent="0.25">
      <c r="A489" t="s">
        <v>5</v>
      </c>
      <c r="B489" t="s">
        <v>274</v>
      </c>
      <c r="C489" t="s">
        <v>307</v>
      </c>
      <c r="D489">
        <v>80465</v>
      </c>
      <c r="E489">
        <v>7</v>
      </c>
    </row>
    <row r="490" spans="1:5" x14ac:dyDescent="0.25">
      <c r="A490" t="s">
        <v>38</v>
      </c>
      <c r="B490" t="s">
        <v>111</v>
      </c>
      <c r="C490" t="s">
        <v>308</v>
      </c>
      <c r="D490">
        <v>18061</v>
      </c>
      <c r="E490">
        <v>8</v>
      </c>
    </row>
    <row r="491" spans="1:5" x14ac:dyDescent="0.25">
      <c r="A491" t="s">
        <v>11</v>
      </c>
      <c r="B491" t="s">
        <v>217</v>
      </c>
      <c r="C491" t="s">
        <v>308</v>
      </c>
      <c r="D491">
        <v>79791</v>
      </c>
      <c r="E491">
        <v>3</v>
      </c>
    </row>
    <row r="492" spans="1:5" x14ac:dyDescent="0.25">
      <c r="A492" t="s">
        <v>38</v>
      </c>
      <c r="B492" t="s">
        <v>172</v>
      </c>
      <c r="C492" t="s">
        <v>308</v>
      </c>
      <c r="D492">
        <v>60035</v>
      </c>
      <c r="E492">
        <v>7</v>
      </c>
    </row>
    <row r="493" spans="1:5" x14ac:dyDescent="0.25">
      <c r="A493" t="s">
        <v>16</v>
      </c>
      <c r="B493" t="s">
        <v>73</v>
      </c>
      <c r="C493" t="s">
        <v>308</v>
      </c>
      <c r="D493">
        <v>92637</v>
      </c>
      <c r="E493">
        <v>7</v>
      </c>
    </row>
    <row r="494" spans="1:5" x14ac:dyDescent="0.25">
      <c r="A494" t="s">
        <v>13</v>
      </c>
      <c r="B494" t="s">
        <v>75</v>
      </c>
      <c r="C494" t="s">
        <v>309</v>
      </c>
      <c r="D494">
        <v>99553</v>
      </c>
      <c r="E494">
        <v>7</v>
      </c>
    </row>
    <row r="495" spans="1:5" x14ac:dyDescent="0.25">
      <c r="A495" t="s">
        <v>5</v>
      </c>
      <c r="B495" t="s">
        <v>59</v>
      </c>
      <c r="C495" t="s">
        <v>310</v>
      </c>
      <c r="D495">
        <v>68106</v>
      </c>
      <c r="E495">
        <v>9</v>
      </c>
    </row>
    <row r="496" spans="1:5" x14ac:dyDescent="0.25">
      <c r="A496" t="s">
        <v>5</v>
      </c>
      <c r="B496" t="s">
        <v>193</v>
      </c>
      <c r="C496" t="s">
        <v>310</v>
      </c>
      <c r="D496">
        <v>20122</v>
      </c>
      <c r="E496">
        <v>6</v>
      </c>
    </row>
    <row r="497" spans="1:5" x14ac:dyDescent="0.25">
      <c r="A497" t="s">
        <v>43</v>
      </c>
      <c r="B497" t="s">
        <v>12</v>
      </c>
      <c r="C497" t="s">
        <v>310</v>
      </c>
      <c r="D497">
        <v>35770</v>
      </c>
      <c r="E497">
        <v>7</v>
      </c>
    </row>
    <row r="498" spans="1:5" x14ac:dyDescent="0.25">
      <c r="A498" t="s">
        <v>21</v>
      </c>
      <c r="B498" t="s">
        <v>57</v>
      </c>
      <c r="C498" t="s">
        <v>310</v>
      </c>
      <c r="D498">
        <v>49965</v>
      </c>
      <c r="E498">
        <v>4</v>
      </c>
    </row>
    <row r="499" spans="1:5" x14ac:dyDescent="0.25">
      <c r="A499" t="s">
        <v>43</v>
      </c>
      <c r="B499" t="s">
        <v>264</v>
      </c>
      <c r="C499" t="s">
        <v>310</v>
      </c>
      <c r="D499">
        <v>29749</v>
      </c>
      <c r="E499">
        <v>5</v>
      </c>
    </row>
    <row r="500" spans="1:5" x14ac:dyDescent="0.25">
      <c r="A500" t="s">
        <v>13</v>
      </c>
      <c r="B500" t="s">
        <v>50</v>
      </c>
      <c r="C500" t="s">
        <v>310</v>
      </c>
      <c r="D500">
        <v>62903</v>
      </c>
      <c r="E500">
        <v>3</v>
      </c>
    </row>
    <row r="501" spans="1:5" x14ac:dyDescent="0.25">
      <c r="A501" t="s">
        <v>11</v>
      </c>
      <c r="B501" t="s">
        <v>311</v>
      </c>
      <c r="C501" t="s">
        <v>310</v>
      </c>
      <c r="D501">
        <v>86261</v>
      </c>
      <c r="E501">
        <v>6</v>
      </c>
    </row>
    <row r="502" spans="1:5" x14ac:dyDescent="0.25">
      <c r="A502" t="s">
        <v>43</v>
      </c>
      <c r="B502" t="s">
        <v>94</v>
      </c>
      <c r="C502" t="s">
        <v>310</v>
      </c>
      <c r="D502">
        <v>25225</v>
      </c>
      <c r="E502">
        <v>6</v>
      </c>
    </row>
    <row r="503" spans="1:5" x14ac:dyDescent="0.25">
      <c r="A503" t="s">
        <v>21</v>
      </c>
      <c r="B503" t="s">
        <v>20</v>
      </c>
      <c r="C503" t="s">
        <v>310</v>
      </c>
      <c r="D503">
        <v>43244</v>
      </c>
      <c r="E503">
        <v>8</v>
      </c>
    </row>
    <row r="504" spans="1:5" x14ac:dyDescent="0.25">
      <c r="A504" t="s">
        <v>11</v>
      </c>
      <c r="B504" t="s">
        <v>153</v>
      </c>
      <c r="C504" t="s">
        <v>310</v>
      </c>
      <c r="D504">
        <v>67387</v>
      </c>
      <c r="E504">
        <v>9</v>
      </c>
    </row>
    <row r="505" spans="1:5" x14ac:dyDescent="0.25">
      <c r="A505" t="s">
        <v>19</v>
      </c>
      <c r="B505" t="s">
        <v>161</v>
      </c>
      <c r="C505" t="s">
        <v>312</v>
      </c>
      <c r="D505">
        <v>12689</v>
      </c>
      <c r="E505">
        <v>5</v>
      </c>
    </row>
    <row r="506" spans="1:5" x14ac:dyDescent="0.25">
      <c r="A506" t="s">
        <v>5</v>
      </c>
      <c r="B506" t="s">
        <v>34</v>
      </c>
      <c r="C506" t="s">
        <v>312</v>
      </c>
      <c r="D506">
        <v>70311</v>
      </c>
      <c r="E506">
        <v>6</v>
      </c>
    </row>
    <row r="507" spans="1:5" x14ac:dyDescent="0.25">
      <c r="A507" t="s">
        <v>26</v>
      </c>
      <c r="B507" t="s">
        <v>74</v>
      </c>
      <c r="C507" t="s">
        <v>312</v>
      </c>
      <c r="D507">
        <v>47684</v>
      </c>
      <c r="E507">
        <v>5</v>
      </c>
    </row>
    <row r="508" spans="1:5" x14ac:dyDescent="0.25">
      <c r="A508" t="s">
        <v>11</v>
      </c>
      <c r="B508" t="s">
        <v>194</v>
      </c>
      <c r="C508" t="s">
        <v>313</v>
      </c>
      <c r="D508">
        <v>62829</v>
      </c>
      <c r="E508">
        <v>10</v>
      </c>
    </row>
    <row r="509" spans="1:5" x14ac:dyDescent="0.25">
      <c r="A509" t="s">
        <v>5</v>
      </c>
      <c r="B509" t="s">
        <v>177</v>
      </c>
      <c r="C509" t="s">
        <v>313</v>
      </c>
      <c r="D509">
        <v>46286</v>
      </c>
      <c r="E509">
        <v>3</v>
      </c>
    </row>
    <row r="510" spans="1:5" x14ac:dyDescent="0.25">
      <c r="A510" t="s">
        <v>29</v>
      </c>
      <c r="B510" t="s">
        <v>76</v>
      </c>
      <c r="C510" t="s">
        <v>314</v>
      </c>
      <c r="D510">
        <v>89079</v>
      </c>
      <c r="E510">
        <v>2</v>
      </c>
    </row>
    <row r="511" spans="1:5" x14ac:dyDescent="0.25">
      <c r="A511" t="s">
        <v>55</v>
      </c>
      <c r="B511" t="s">
        <v>102</v>
      </c>
      <c r="C511" t="s">
        <v>314</v>
      </c>
      <c r="D511">
        <v>16202</v>
      </c>
      <c r="E511">
        <v>6</v>
      </c>
    </row>
    <row r="512" spans="1:5" x14ac:dyDescent="0.25">
      <c r="A512" t="s">
        <v>29</v>
      </c>
      <c r="B512" t="s">
        <v>299</v>
      </c>
      <c r="C512" t="s">
        <v>314</v>
      </c>
      <c r="D512">
        <v>54638</v>
      </c>
      <c r="E512">
        <v>6</v>
      </c>
    </row>
    <row r="513" spans="1:5" x14ac:dyDescent="0.25">
      <c r="A513" t="s">
        <v>38</v>
      </c>
      <c r="B513" t="s">
        <v>114</v>
      </c>
      <c r="C513" t="s">
        <v>314</v>
      </c>
      <c r="D513">
        <v>63678</v>
      </c>
      <c r="E513">
        <v>8</v>
      </c>
    </row>
    <row r="514" spans="1:5" x14ac:dyDescent="0.25">
      <c r="A514" t="s">
        <v>26</v>
      </c>
      <c r="B514" t="s">
        <v>148</v>
      </c>
      <c r="C514" t="s">
        <v>315</v>
      </c>
      <c r="D514">
        <v>74490</v>
      </c>
      <c r="E514">
        <v>8</v>
      </c>
    </row>
    <row r="515" spans="1:5" x14ac:dyDescent="0.25">
      <c r="A515" t="s">
        <v>21</v>
      </c>
      <c r="B515" t="s">
        <v>50</v>
      </c>
      <c r="C515" t="s">
        <v>316</v>
      </c>
      <c r="D515">
        <v>57990</v>
      </c>
      <c r="E515">
        <v>6</v>
      </c>
    </row>
    <row r="516" spans="1:5" x14ac:dyDescent="0.25">
      <c r="A516" t="s">
        <v>21</v>
      </c>
      <c r="B516" t="s">
        <v>115</v>
      </c>
      <c r="C516" t="s">
        <v>316</v>
      </c>
      <c r="D516">
        <v>75937</v>
      </c>
      <c r="E516">
        <v>8</v>
      </c>
    </row>
    <row r="517" spans="1:5" x14ac:dyDescent="0.25">
      <c r="A517" t="s">
        <v>5</v>
      </c>
      <c r="B517" t="s">
        <v>85</v>
      </c>
      <c r="C517" t="s">
        <v>316</v>
      </c>
      <c r="D517">
        <v>91592</v>
      </c>
      <c r="E517">
        <v>8</v>
      </c>
    </row>
    <row r="518" spans="1:5" x14ac:dyDescent="0.25">
      <c r="A518" t="s">
        <v>5</v>
      </c>
      <c r="B518" t="s">
        <v>51</v>
      </c>
      <c r="C518" t="s">
        <v>316</v>
      </c>
      <c r="D518">
        <v>37593</v>
      </c>
      <c r="E518">
        <v>7</v>
      </c>
    </row>
    <row r="519" spans="1:5" x14ac:dyDescent="0.25">
      <c r="A519" t="s">
        <v>21</v>
      </c>
      <c r="B519" t="s">
        <v>32</v>
      </c>
      <c r="C519" t="s">
        <v>316</v>
      </c>
      <c r="D519">
        <v>44783</v>
      </c>
      <c r="E519">
        <v>1</v>
      </c>
    </row>
    <row r="520" spans="1:5" x14ac:dyDescent="0.25">
      <c r="A520" t="s">
        <v>26</v>
      </c>
      <c r="B520" t="s">
        <v>92</v>
      </c>
      <c r="C520" t="s">
        <v>316</v>
      </c>
      <c r="D520">
        <v>53453</v>
      </c>
      <c r="E520">
        <v>7</v>
      </c>
    </row>
    <row r="521" spans="1:5" x14ac:dyDescent="0.25">
      <c r="A521" t="s">
        <v>43</v>
      </c>
      <c r="B521" t="s">
        <v>123</v>
      </c>
      <c r="C521" t="s">
        <v>316</v>
      </c>
      <c r="D521">
        <v>20747</v>
      </c>
      <c r="E521">
        <v>9</v>
      </c>
    </row>
    <row r="522" spans="1:5" x14ac:dyDescent="0.25">
      <c r="A522" t="s">
        <v>21</v>
      </c>
      <c r="B522" t="s">
        <v>42</v>
      </c>
      <c r="C522" t="s">
        <v>317</v>
      </c>
      <c r="D522">
        <v>53698</v>
      </c>
      <c r="E522">
        <v>7</v>
      </c>
    </row>
    <row r="523" spans="1:5" x14ac:dyDescent="0.25">
      <c r="A523" t="s">
        <v>43</v>
      </c>
      <c r="B523" t="s">
        <v>74</v>
      </c>
      <c r="C523" t="s">
        <v>317</v>
      </c>
      <c r="D523">
        <v>11501</v>
      </c>
      <c r="E523">
        <v>10</v>
      </c>
    </row>
    <row r="524" spans="1:5" x14ac:dyDescent="0.25">
      <c r="A524" t="s">
        <v>11</v>
      </c>
      <c r="B524" t="s">
        <v>187</v>
      </c>
      <c r="C524" t="s">
        <v>317</v>
      </c>
      <c r="D524">
        <v>94461</v>
      </c>
      <c r="E524">
        <v>7</v>
      </c>
    </row>
    <row r="525" spans="1:5" x14ac:dyDescent="0.25">
      <c r="A525" t="s">
        <v>16</v>
      </c>
      <c r="B525" t="s">
        <v>78</v>
      </c>
      <c r="C525" t="s">
        <v>317</v>
      </c>
      <c r="D525">
        <v>14501</v>
      </c>
      <c r="E525">
        <v>6</v>
      </c>
    </row>
    <row r="526" spans="1:5" x14ac:dyDescent="0.25">
      <c r="A526" t="s">
        <v>13</v>
      </c>
      <c r="B526" t="s">
        <v>165</v>
      </c>
      <c r="C526" t="s">
        <v>318</v>
      </c>
      <c r="D526">
        <v>54622</v>
      </c>
      <c r="E526">
        <v>5</v>
      </c>
    </row>
    <row r="527" spans="1:5" x14ac:dyDescent="0.25">
      <c r="A527" t="s">
        <v>29</v>
      </c>
      <c r="B527" t="s">
        <v>74</v>
      </c>
      <c r="C527" t="s">
        <v>318</v>
      </c>
      <c r="D527">
        <v>62560</v>
      </c>
      <c r="E527">
        <v>7</v>
      </c>
    </row>
    <row r="528" spans="1:5" x14ac:dyDescent="0.25">
      <c r="A528" t="s">
        <v>5</v>
      </c>
      <c r="B528" t="s">
        <v>319</v>
      </c>
      <c r="C528" t="s">
        <v>318</v>
      </c>
      <c r="D528">
        <v>65512</v>
      </c>
      <c r="E528">
        <v>3</v>
      </c>
    </row>
    <row r="529" spans="1:5" x14ac:dyDescent="0.25">
      <c r="A529" t="s">
        <v>26</v>
      </c>
      <c r="B529" t="s">
        <v>217</v>
      </c>
      <c r="C529" t="s">
        <v>320</v>
      </c>
      <c r="D529">
        <v>44160</v>
      </c>
      <c r="E529">
        <v>7</v>
      </c>
    </row>
    <row r="530" spans="1:5" x14ac:dyDescent="0.25">
      <c r="A530" t="s">
        <v>16</v>
      </c>
      <c r="B530" t="s">
        <v>199</v>
      </c>
      <c r="C530" t="s">
        <v>320</v>
      </c>
      <c r="D530">
        <v>28513</v>
      </c>
      <c r="E530">
        <v>10</v>
      </c>
    </row>
    <row r="531" spans="1:5" x14ac:dyDescent="0.25">
      <c r="A531" t="s">
        <v>21</v>
      </c>
      <c r="B531" t="s">
        <v>319</v>
      </c>
      <c r="C531" t="s">
        <v>320</v>
      </c>
      <c r="D531">
        <v>85308</v>
      </c>
      <c r="E531">
        <v>7</v>
      </c>
    </row>
    <row r="532" spans="1:5" x14ac:dyDescent="0.25">
      <c r="A532" t="s">
        <v>13</v>
      </c>
      <c r="B532" t="s">
        <v>61</v>
      </c>
      <c r="C532" t="s">
        <v>321</v>
      </c>
      <c r="D532">
        <v>97579</v>
      </c>
      <c r="E532">
        <v>8</v>
      </c>
    </row>
    <row r="533" spans="1:5" x14ac:dyDescent="0.25">
      <c r="A533" t="s">
        <v>5</v>
      </c>
      <c r="B533" t="s">
        <v>227</v>
      </c>
      <c r="C533" t="s">
        <v>321</v>
      </c>
      <c r="D533">
        <v>82198</v>
      </c>
      <c r="E533">
        <v>10</v>
      </c>
    </row>
    <row r="534" spans="1:5" x14ac:dyDescent="0.25">
      <c r="A534" t="s">
        <v>8</v>
      </c>
      <c r="B534" t="s">
        <v>173</v>
      </c>
      <c r="C534" t="s">
        <v>321</v>
      </c>
      <c r="D534">
        <v>46445</v>
      </c>
      <c r="E534">
        <v>7</v>
      </c>
    </row>
    <row r="535" spans="1:5" x14ac:dyDescent="0.25">
      <c r="A535" t="s">
        <v>13</v>
      </c>
      <c r="B535" t="s">
        <v>131</v>
      </c>
      <c r="C535" t="s">
        <v>322</v>
      </c>
      <c r="D535">
        <v>73971</v>
      </c>
      <c r="E535">
        <v>6</v>
      </c>
    </row>
    <row r="536" spans="1:5" x14ac:dyDescent="0.25">
      <c r="A536" t="s">
        <v>43</v>
      </c>
      <c r="B536" t="s">
        <v>102</v>
      </c>
      <c r="C536" t="s">
        <v>322</v>
      </c>
      <c r="D536">
        <v>75345</v>
      </c>
      <c r="E536">
        <v>2</v>
      </c>
    </row>
    <row r="537" spans="1:5" x14ac:dyDescent="0.25">
      <c r="A537" t="s">
        <v>19</v>
      </c>
      <c r="B537" t="s">
        <v>257</v>
      </c>
      <c r="C537" t="s">
        <v>322</v>
      </c>
      <c r="D537">
        <v>62292</v>
      </c>
      <c r="E537">
        <v>0</v>
      </c>
    </row>
    <row r="538" spans="1:5" x14ac:dyDescent="0.25">
      <c r="A538" t="s">
        <v>43</v>
      </c>
      <c r="B538" t="s">
        <v>153</v>
      </c>
      <c r="C538" t="s">
        <v>322</v>
      </c>
      <c r="D538">
        <v>84637</v>
      </c>
      <c r="E538">
        <v>3</v>
      </c>
    </row>
    <row r="539" spans="1:5" x14ac:dyDescent="0.25">
      <c r="A539" t="s">
        <v>38</v>
      </c>
      <c r="B539" t="s">
        <v>73</v>
      </c>
      <c r="C539" t="s">
        <v>322</v>
      </c>
      <c r="D539">
        <v>37131</v>
      </c>
      <c r="E539">
        <v>7</v>
      </c>
    </row>
    <row r="540" spans="1:5" x14ac:dyDescent="0.25">
      <c r="A540" t="s">
        <v>43</v>
      </c>
      <c r="B540" t="s">
        <v>9</v>
      </c>
      <c r="C540" t="s">
        <v>322</v>
      </c>
      <c r="D540">
        <v>42219</v>
      </c>
      <c r="E540">
        <v>3</v>
      </c>
    </row>
    <row r="541" spans="1:5" x14ac:dyDescent="0.25">
      <c r="A541" t="s">
        <v>5</v>
      </c>
      <c r="B541" t="s">
        <v>12</v>
      </c>
      <c r="C541" t="s">
        <v>322</v>
      </c>
      <c r="D541">
        <v>92916</v>
      </c>
      <c r="E541">
        <v>2</v>
      </c>
    </row>
    <row r="542" spans="1:5" x14ac:dyDescent="0.25">
      <c r="A542" t="s">
        <v>11</v>
      </c>
      <c r="B542" t="s">
        <v>186</v>
      </c>
      <c r="C542" t="s">
        <v>322</v>
      </c>
      <c r="D542">
        <v>65722</v>
      </c>
      <c r="E542">
        <v>10</v>
      </c>
    </row>
    <row r="543" spans="1:5" x14ac:dyDescent="0.25">
      <c r="A543" t="s">
        <v>26</v>
      </c>
      <c r="B543" t="s">
        <v>22</v>
      </c>
      <c r="C543" t="s">
        <v>323</v>
      </c>
      <c r="D543">
        <v>36924</v>
      </c>
      <c r="E543">
        <v>0</v>
      </c>
    </row>
    <row r="544" spans="1:5" x14ac:dyDescent="0.25">
      <c r="A544" t="s">
        <v>26</v>
      </c>
      <c r="B544" t="s">
        <v>237</v>
      </c>
      <c r="C544" t="s">
        <v>323</v>
      </c>
      <c r="D544">
        <v>19494</v>
      </c>
      <c r="E544">
        <v>6</v>
      </c>
    </row>
    <row r="545" spans="1:5" x14ac:dyDescent="0.25">
      <c r="A545" t="s">
        <v>13</v>
      </c>
      <c r="B545" t="s">
        <v>186</v>
      </c>
      <c r="C545" t="s">
        <v>323</v>
      </c>
      <c r="D545">
        <v>17927</v>
      </c>
      <c r="E545">
        <v>9</v>
      </c>
    </row>
    <row r="546" spans="1:5" x14ac:dyDescent="0.25">
      <c r="A546" t="s">
        <v>16</v>
      </c>
      <c r="B546" t="s">
        <v>160</v>
      </c>
      <c r="C546" t="s">
        <v>323</v>
      </c>
      <c r="D546">
        <v>24871</v>
      </c>
      <c r="E546">
        <v>6</v>
      </c>
    </row>
    <row r="547" spans="1:5" x14ac:dyDescent="0.25">
      <c r="A547" t="s">
        <v>21</v>
      </c>
      <c r="B547" t="s">
        <v>102</v>
      </c>
      <c r="C547" t="s">
        <v>324</v>
      </c>
      <c r="D547">
        <v>76801</v>
      </c>
      <c r="E547">
        <v>3</v>
      </c>
    </row>
    <row r="548" spans="1:5" x14ac:dyDescent="0.25">
      <c r="A548" t="s">
        <v>43</v>
      </c>
      <c r="B548" t="s">
        <v>258</v>
      </c>
      <c r="C548" t="s">
        <v>324</v>
      </c>
      <c r="D548">
        <v>59038</v>
      </c>
      <c r="E548">
        <v>6</v>
      </c>
    </row>
    <row r="549" spans="1:5" x14ac:dyDescent="0.25">
      <c r="A549" t="s">
        <v>38</v>
      </c>
      <c r="B549" t="s">
        <v>102</v>
      </c>
      <c r="C549" t="s">
        <v>324</v>
      </c>
      <c r="D549">
        <v>87049</v>
      </c>
      <c r="E549">
        <v>6</v>
      </c>
    </row>
    <row r="550" spans="1:5" x14ac:dyDescent="0.25">
      <c r="A550" t="s">
        <v>13</v>
      </c>
      <c r="B550" t="s">
        <v>47</v>
      </c>
      <c r="C550" t="s">
        <v>324</v>
      </c>
      <c r="D550">
        <v>86585</v>
      </c>
      <c r="E550">
        <v>6</v>
      </c>
    </row>
    <row r="551" spans="1:5" x14ac:dyDescent="0.25">
      <c r="A551" t="s">
        <v>16</v>
      </c>
      <c r="B551" t="s">
        <v>178</v>
      </c>
      <c r="C551" t="s">
        <v>325</v>
      </c>
      <c r="D551">
        <v>99041</v>
      </c>
      <c r="E551">
        <v>7</v>
      </c>
    </row>
    <row r="552" spans="1:5" x14ac:dyDescent="0.25">
      <c r="A552" t="s">
        <v>11</v>
      </c>
      <c r="B552" t="s">
        <v>144</v>
      </c>
      <c r="C552" t="s">
        <v>325</v>
      </c>
      <c r="D552">
        <v>15625</v>
      </c>
      <c r="E552">
        <v>7</v>
      </c>
    </row>
    <row r="553" spans="1:5" x14ac:dyDescent="0.25">
      <c r="A553" t="s">
        <v>29</v>
      </c>
      <c r="B553" t="s">
        <v>190</v>
      </c>
      <c r="C553" t="s">
        <v>325</v>
      </c>
      <c r="D553">
        <v>71949</v>
      </c>
      <c r="E553">
        <v>6</v>
      </c>
    </row>
    <row r="554" spans="1:5" x14ac:dyDescent="0.25">
      <c r="A554" t="s">
        <v>5</v>
      </c>
      <c r="B554" t="s">
        <v>206</v>
      </c>
      <c r="C554" t="s">
        <v>325</v>
      </c>
      <c r="D554">
        <v>86818</v>
      </c>
      <c r="E554">
        <v>9</v>
      </c>
    </row>
    <row r="555" spans="1:5" x14ac:dyDescent="0.25">
      <c r="A555" t="s">
        <v>29</v>
      </c>
      <c r="B555" t="s">
        <v>217</v>
      </c>
      <c r="C555" t="s">
        <v>325</v>
      </c>
      <c r="D555">
        <v>68453</v>
      </c>
      <c r="E555">
        <v>8</v>
      </c>
    </row>
    <row r="556" spans="1:5" x14ac:dyDescent="0.25">
      <c r="A556" t="s">
        <v>21</v>
      </c>
      <c r="B556" t="s">
        <v>184</v>
      </c>
      <c r="C556" t="s">
        <v>325</v>
      </c>
      <c r="D556">
        <v>87448</v>
      </c>
      <c r="E556">
        <v>7</v>
      </c>
    </row>
    <row r="557" spans="1:5" x14ac:dyDescent="0.25">
      <c r="A557" t="s">
        <v>16</v>
      </c>
      <c r="B557" t="s">
        <v>22</v>
      </c>
      <c r="C557" t="s">
        <v>325</v>
      </c>
      <c r="D557">
        <v>20500</v>
      </c>
      <c r="E557">
        <v>0</v>
      </c>
    </row>
    <row r="558" spans="1:5" x14ac:dyDescent="0.25">
      <c r="A558" t="s">
        <v>13</v>
      </c>
      <c r="B558" t="s">
        <v>326</v>
      </c>
      <c r="C558" t="s">
        <v>325</v>
      </c>
      <c r="D558">
        <v>26897</v>
      </c>
      <c r="E558">
        <v>6</v>
      </c>
    </row>
    <row r="559" spans="1:5" x14ac:dyDescent="0.25">
      <c r="A559" t="s">
        <v>21</v>
      </c>
      <c r="B559" t="s">
        <v>141</v>
      </c>
      <c r="C559" t="s">
        <v>325</v>
      </c>
      <c r="D559">
        <v>87006</v>
      </c>
      <c r="E559">
        <v>7</v>
      </c>
    </row>
    <row r="560" spans="1:5" x14ac:dyDescent="0.25">
      <c r="A560" t="s">
        <v>16</v>
      </c>
      <c r="B560" t="s">
        <v>200</v>
      </c>
      <c r="C560" t="s">
        <v>325</v>
      </c>
      <c r="D560">
        <v>43286</v>
      </c>
      <c r="E560">
        <v>9</v>
      </c>
    </row>
    <row r="561" spans="1:5" x14ac:dyDescent="0.25">
      <c r="A561" t="s">
        <v>21</v>
      </c>
      <c r="B561" t="s">
        <v>49</v>
      </c>
      <c r="C561" t="s">
        <v>325</v>
      </c>
      <c r="D561">
        <v>23593</v>
      </c>
      <c r="E561">
        <v>6</v>
      </c>
    </row>
    <row r="562" spans="1:5" x14ac:dyDescent="0.25">
      <c r="A562" t="s">
        <v>26</v>
      </c>
      <c r="B562" t="s">
        <v>295</v>
      </c>
      <c r="C562" t="s">
        <v>325</v>
      </c>
      <c r="D562">
        <v>40925</v>
      </c>
      <c r="E562">
        <v>7</v>
      </c>
    </row>
    <row r="563" spans="1:5" x14ac:dyDescent="0.25">
      <c r="A563" t="s">
        <v>43</v>
      </c>
      <c r="B563" t="s">
        <v>104</v>
      </c>
      <c r="C563" t="s">
        <v>327</v>
      </c>
      <c r="D563">
        <v>21487</v>
      </c>
      <c r="E563">
        <v>5</v>
      </c>
    </row>
    <row r="564" spans="1:5" x14ac:dyDescent="0.25">
      <c r="A564" t="s">
        <v>38</v>
      </c>
      <c r="B564" t="s">
        <v>328</v>
      </c>
      <c r="C564" t="s">
        <v>329</v>
      </c>
      <c r="D564">
        <v>44203</v>
      </c>
      <c r="E564">
        <v>7</v>
      </c>
    </row>
    <row r="565" spans="1:5" x14ac:dyDescent="0.25">
      <c r="A565" t="s">
        <v>26</v>
      </c>
      <c r="B565" t="s">
        <v>123</v>
      </c>
      <c r="C565" t="s">
        <v>329</v>
      </c>
      <c r="D565">
        <v>96568</v>
      </c>
      <c r="E565">
        <v>7</v>
      </c>
    </row>
    <row r="566" spans="1:5" x14ac:dyDescent="0.25">
      <c r="A566" t="s">
        <v>8</v>
      </c>
      <c r="B566" t="s">
        <v>274</v>
      </c>
      <c r="C566" t="s">
        <v>329</v>
      </c>
      <c r="D566">
        <v>91861</v>
      </c>
      <c r="E566">
        <v>8</v>
      </c>
    </row>
    <row r="567" spans="1:5" x14ac:dyDescent="0.25">
      <c r="A567" t="s">
        <v>5</v>
      </c>
      <c r="B567" t="s">
        <v>65</v>
      </c>
      <c r="C567" t="s">
        <v>330</v>
      </c>
      <c r="D567">
        <v>81050</v>
      </c>
      <c r="E567">
        <v>6</v>
      </c>
    </row>
    <row r="568" spans="1:5" x14ac:dyDescent="0.25">
      <c r="A568" t="s">
        <v>55</v>
      </c>
      <c r="B568" t="s">
        <v>211</v>
      </c>
      <c r="C568" t="s">
        <v>330</v>
      </c>
      <c r="D568">
        <v>88463</v>
      </c>
      <c r="E568">
        <v>8</v>
      </c>
    </row>
    <row r="569" spans="1:5" x14ac:dyDescent="0.25">
      <c r="A569" t="s">
        <v>19</v>
      </c>
      <c r="B569" t="s">
        <v>33</v>
      </c>
      <c r="C569" t="s">
        <v>330</v>
      </c>
      <c r="D569">
        <v>50108</v>
      </c>
      <c r="E569">
        <v>8</v>
      </c>
    </row>
    <row r="570" spans="1:5" x14ac:dyDescent="0.25">
      <c r="A570" t="s">
        <v>11</v>
      </c>
      <c r="B570" t="s">
        <v>33</v>
      </c>
      <c r="C570" t="s">
        <v>330</v>
      </c>
      <c r="D570">
        <v>99410</v>
      </c>
      <c r="E570">
        <v>0</v>
      </c>
    </row>
    <row r="571" spans="1:5" x14ac:dyDescent="0.25">
      <c r="A571" t="s">
        <v>19</v>
      </c>
      <c r="B571" t="s">
        <v>32</v>
      </c>
      <c r="C571" t="s">
        <v>330</v>
      </c>
      <c r="D571">
        <v>19645</v>
      </c>
      <c r="E571">
        <v>8</v>
      </c>
    </row>
    <row r="572" spans="1:5" x14ac:dyDescent="0.25">
      <c r="A572" t="s">
        <v>11</v>
      </c>
      <c r="B572" t="s">
        <v>44</v>
      </c>
      <c r="C572" t="s">
        <v>331</v>
      </c>
      <c r="D572">
        <v>31575</v>
      </c>
      <c r="E572">
        <v>7</v>
      </c>
    </row>
    <row r="573" spans="1:5" x14ac:dyDescent="0.25">
      <c r="A573" t="s">
        <v>43</v>
      </c>
      <c r="B573" t="s">
        <v>106</v>
      </c>
      <c r="C573" t="s">
        <v>331</v>
      </c>
      <c r="D573">
        <v>47993</v>
      </c>
      <c r="E573">
        <v>7</v>
      </c>
    </row>
    <row r="574" spans="1:5" x14ac:dyDescent="0.25">
      <c r="A574" t="s">
        <v>11</v>
      </c>
      <c r="B574" t="s">
        <v>165</v>
      </c>
      <c r="C574" t="s">
        <v>332</v>
      </c>
      <c r="D574">
        <v>57251</v>
      </c>
      <c r="E574">
        <v>8</v>
      </c>
    </row>
    <row r="575" spans="1:5" x14ac:dyDescent="0.25">
      <c r="A575" t="s">
        <v>38</v>
      </c>
      <c r="B575" t="s">
        <v>39</v>
      </c>
      <c r="C575" t="s">
        <v>332</v>
      </c>
      <c r="D575">
        <v>79075</v>
      </c>
      <c r="E575">
        <v>8</v>
      </c>
    </row>
    <row r="576" spans="1:5" x14ac:dyDescent="0.25">
      <c r="A576" t="s">
        <v>29</v>
      </c>
      <c r="B576" t="s">
        <v>88</v>
      </c>
      <c r="C576" t="s">
        <v>332</v>
      </c>
      <c r="D576">
        <v>88374</v>
      </c>
      <c r="E576">
        <v>9</v>
      </c>
    </row>
    <row r="577" spans="1:5" x14ac:dyDescent="0.25">
      <c r="A577" t="s">
        <v>43</v>
      </c>
      <c r="B577" t="s">
        <v>263</v>
      </c>
      <c r="C577" t="s">
        <v>332</v>
      </c>
      <c r="D577">
        <v>47149</v>
      </c>
      <c r="E577">
        <v>5</v>
      </c>
    </row>
    <row r="578" spans="1:5" x14ac:dyDescent="0.25">
      <c r="A578" t="s">
        <v>38</v>
      </c>
      <c r="B578" t="s">
        <v>28</v>
      </c>
      <c r="C578" t="s">
        <v>332</v>
      </c>
      <c r="D578">
        <v>33091</v>
      </c>
      <c r="E578">
        <v>8</v>
      </c>
    </row>
    <row r="579" spans="1:5" x14ac:dyDescent="0.25">
      <c r="A579" t="s">
        <v>11</v>
      </c>
      <c r="B579" t="s">
        <v>275</v>
      </c>
      <c r="C579" t="s">
        <v>332</v>
      </c>
      <c r="D579">
        <v>76361</v>
      </c>
      <c r="E579">
        <v>10</v>
      </c>
    </row>
    <row r="580" spans="1:5" x14ac:dyDescent="0.25">
      <c r="A580" t="s">
        <v>16</v>
      </c>
      <c r="B580" t="s">
        <v>130</v>
      </c>
      <c r="C580" t="s">
        <v>332</v>
      </c>
      <c r="D580">
        <v>69950</v>
      </c>
      <c r="E580">
        <v>6</v>
      </c>
    </row>
    <row r="581" spans="1:5" x14ac:dyDescent="0.25">
      <c r="A581" t="s">
        <v>26</v>
      </c>
      <c r="B581" t="s">
        <v>265</v>
      </c>
      <c r="C581" t="s">
        <v>332</v>
      </c>
      <c r="D581">
        <v>36344</v>
      </c>
      <c r="E581">
        <v>5</v>
      </c>
    </row>
    <row r="582" spans="1:5" x14ac:dyDescent="0.25">
      <c r="A582" t="s">
        <v>8</v>
      </c>
      <c r="B582" t="s">
        <v>333</v>
      </c>
      <c r="C582" t="s">
        <v>332</v>
      </c>
      <c r="D582">
        <v>39263</v>
      </c>
      <c r="E582">
        <v>4</v>
      </c>
    </row>
    <row r="583" spans="1:5" x14ac:dyDescent="0.25">
      <c r="A583" t="s">
        <v>19</v>
      </c>
      <c r="B583" t="s">
        <v>237</v>
      </c>
      <c r="C583" t="s">
        <v>332</v>
      </c>
      <c r="D583">
        <v>75162</v>
      </c>
      <c r="E583">
        <v>6</v>
      </c>
    </row>
    <row r="584" spans="1:5" x14ac:dyDescent="0.25">
      <c r="A584" t="s">
        <v>13</v>
      </c>
      <c r="B584" t="s">
        <v>82</v>
      </c>
      <c r="C584" t="s">
        <v>332</v>
      </c>
      <c r="D584">
        <v>22646</v>
      </c>
      <c r="E584">
        <v>8</v>
      </c>
    </row>
    <row r="585" spans="1:5" x14ac:dyDescent="0.25">
      <c r="A585" t="s">
        <v>16</v>
      </c>
      <c r="B585" t="s">
        <v>67</v>
      </c>
      <c r="C585" t="s">
        <v>332</v>
      </c>
      <c r="D585">
        <v>75501</v>
      </c>
      <c r="E585">
        <v>7</v>
      </c>
    </row>
    <row r="586" spans="1:5" x14ac:dyDescent="0.25">
      <c r="A586" t="s">
        <v>43</v>
      </c>
      <c r="B586" t="s">
        <v>264</v>
      </c>
      <c r="C586" t="s">
        <v>332</v>
      </c>
      <c r="D586">
        <v>52491</v>
      </c>
      <c r="E586">
        <v>8</v>
      </c>
    </row>
    <row r="587" spans="1:5" x14ac:dyDescent="0.25">
      <c r="A587" t="s">
        <v>13</v>
      </c>
      <c r="B587" t="s">
        <v>129</v>
      </c>
      <c r="C587" t="s">
        <v>334</v>
      </c>
      <c r="D587">
        <v>86625</v>
      </c>
      <c r="E587">
        <v>9</v>
      </c>
    </row>
    <row r="588" spans="1:5" x14ac:dyDescent="0.25">
      <c r="A588" t="s">
        <v>16</v>
      </c>
      <c r="B588" t="s">
        <v>221</v>
      </c>
      <c r="C588" t="s">
        <v>334</v>
      </c>
      <c r="D588">
        <v>87678</v>
      </c>
      <c r="E588">
        <v>3</v>
      </c>
    </row>
    <row r="589" spans="1:5" x14ac:dyDescent="0.25">
      <c r="A589" t="s">
        <v>16</v>
      </c>
      <c r="B589" t="s">
        <v>111</v>
      </c>
      <c r="C589" t="s">
        <v>334</v>
      </c>
      <c r="D589">
        <v>20491</v>
      </c>
      <c r="E589">
        <v>7</v>
      </c>
    </row>
    <row r="590" spans="1:5" x14ac:dyDescent="0.25">
      <c r="A590" t="s">
        <v>19</v>
      </c>
      <c r="B590" t="s">
        <v>149</v>
      </c>
      <c r="C590" t="s">
        <v>334</v>
      </c>
      <c r="D590">
        <v>12534</v>
      </c>
      <c r="E590">
        <v>7</v>
      </c>
    </row>
    <row r="591" spans="1:5" x14ac:dyDescent="0.25">
      <c r="A591" t="s">
        <v>19</v>
      </c>
      <c r="B591" t="s">
        <v>264</v>
      </c>
      <c r="C591" t="s">
        <v>335</v>
      </c>
      <c r="D591">
        <v>87132</v>
      </c>
      <c r="E591">
        <v>5</v>
      </c>
    </row>
    <row r="592" spans="1:5" x14ac:dyDescent="0.25">
      <c r="A592" t="s">
        <v>16</v>
      </c>
      <c r="B592" t="s">
        <v>109</v>
      </c>
      <c r="C592" t="s">
        <v>335</v>
      </c>
      <c r="D592">
        <v>58480</v>
      </c>
      <c r="E592">
        <v>3</v>
      </c>
    </row>
    <row r="593" spans="1:5" x14ac:dyDescent="0.25">
      <c r="A593" t="s">
        <v>5</v>
      </c>
      <c r="B593" t="s">
        <v>74</v>
      </c>
      <c r="C593" t="s">
        <v>336</v>
      </c>
      <c r="D593">
        <v>27017</v>
      </c>
      <c r="E593">
        <v>7</v>
      </c>
    </row>
    <row r="594" spans="1:5" x14ac:dyDescent="0.25">
      <c r="A594" t="s">
        <v>21</v>
      </c>
      <c r="B594" t="s">
        <v>59</v>
      </c>
      <c r="C594" t="s">
        <v>336</v>
      </c>
      <c r="D594">
        <v>48771</v>
      </c>
      <c r="E594">
        <v>3</v>
      </c>
    </row>
    <row r="595" spans="1:5" x14ac:dyDescent="0.25">
      <c r="A595" t="s">
        <v>21</v>
      </c>
      <c r="B595" t="s">
        <v>263</v>
      </c>
      <c r="C595" t="s">
        <v>337</v>
      </c>
      <c r="D595">
        <v>16819</v>
      </c>
      <c r="E595">
        <v>10</v>
      </c>
    </row>
    <row r="596" spans="1:5" x14ac:dyDescent="0.25">
      <c r="A596" t="s">
        <v>55</v>
      </c>
      <c r="B596" t="s">
        <v>139</v>
      </c>
      <c r="C596" t="s">
        <v>337</v>
      </c>
      <c r="D596">
        <v>53168</v>
      </c>
      <c r="E596">
        <v>0</v>
      </c>
    </row>
    <row r="597" spans="1:5" x14ac:dyDescent="0.25">
      <c r="A597" t="s">
        <v>26</v>
      </c>
      <c r="B597" t="s">
        <v>169</v>
      </c>
      <c r="C597" t="s">
        <v>338</v>
      </c>
      <c r="D597">
        <v>27418</v>
      </c>
      <c r="E597">
        <v>8</v>
      </c>
    </row>
    <row r="598" spans="1:5" x14ac:dyDescent="0.25">
      <c r="A598" t="s">
        <v>26</v>
      </c>
      <c r="B598" t="s">
        <v>193</v>
      </c>
      <c r="C598" t="s">
        <v>338</v>
      </c>
      <c r="D598">
        <v>83781</v>
      </c>
      <c r="E598">
        <v>1</v>
      </c>
    </row>
    <row r="599" spans="1:5" x14ac:dyDescent="0.25">
      <c r="A599" t="s">
        <v>5</v>
      </c>
      <c r="B599" t="s">
        <v>275</v>
      </c>
      <c r="C599" t="s">
        <v>338</v>
      </c>
      <c r="D599">
        <v>44158</v>
      </c>
      <c r="E599">
        <v>6</v>
      </c>
    </row>
    <row r="600" spans="1:5" x14ac:dyDescent="0.25">
      <c r="A600" t="s">
        <v>19</v>
      </c>
      <c r="B600" t="s">
        <v>165</v>
      </c>
      <c r="C600" t="s">
        <v>338</v>
      </c>
      <c r="D600">
        <v>93497</v>
      </c>
      <c r="E600">
        <v>6</v>
      </c>
    </row>
    <row r="601" spans="1:5" x14ac:dyDescent="0.25">
      <c r="A601" t="s">
        <v>19</v>
      </c>
      <c r="B601" t="s">
        <v>39</v>
      </c>
      <c r="C601" t="s">
        <v>338</v>
      </c>
      <c r="D601">
        <v>74151</v>
      </c>
      <c r="E601">
        <v>9</v>
      </c>
    </row>
    <row r="602" spans="1:5" x14ac:dyDescent="0.25">
      <c r="A602" t="s">
        <v>26</v>
      </c>
      <c r="B602" t="s">
        <v>339</v>
      </c>
      <c r="C602" t="s">
        <v>338</v>
      </c>
      <c r="D602">
        <v>41661</v>
      </c>
      <c r="E602">
        <v>9</v>
      </c>
    </row>
    <row r="603" spans="1:5" x14ac:dyDescent="0.25">
      <c r="A603" t="s">
        <v>8</v>
      </c>
      <c r="B603" t="s">
        <v>125</v>
      </c>
      <c r="C603" t="s">
        <v>338</v>
      </c>
      <c r="D603">
        <v>21630</v>
      </c>
      <c r="E603">
        <v>7</v>
      </c>
    </row>
    <row r="604" spans="1:5" x14ac:dyDescent="0.25">
      <c r="A604" t="s">
        <v>21</v>
      </c>
      <c r="B604" t="s">
        <v>295</v>
      </c>
      <c r="C604" t="s">
        <v>338</v>
      </c>
      <c r="D604">
        <v>91642</v>
      </c>
      <c r="E604">
        <v>7</v>
      </c>
    </row>
    <row r="605" spans="1:5" x14ac:dyDescent="0.25">
      <c r="A605" t="s">
        <v>55</v>
      </c>
      <c r="B605" t="s">
        <v>340</v>
      </c>
      <c r="C605" t="s">
        <v>341</v>
      </c>
      <c r="D605">
        <v>24161</v>
      </c>
      <c r="E605">
        <v>7</v>
      </c>
    </row>
    <row r="606" spans="1:5" x14ac:dyDescent="0.25">
      <c r="A606" t="s">
        <v>55</v>
      </c>
      <c r="B606" t="s">
        <v>342</v>
      </c>
      <c r="C606" t="s">
        <v>341</v>
      </c>
      <c r="D606">
        <v>98112</v>
      </c>
      <c r="E606">
        <v>7</v>
      </c>
    </row>
    <row r="607" spans="1:5" x14ac:dyDescent="0.25">
      <c r="A607" t="s">
        <v>55</v>
      </c>
      <c r="B607" t="s">
        <v>22</v>
      </c>
      <c r="C607" t="s">
        <v>341</v>
      </c>
      <c r="D607">
        <v>53484</v>
      </c>
      <c r="E607">
        <v>6</v>
      </c>
    </row>
    <row r="608" spans="1:5" x14ac:dyDescent="0.25">
      <c r="A608" t="s">
        <v>19</v>
      </c>
      <c r="B608" t="s">
        <v>237</v>
      </c>
      <c r="C608" t="s">
        <v>341</v>
      </c>
      <c r="D608">
        <v>37998</v>
      </c>
      <c r="E608">
        <v>7</v>
      </c>
    </row>
    <row r="609" spans="1:5" x14ac:dyDescent="0.25">
      <c r="A609" t="s">
        <v>38</v>
      </c>
      <c r="B609" t="s">
        <v>59</v>
      </c>
      <c r="C609" t="s">
        <v>341</v>
      </c>
      <c r="D609">
        <v>39190</v>
      </c>
      <c r="E609">
        <v>5</v>
      </c>
    </row>
    <row r="610" spans="1:5" x14ac:dyDescent="0.25">
      <c r="A610" t="s">
        <v>19</v>
      </c>
      <c r="B610" t="s">
        <v>123</v>
      </c>
      <c r="C610" t="s">
        <v>343</v>
      </c>
      <c r="D610">
        <v>57827</v>
      </c>
      <c r="E610">
        <v>0</v>
      </c>
    </row>
    <row r="611" spans="1:5" x14ac:dyDescent="0.25">
      <c r="A611" t="s">
        <v>29</v>
      </c>
      <c r="B611" t="s">
        <v>144</v>
      </c>
      <c r="C611" t="s">
        <v>343</v>
      </c>
      <c r="D611">
        <v>99505</v>
      </c>
      <c r="E611">
        <v>6</v>
      </c>
    </row>
    <row r="612" spans="1:5" x14ac:dyDescent="0.25">
      <c r="A612" t="s">
        <v>29</v>
      </c>
      <c r="B612" t="s">
        <v>183</v>
      </c>
      <c r="C612" t="s">
        <v>343</v>
      </c>
      <c r="D612">
        <v>80409</v>
      </c>
      <c r="E612">
        <v>7</v>
      </c>
    </row>
    <row r="613" spans="1:5" x14ac:dyDescent="0.25">
      <c r="A613" t="s">
        <v>13</v>
      </c>
      <c r="B613" t="s">
        <v>30</v>
      </c>
      <c r="C613" t="s">
        <v>344</v>
      </c>
      <c r="D613">
        <v>36769</v>
      </c>
      <c r="E613">
        <v>9</v>
      </c>
    </row>
    <row r="614" spans="1:5" x14ac:dyDescent="0.25">
      <c r="A614" t="s">
        <v>19</v>
      </c>
      <c r="B614" t="s">
        <v>32</v>
      </c>
      <c r="C614" t="s">
        <v>345</v>
      </c>
      <c r="D614">
        <v>45302</v>
      </c>
      <c r="E614">
        <v>3</v>
      </c>
    </row>
    <row r="615" spans="1:5" x14ac:dyDescent="0.25">
      <c r="A615" t="s">
        <v>5</v>
      </c>
      <c r="B615" t="s">
        <v>84</v>
      </c>
      <c r="C615" t="s">
        <v>345</v>
      </c>
      <c r="D615">
        <v>75675</v>
      </c>
      <c r="E615">
        <v>9</v>
      </c>
    </row>
    <row r="616" spans="1:5" x14ac:dyDescent="0.25">
      <c r="A616" t="s">
        <v>11</v>
      </c>
      <c r="B616" t="s">
        <v>172</v>
      </c>
      <c r="C616" t="s">
        <v>345</v>
      </c>
      <c r="D616">
        <v>58980</v>
      </c>
      <c r="E616">
        <v>7</v>
      </c>
    </row>
    <row r="617" spans="1:5" x14ac:dyDescent="0.25">
      <c r="A617" t="s">
        <v>16</v>
      </c>
      <c r="B617" t="s">
        <v>18</v>
      </c>
      <c r="C617" t="s">
        <v>345</v>
      </c>
      <c r="D617">
        <v>91618</v>
      </c>
      <c r="E617">
        <v>8</v>
      </c>
    </row>
    <row r="618" spans="1:5" x14ac:dyDescent="0.25">
      <c r="A618" t="s">
        <v>21</v>
      </c>
      <c r="B618" t="s">
        <v>76</v>
      </c>
      <c r="C618" t="s">
        <v>345</v>
      </c>
      <c r="D618">
        <v>96292</v>
      </c>
      <c r="E618">
        <v>5</v>
      </c>
    </row>
    <row r="619" spans="1:5" x14ac:dyDescent="0.25">
      <c r="A619" t="s">
        <v>13</v>
      </c>
      <c r="B619" t="s">
        <v>275</v>
      </c>
      <c r="C619" t="s">
        <v>345</v>
      </c>
      <c r="D619">
        <v>11422</v>
      </c>
      <c r="E619">
        <v>9</v>
      </c>
    </row>
    <row r="620" spans="1:5" x14ac:dyDescent="0.25">
      <c r="A620" t="s">
        <v>16</v>
      </c>
      <c r="B620" t="s">
        <v>274</v>
      </c>
      <c r="C620" t="s">
        <v>346</v>
      </c>
      <c r="D620">
        <v>51046</v>
      </c>
      <c r="E620">
        <v>7</v>
      </c>
    </row>
    <row r="621" spans="1:5" x14ac:dyDescent="0.25">
      <c r="A621" t="s">
        <v>13</v>
      </c>
      <c r="B621" t="s">
        <v>347</v>
      </c>
      <c r="C621" t="s">
        <v>346</v>
      </c>
      <c r="D621">
        <v>36387</v>
      </c>
      <c r="E621">
        <v>7</v>
      </c>
    </row>
    <row r="622" spans="1:5" x14ac:dyDescent="0.25">
      <c r="A622" t="s">
        <v>11</v>
      </c>
      <c r="B622" t="s">
        <v>121</v>
      </c>
      <c r="C622" t="s">
        <v>346</v>
      </c>
      <c r="D622">
        <v>57327</v>
      </c>
      <c r="E622">
        <v>1</v>
      </c>
    </row>
    <row r="623" spans="1:5" x14ac:dyDescent="0.25">
      <c r="A623" t="s">
        <v>29</v>
      </c>
      <c r="B623" t="s">
        <v>197</v>
      </c>
      <c r="C623" t="s">
        <v>346</v>
      </c>
      <c r="D623">
        <v>99926</v>
      </c>
      <c r="E623">
        <v>5</v>
      </c>
    </row>
    <row r="624" spans="1:5" x14ac:dyDescent="0.25">
      <c r="A624" t="s">
        <v>29</v>
      </c>
      <c r="B624" t="s">
        <v>311</v>
      </c>
      <c r="C624" t="s">
        <v>346</v>
      </c>
      <c r="D624">
        <v>45975</v>
      </c>
      <c r="E624">
        <v>9</v>
      </c>
    </row>
    <row r="625" spans="1:5" x14ac:dyDescent="0.25">
      <c r="A625" t="s">
        <v>21</v>
      </c>
      <c r="B625" t="s">
        <v>158</v>
      </c>
      <c r="C625" t="s">
        <v>346</v>
      </c>
      <c r="D625">
        <v>19435</v>
      </c>
      <c r="E625">
        <v>7</v>
      </c>
    </row>
    <row r="626" spans="1:5" x14ac:dyDescent="0.25">
      <c r="A626" t="s">
        <v>19</v>
      </c>
      <c r="B626" t="s">
        <v>50</v>
      </c>
      <c r="C626" t="s">
        <v>346</v>
      </c>
      <c r="D626">
        <v>74512</v>
      </c>
      <c r="E626">
        <v>6</v>
      </c>
    </row>
    <row r="627" spans="1:5" x14ac:dyDescent="0.25">
      <c r="A627" t="s">
        <v>5</v>
      </c>
      <c r="B627" t="s">
        <v>27</v>
      </c>
      <c r="C627" t="s">
        <v>346</v>
      </c>
      <c r="D627">
        <v>58559</v>
      </c>
      <c r="E627">
        <v>9</v>
      </c>
    </row>
    <row r="628" spans="1:5" x14ac:dyDescent="0.25">
      <c r="A628" t="s">
        <v>26</v>
      </c>
      <c r="B628" t="s">
        <v>72</v>
      </c>
      <c r="C628" t="s">
        <v>346</v>
      </c>
      <c r="D628">
        <v>64863</v>
      </c>
      <c r="E628">
        <v>7</v>
      </c>
    </row>
    <row r="629" spans="1:5" x14ac:dyDescent="0.25">
      <c r="A629" t="s">
        <v>19</v>
      </c>
      <c r="B629" t="s">
        <v>206</v>
      </c>
      <c r="C629" t="s">
        <v>346</v>
      </c>
      <c r="D629">
        <v>53328</v>
      </c>
      <c r="E629">
        <v>6</v>
      </c>
    </row>
    <row r="630" spans="1:5" x14ac:dyDescent="0.25">
      <c r="A630" t="s">
        <v>13</v>
      </c>
      <c r="B630" t="s">
        <v>164</v>
      </c>
      <c r="C630" t="s">
        <v>348</v>
      </c>
      <c r="D630">
        <v>32316</v>
      </c>
      <c r="E630">
        <v>4</v>
      </c>
    </row>
    <row r="631" spans="1:5" x14ac:dyDescent="0.25">
      <c r="A631" t="s">
        <v>43</v>
      </c>
      <c r="B631" t="s">
        <v>121</v>
      </c>
      <c r="C631" t="s">
        <v>348</v>
      </c>
      <c r="D631">
        <v>33624</v>
      </c>
      <c r="E631">
        <v>5</v>
      </c>
    </row>
    <row r="632" spans="1:5" x14ac:dyDescent="0.25">
      <c r="A632" t="s">
        <v>26</v>
      </c>
      <c r="B632" t="s">
        <v>305</v>
      </c>
      <c r="C632" t="s">
        <v>348</v>
      </c>
      <c r="D632">
        <v>30294</v>
      </c>
      <c r="E632">
        <v>8</v>
      </c>
    </row>
    <row r="633" spans="1:5" x14ac:dyDescent="0.25">
      <c r="A633" t="s">
        <v>21</v>
      </c>
      <c r="B633" t="s">
        <v>200</v>
      </c>
      <c r="C633" t="s">
        <v>348</v>
      </c>
      <c r="D633">
        <v>81236</v>
      </c>
      <c r="E633">
        <v>9</v>
      </c>
    </row>
    <row r="634" spans="1:5" x14ac:dyDescent="0.25">
      <c r="A634" t="s">
        <v>19</v>
      </c>
      <c r="B634" t="s">
        <v>172</v>
      </c>
      <c r="C634" t="s">
        <v>348</v>
      </c>
      <c r="D634">
        <v>38940</v>
      </c>
      <c r="E634">
        <v>8</v>
      </c>
    </row>
    <row r="635" spans="1:5" x14ac:dyDescent="0.25">
      <c r="A635" t="s">
        <v>8</v>
      </c>
      <c r="B635" t="s">
        <v>22</v>
      </c>
      <c r="C635" t="s">
        <v>349</v>
      </c>
      <c r="D635">
        <v>26960</v>
      </c>
      <c r="E635">
        <v>6</v>
      </c>
    </row>
    <row r="636" spans="1:5" x14ac:dyDescent="0.25">
      <c r="A636" t="s">
        <v>19</v>
      </c>
      <c r="B636" t="s">
        <v>105</v>
      </c>
      <c r="C636" t="s">
        <v>349</v>
      </c>
      <c r="D636">
        <v>51253</v>
      </c>
      <c r="E636">
        <v>7</v>
      </c>
    </row>
    <row r="637" spans="1:5" x14ac:dyDescent="0.25">
      <c r="A637" t="s">
        <v>26</v>
      </c>
      <c r="B637" t="s">
        <v>88</v>
      </c>
      <c r="C637" t="s">
        <v>349</v>
      </c>
      <c r="D637">
        <v>47377</v>
      </c>
      <c r="E637">
        <v>8</v>
      </c>
    </row>
    <row r="638" spans="1:5" x14ac:dyDescent="0.25">
      <c r="A638" t="s">
        <v>13</v>
      </c>
      <c r="B638" t="s">
        <v>215</v>
      </c>
      <c r="C638" t="s">
        <v>349</v>
      </c>
      <c r="D638">
        <v>95698</v>
      </c>
      <c r="E638">
        <v>5</v>
      </c>
    </row>
    <row r="639" spans="1:5" x14ac:dyDescent="0.25">
      <c r="A639" t="s">
        <v>38</v>
      </c>
      <c r="B639" t="s">
        <v>27</v>
      </c>
      <c r="C639" t="s">
        <v>349</v>
      </c>
      <c r="D639">
        <v>85727</v>
      </c>
      <c r="E639">
        <v>5</v>
      </c>
    </row>
    <row r="640" spans="1:5" x14ac:dyDescent="0.25">
      <c r="A640" t="s">
        <v>43</v>
      </c>
      <c r="B640" t="s">
        <v>347</v>
      </c>
      <c r="C640" t="s">
        <v>349</v>
      </c>
      <c r="D640">
        <v>26037</v>
      </c>
      <c r="E640">
        <v>2</v>
      </c>
    </row>
    <row r="641" spans="1:5" x14ac:dyDescent="0.25">
      <c r="A641" t="s">
        <v>5</v>
      </c>
      <c r="B641" t="s">
        <v>67</v>
      </c>
      <c r="C641" t="s">
        <v>350</v>
      </c>
      <c r="D641">
        <v>57301</v>
      </c>
      <c r="E641">
        <v>8</v>
      </c>
    </row>
    <row r="642" spans="1:5" x14ac:dyDescent="0.25">
      <c r="A642" t="s">
        <v>21</v>
      </c>
      <c r="B642" t="s">
        <v>148</v>
      </c>
      <c r="C642" t="s">
        <v>350</v>
      </c>
      <c r="D642">
        <v>55828</v>
      </c>
      <c r="E642">
        <v>7</v>
      </c>
    </row>
    <row r="643" spans="1:5" x14ac:dyDescent="0.25">
      <c r="A643" t="s">
        <v>19</v>
      </c>
      <c r="B643" t="s">
        <v>207</v>
      </c>
      <c r="C643" t="s">
        <v>351</v>
      </c>
      <c r="D643">
        <v>95513</v>
      </c>
      <c r="E643">
        <v>10</v>
      </c>
    </row>
    <row r="644" spans="1:5" x14ac:dyDescent="0.25">
      <c r="A644" t="s">
        <v>16</v>
      </c>
      <c r="B644" t="s">
        <v>295</v>
      </c>
      <c r="C644" t="s">
        <v>351</v>
      </c>
      <c r="D644">
        <v>64769</v>
      </c>
      <c r="E644">
        <v>8</v>
      </c>
    </row>
    <row r="645" spans="1:5" x14ac:dyDescent="0.25">
      <c r="A645" t="s">
        <v>19</v>
      </c>
      <c r="B645" t="s">
        <v>84</v>
      </c>
      <c r="C645" t="s">
        <v>351</v>
      </c>
      <c r="D645">
        <v>79188</v>
      </c>
      <c r="E645">
        <v>4</v>
      </c>
    </row>
    <row r="646" spans="1:5" x14ac:dyDescent="0.25">
      <c r="A646" t="s">
        <v>38</v>
      </c>
      <c r="B646" t="s">
        <v>190</v>
      </c>
      <c r="C646" t="s">
        <v>352</v>
      </c>
      <c r="D646">
        <v>67045</v>
      </c>
      <c r="E646">
        <v>1</v>
      </c>
    </row>
    <row r="647" spans="1:5" x14ac:dyDescent="0.25">
      <c r="A647" t="s">
        <v>8</v>
      </c>
      <c r="B647" t="s">
        <v>97</v>
      </c>
      <c r="C647" t="s">
        <v>352</v>
      </c>
      <c r="D647">
        <v>47499</v>
      </c>
      <c r="E647">
        <v>7</v>
      </c>
    </row>
    <row r="648" spans="1:5" x14ac:dyDescent="0.25">
      <c r="A648" t="s">
        <v>38</v>
      </c>
      <c r="B648" t="s">
        <v>171</v>
      </c>
      <c r="C648" t="s">
        <v>352</v>
      </c>
      <c r="D648">
        <v>14724</v>
      </c>
      <c r="E648">
        <v>6</v>
      </c>
    </row>
    <row r="649" spans="1:5" x14ac:dyDescent="0.25">
      <c r="A649" t="s">
        <v>29</v>
      </c>
      <c r="B649" t="s">
        <v>159</v>
      </c>
      <c r="C649" t="s">
        <v>352</v>
      </c>
      <c r="D649">
        <v>20515</v>
      </c>
      <c r="E649">
        <v>7</v>
      </c>
    </row>
    <row r="650" spans="1:5" x14ac:dyDescent="0.25">
      <c r="A650" t="s">
        <v>29</v>
      </c>
      <c r="B650" t="s">
        <v>353</v>
      </c>
      <c r="C650" t="s">
        <v>352</v>
      </c>
      <c r="D650">
        <v>50519</v>
      </c>
      <c r="E650">
        <v>7</v>
      </c>
    </row>
    <row r="651" spans="1:5" x14ac:dyDescent="0.25">
      <c r="A651" t="s">
        <v>8</v>
      </c>
      <c r="B651" t="s">
        <v>263</v>
      </c>
      <c r="C651" t="s">
        <v>352</v>
      </c>
      <c r="D651">
        <v>60722</v>
      </c>
      <c r="E651">
        <v>5</v>
      </c>
    </row>
    <row r="652" spans="1:5" x14ac:dyDescent="0.25">
      <c r="A652" t="s">
        <v>55</v>
      </c>
      <c r="B652" t="s">
        <v>63</v>
      </c>
      <c r="C652" t="s">
        <v>352</v>
      </c>
      <c r="D652">
        <v>62304</v>
      </c>
      <c r="E652">
        <v>5</v>
      </c>
    </row>
    <row r="653" spans="1:5" x14ac:dyDescent="0.25">
      <c r="A653" t="s">
        <v>11</v>
      </c>
      <c r="B653" t="s">
        <v>354</v>
      </c>
      <c r="C653" t="s">
        <v>355</v>
      </c>
      <c r="D653">
        <v>66309</v>
      </c>
      <c r="E653">
        <v>6</v>
      </c>
    </row>
    <row r="654" spans="1:5" x14ac:dyDescent="0.25">
      <c r="A654" t="s">
        <v>5</v>
      </c>
      <c r="B654" t="s">
        <v>232</v>
      </c>
      <c r="C654" t="s">
        <v>356</v>
      </c>
      <c r="D654">
        <v>67752</v>
      </c>
      <c r="E654">
        <v>7</v>
      </c>
    </row>
    <row r="655" spans="1:5" x14ac:dyDescent="0.25">
      <c r="A655" t="s">
        <v>11</v>
      </c>
      <c r="B655" t="s">
        <v>58</v>
      </c>
      <c r="C655" t="s">
        <v>357</v>
      </c>
      <c r="D655">
        <v>24621</v>
      </c>
      <c r="E655">
        <v>8</v>
      </c>
    </row>
    <row r="656" spans="1:5" x14ac:dyDescent="0.25">
      <c r="A656" t="s">
        <v>21</v>
      </c>
      <c r="B656" t="s">
        <v>174</v>
      </c>
      <c r="C656" t="s">
        <v>357</v>
      </c>
      <c r="D656">
        <v>61141</v>
      </c>
      <c r="E656">
        <v>5</v>
      </c>
    </row>
    <row r="657" spans="1:5" x14ac:dyDescent="0.25">
      <c r="A657" t="s">
        <v>43</v>
      </c>
      <c r="B657" t="s">
        <v>63</v>
      </c>
      <c r="C657" t="s">
        <v>357</v>
      </c>
      <c r="D657">
        <v>80928</v>
      </c>
      <c r="E657">
        <v>7</v>
      </c>
    </row>
    <row r="658" spans="1:5" x14ac:dyDescent="0.25">
      <c r="A658" t="s">
        <v>19</v>
      </c>
      <c r="B658" t="s">
        <v>30</v>
      </c>
      <c r="C658" t="s">
        <v>358</v>
      </c>
      <c r="D658">
        <v>57458</v>
      </c>
      <c r="E658">
        <v>8</v>
      </c>
    </row>
    <row r="659" spans="1:5" x14ac:dyDescent="0.25">
      <c r="A659" t="s">
        <v>55</v>
      </c>
      <c r="B659" t="s">
        <v>67</v>
      </c>
      <c r="C659" t="s">
        <v>358</v>
      </c>
      <c r="D659">
        <v>78224</v>
      </c>
      <c r="E659">
        <v>7</v>
      </c>
    </row>
    <row r="660" spans="1:5" x14ac:dyDescent="0.25">
      <c r="A660" t="s">
        <v>11</v>
      </c>
      <c r="B660" t="s">
        <v>275</v>
      </c>
      <c r="C660" t="s">
        <v>358</v>
      </c>
      <c r="D660">
        <v>38237</v>
      </c>
      <c r="E660">
        <v>7</v>
      </c>
    </row>
    <row r="661" spans="1:5" x14ac:dyDescent="0.25">
      <c r="A661" t="s">
        <v>8</v>
      </c>
      <c r="B661" t="s">
        <v>138</v>
      </c>
      <c r="C661" t="s">
        <v>358</v>
      </c>
      <c r="D661">
        <v>13667</v>
      </c>
      <c r="E661">
        <v>3</v>
      </c>
    </row>
    <row r="662" spans="1:5" x14ac:dyDescent="0.25">
      <c r="A662" t="s">
        <v>19</v>
      </c>
      <c r="B662" t="s">
        <v>59</v>
      </c>
      <c r="C662" t="s">
        <v>358</v>
      </c>
      <c r="D662">
        <v>92554</v>
      </c>
      <c r="E662">
        <v>7</v>
      </c>
    </row>
    <row r="663" spans="1:5" x14ac:dyDescent="0.25">
      <c r="A663" t="s">
        <v>21</v>
      </c>
      <c r="B663" t="s">
        <v>34</v>
      </c>
      <c r="C663" t="s">
        <v>358</v>
      </c>
      <c r="D663">
        <v>53674</v>
      </c>
      <c r="E663">
        <v>7</v>
      </c>
    </row>
    <row r="664" spans="1:5" x14ac:dyDescent="0.25">
      <c r="A664" t="s">
        <v>5</v>
      </c>
      <c r="B664" t="s">
        <v>145</v>
      </c>
      <c r="C664" t="s">
        <v>358</v>
      </c>
      <c r="D664">
        <v>60099</v>
      </c>
      <c r="E664">
        <v>6</v>
      </c>
    </row>
    <row r="665" spans="1:5" x14ac:dyDescent="0.25">
      <c r="A665" t="s">
        <v>8</v>
      </c>
      <c r="B665" t="s">
        <v>32</v>
      </c>
      <c r="C665" t="s">
        <v>359</v>
      </c>
      <c r="D665">
        <v>80540</v>
      </c>
      <c r="E665">
        <v>5</v>
      </c>
    </row>
    <row r="666" spans="1:5" x14ac:dyDescent="0.25">
      <c r="A666" t="s">
        <v>55</v>
      </c>
      <c r="B666" t="s">
        <v>200</v>
      </c>
      <c r="C666" t="s">
        <v>360</v>
      </c>
      <c r="D666">
        <v>49903</v>
      </c>
      <c r="E666">
        <v>7</v>
      </c>
    </row>
    <row r="667" spans="1:5" x14ac:dyDescent="0.25">
      <c r="A667" t="s">
        <v>55</v>
      </c>
      <c r="B667" t="s">
        <v>104</v>
      </c>
      <c r="C667" t="s">
        <v>361</v>
      </c>
      <c r="D667">
        <v>55180</v>
      </c>
      <c r="E667">
        <v>7</v>
      </c>
    </row>
    <row r="668" spans="1:5" x14ac:dyDescent="0.25">
      <c r="A668" t="s">
        <v>43</v>
      </c>
      <c r="B668" t="s">
        <v>33</v>
      </c>
      <c r="C668" t="s">
        <v>361</v>
      </c>
      <c r="D668">
        <v>48583</v>
      </c>
      <c r="E668">
        <v>7</v>
      </c>
    </row>
    <row r="669" spans="1:5" x14ac:dyDescent="0.25">
      <c r="A669" t="s">
        <v>38</v>
      </c>
      <c r="B669" t="s">
        <v>206</v>
      </c>
      <c r="C669" t="s">
        <v>361</v>
      </c>
      <c r="D669">
        <v>64841</v>
      </c>
      <c r="E669">
        <v>6</v>
      </c>
    </row>
    <row r="670" spans="1:5" x14ac:dyDescent="0.25">
      <c r="A670" t="s">
        <v>55</v>
      </c>
      <c r="B670" t="s">
        <v>362</v>
      </c>
      <c r="C670" t="s">
        <v>361</v>
      </c>
      <c r="D670">
        <v>10747</v>
      </c>
      <c r="E670">
        <v>4</v>
      </c>
    </row>
    <row r="671" spans="1:5" x14ac:dyDescent="0.25">
      <c r="A671" t="s">
        <v>13</v>
      </c>
      <c r="B671" t="s">
        <v>102</v>
      </c>
      <c r="C671" t="s">
        <v>361</v>
      </c>
      <c r="D671">
        <v>23121</v>
      </c>
      <c r="E671">
        <v>6</v>
      </c>
    </row>
    <row r="672" spans="1:5" x14ac:dyDescent="0.25">
      <c r="A672" t="s">
        <v>8</v>
      </c>
      <c r="B672" t="s">
        <v>18</v>
      </c>
      <c r="C672" t="s">
        <v>363</v>
      </c>
      <c r="D672">
        <v>16452</v>
      </c>
      <c r="E672">
        <v>6</v>
      </c>
    </row>
    <row r="673" spans="1:5" x14ac:dyDescent="0.25">
      <c r="A673" t="s">
        <v>19</v>
      </c>
      <c r="B673" t="s">
        <v>151</v>
      </c>
      <c r="C673" t="s">
        <v>364</v>
      </c>
      <c r="D673">
        <v>89666</v>
      </c>
      <c r="E673">
        <v>7</v>
      </c>
    </row>
    <row r="674" spans="1:5" x14ac:dyDescent="0.25">
      <c r="A674" t="s">
        <v>55</v>
      </c>
      <c r="B674" t="s">
        <v>91</v>
      </c>
      <c r="C674" t="s">
        <v>364</v>
      </c>
      <c r="D674">
        <v>85516</v>
      </c>
      <c r="E674">
        <v>6</v>
      </c>
    </row>
    <row r="675" spans="1:5" x14ac:dyDescent="0.25">
      <c r="A675" t="s">
        <v>19</v>
      </c>
      <c r="B675" t="s">
        <v>184</v>
      </c>
      <c r="C675" t="s">
        <v>365</v>
      </c>
      <c r="D675">
        <v>45064</v>
      </c>
      <c r="E675">
        <v>8</v>
      </c>
    </row>
    <row r="676" spans="1:5" x14ac:dyDescent="0.25">
      <c r="A676" t="s">
        <v>13</v>
      </c>
      <c r="B676" t="s">
        <v>28</v>
      </c>
      <c r="C676" t="s">
        <v>365</v>
      </c>
      <c r="D676">
        <v>87030</v>
      </c>
      <c r="E676">
        <v>6</v>
      </c>
    </row>
    <row r="677" spans="1:5" x14ac:dyDescent="0.25">
      <c r="A677" t="s">
        <v>5</v>
      </c>
      <c r="B677" t="s">
        <v>6</v>
      </c>
      <c r="C677" t="s">
        <v>366</v>
      </c>
      <c r="D677">
        <v>82856</v>
      </c>
      <c r="E677">
        <v>9</v>
      </c>
    </row>
    <row r="678" spans="1:5" x14ac:dyDescent="0.25">
      <c r="A678" t="s">
        <v>55</v>
      </c>
      <c r="B678" t="s">
        <v>102</v>
      </c>
      <c r="C678" t="s">
        <v>367</v>
      </c>
      <c r="D678">
        <v>63522</v>
      </c>
      <c r="E678">
        <v>5</v>
      </c>
    </row>
    <row r="679" spans="1:5" x14ac:dyDescent="0.25">
      <c r="A679" t="s">
        <v>55</v>
      </c>
      <c r="B679" t="s">
        <v>87</v>
      </c>
      <c r="C679" t="s">
        <v>367</v>
      </c>
      <c r="D679">
        <v>86289</v>
      </c>
      <c r="E679">
        <v>2</v>
      </c>
    </row>
    <row r="680" spans="1:5" x14ac:dyDescent="0.25">
      <c r="A680" t="s">
        <v>26</v>
      </c>
      <c r="B680" t="s">
        <v>111</v>
      </c>
      <c r="C680" t="s">
        <v>367</v>
      </c>
      <c r="D680">
        <v>35662</v>
      </c>
      <c r="E680">
        <v>7</v>
      </c>
    </row>
    <row r="681" spans="1:5" x14ac:dyDescent="0.25">
      <c r="A681" t="s">
        <v>16</v>
      </c>
      <c r="B681" t="s">
        <v>28</v>
      </c>
      <c r="C681" t="s">
        <v>367</v>
      </c>
      <c r="D681">
        <v>52682</v>
      </c>
      <c r="E681">
        <v>9</v>
      </c>
    </row>
    <row r="682" spans="1:5" x14ac:dyDescent="0.25">
      <c r="A682" t="s">
        <v>21</v>
      </c>
      <c r="B682" t="s">
        <v>159</v>
      </c>
      <c r="C682" t="s">
        <v>367</v>
      </c>
      <c r="D682">
        <v>58305</v>
      </c>
      <c r="E682">
        <v>7</v>
      </c>
    </row>
    <row r="683" spans="1:5" x14ac:dyDescent="0.25">
      <c r="A683" t="s">
        <v>43</v>
      </c>
      <c r="B683" t="s">
        <v>174</v>
      </c>
      <c r="C683" t="s">
        <v>367</v>
      </c>
      <c r="D683">
        <v>78876</v>
      </c>
      <c r="E683">
        <v>6</v>
      </c>
    </row>
    <row r="684" spans="1:5" x14ac:dyDescent="0.25">
      <c r="A684" t="s">
        <v>21</v>
      </c>
      <c r="B684" t="s">
        <v>173</v>
      </c>
      <c r="C684" t="s">
        <v>367</v>
      </c>
      <c r="D684">
        <v>39765</v>
      </c>
      <c r="E684">
        <v>6</v>
      </c>
    </row>
    <row r="685" spans="1:5" x14ac:dyDescent="0.25">
      <c r="A685" t="s">
        <v>5</v>
      </c>
      <c r="B685" t="s">
        <v>126</v>
      </c>
      <c r="C685" t="s">
        <v>367</v>
      </c>
      <c r="D685">
        <v>16791</v>
      </c>
      <c r="E685">
        <v>7</v>
      </c>
    </row>
    <row r="686" spans="1:5" x14ac:dyDescent="0.25">
      <c r="A686" t="s">
        <v>13</v>
      </c>
      <c r="B686" t="s">
        <v>92</v>
      </c>
      <c r="C686" t="s">
        <v>368</v>
      </c>
      <c r="D686">
        <v>18733</v>
      </c>
      <c r="E686">
        <v>8</v>
      </c>
    </row>
    <row r="687" spans="1:5" x14ac:dyDescent="0.25">
      <c r="A687" t="s">
        <v>55</v>
      </c>
      <c r="B687" t="s">
        <v>102</v>
      </c>
      <c r="C687" t="s">
        <v>368</v>
      </c>
      <c r="D687">
        <v>85885</v>
      </c>
      <c r="E687">
        <v>7</v>
      </c>
    </row>
    <row r="688" spans="1:5" x14ac:dyDescent="0.25">
      <c r="A688" t="s">
        <v>43</v>
      </c>
      <c r="B688" t="s">
        <v>190</v>
      </c>
      <c r="C688" t="s">
        <v>368</v>
      </c>
      <c r="D688">
        <v>10541</v>
      </c>
      <c r="E688">
        <v>10</v>
      </c>
    </row>
    <row r="689" spans="1:5" x14ac:dyDescent="0.25">
      <c r="A689" t="s">
        <v>5</v>
      </c>
      <c r="B689" t="s">
        <v>227</v>
      </c>
      <c r="C689" t="s">
        <v>368</v>
      </c>
      <c r="D689">
        <v>17126</v>
      </c>
      <c r="E689">
        <v>7</v>
      </c>
    </row>
    <row r="690" spans="1:5" x14ac:dyDescent="0.25">
      <c r="A690" t="s">
        <v>8</v>
      </c>
      <c r="B690" t="s">
        <v>149</v>
      </c>
      <c r="C690" t="s">
        <v>368</v>
      </c>
      <c r="D690">
        <v>48824</v>
      </c>
      <c r="E690">
        <v>4</v>
      </c>
    </row>
    <row r="691" spans="1:5" x14ac:dyDescent="0.25">
      <c r="A691" t="s">
        <v>13</v>
      </c>
      <c r="B691" t="s">
        <v>63</v>
      </c>
      <c r="C691" t="s">
        <v>368</v>
      </c>
      <c r="D691">
        <v>22461</v>
      </c>
      <c r="E691">
        <v>4</v>
      </c>
    </row>
    <row r="692" spans="1:5" x14ac:dyDescent="0.25">
      <c r="A692" t="s">
        <v>55</v>
      </c>
      <c r="B692" t="s">
        <v>217</v>
      </c>
      <c r="C692" t="s">
        <v>368</v>
      </c>
      <c r="D692">
        <v>46578</v>
      </c>
      <c r="E692">
        <v>5</v>
      </c>
    </row>
    <row r="693" spans="1:5" x14ac:dyDescent="0.25">
      <c r="A693" t="s">
        <v>19</v>
      </c>
      <c r="B693" t="s">
        <v>186</v>
      </c>
      <c r="C693" t="s">
        <v>368</v>
      </c>
      <c r="D693">
        <v>54856</v>
      </c>
      <c r="E693">
        <v>9</v>
      </c>
    </row>
    <row r="694" spans="1:5" x14ac:dyDescent="0.25">
      <c r="A694" t="s">
        <v>26</v>
      </c>
      <c r="B694" t="s">
        <v>176</v>
      </c>
      <c r="C694" t="s">
        <v>368</v>
      </c>
      <c r="D694">
        <v>82926</v>
      </c>
      <c r="E694">
        <v>2</v>
      </c>
    </row>
    <row r="695" spans="1:5" x14ac:dyDescent="0.25">
      <c r="A695" t="s">
        <v>26</v>
      </c>
      <c r="B695" t="s">
        <v>18</v>
      </c>
      <c r="C695" t="s">
        <v>368</v>
      </c>
      <c r="D695">
        <v>74642</v>
      </c>
      <c r="E695">
        <v>8</v>
      </c>
    </row>
    <row r="696" spans="1:5" x14ac:dyDescent="0.25">
      <c r="A696" t="s">
        <v>43</v>
      </c>
      <c r="B696" t="s">
        <v>274</v>
      </c>
      <c r="C696" t="s">
        <v>368</v>
      </c>
      <c r="D696">
        <v>97633</v>
      </c>
      <c r="E696">
        <v>7</v>
      </c>
    </row>
    <row r="697" spans="1:5" x14ac:dyDescent="0.25">
      <c r="A697" t="s">
        <v>5</v>
      </c>
      <c r="B697" t="s">
        <v>255</v>
      </c>
      <c r="C697" t="s">
        <v>369</v>
      </c>
      <c r="D697">
        <v>38005</v>
      </c>
      <c r="E697">
        <v>2</v>
      </c>
    </row>
    <row r="698" spans="1:5" x14ac:dyDescent="0.25">
      <c r="A698" t="s">
        <v>13</v>
      </c>
      <c r="B698" t="s">
        <v>275</v>
      </c>
      <c r="C698" t="s">
        <v>369</v>
      </c>
      <c r="D698">
        <v>96018</v>
      </c>
      <c r="E698">
        <v>4</v>
      </c>
    </row>
    <row r="699" spans="1:5" x14ac:dyDescent="0.25">
      <c r="A699" t="s">
        <v>43</v>
      </c>
      <c r="B699" t="s">
        <v>370</v>
      </c>
      <c r="C699" t="s">
        <v>371</v>
      </c>
      <c r="D699">
        <v>24112</v>
      </c>
      <c r="E699">
        <v>7</v>
      </c>
    </row>
    <row r="700" spans="1:5" x14ac:dyDescent="0.25">
      <c r="A700" t="s">
        <v>8</v>
      </c>
      <c r="B700" t="s">
        <v>232</v>
      </c>
      <c r="C700" t="s">
        <v>371</v>
      </c>
      <c r="D700">
        <v>85292</v>
      </c>
      <c r="E700">
        <v>6</v>
      </c>
    </row>
    <row r="701" spans="1:5" x14ac:dyDescent="0.25">
      <c r="A701" t="s">
        <v>29</v>
      </c>
      <c r="B701" t="s">
        <v>253</v>
      </c>
      <c r="C701" t="s">
        <v>371</v>
      </c>
      <c r="D701">
        <v>86411</v>
      </c>
      <c r="E701">
        <v>10</v>
      </c>
    </row>
    <row r="702" spans="1:5" x14ac:dyDescent="0.25">
      <c r="A702" t="s">
        <v>43</v>
      </c>
      <c r="B702" t="s">
        <v>14</v>
      </c>
      <c r="C702" t="s">
        <v>371</v>
      </c>
      <c r="D702">
        <v>80459</v>
      </c>
      <c r="E702">
        <v>1</v>
      </c>
    </row>
    <row r="703" spans="1:5" x14ac:dyDescent="0.25">
      <c r="A703" t="s">
        <v>5</v>
      </c>
      <c r="B703" t="s">
        <v>171</v>
      </c>
      <c r="C703" t="s">
        <v>371</v>
      </c>
      <c r="D703">
        <v>10092</v>
      </c>
      <c r="E703">
        <v>5</v>
      </c>
    </row>
    <row r="704" spans="1:5" x14ac:dyDescent="0.25">
      <c r="A704" t="s">
        <v>29</v>
      </c>
      <c r="B704" t="s">
        <v>248</v>
      </c>
      <c r="C704" t="s">
        <v>372</v>
      </c>
      <c r="D704">
        <v>70117</v>
      </c>
      <c r="E704">
        <v>1</v>
      </c>
    </row>
    <row r="705" spans="1:5" x14ac:dyDescent="0.25">
      <c r="A705" t="s">
        <v>8</v>
      </c>
      <c r="B705" t="s">
        <v>184</v>
      </c>
      <c r="C705" t="s">
        <v>372</v>
      </c>
      <c r="D705">
        <v>69097</v>
      </c>
      <c r="E705">
        <v>6</v>
      </c>
    </row>
    <row r="706" spans="1:5" x14ac:dyDescent="0.25">
      <c r="A706" t="s">
        <v>8</v>
      </c>
      <c r="B706" t="s">
        <v>220</v>
      </c>
      <c r="C706" t="s">
        <v>373</v>
      </c>
      <c r="D706">
        <v>48542</v>
      </c>
      <c r="E706">
        <v>8</v>
      </c>
    </row>
    <row r="707" spans="1:5" x14ac:dyDescent="0.25">
      <c r="A707" t="s">
        <v>43</v>
      </c>
      <c r="B707" t="s">
        <v>153</v>
      </c>
      <c r="C707" t="s">
        <v>373</v>
      </c>
      <c r="D707">
        <v>16639</v>
      </c>
      <c r="E707">
        <v>10</v>
      </c>
    </row>
    <row r="708" spans="1:5" x14ac:dyDescent="0.25">
      <c r="A708" t="s">
        <v>13</v>
      </c>
      <c r="B708" t="s">
        <v>93</v>
      </c>
      <c r="C708" t="s">
        <v>373</v>
      </c>
      <c r="D708">
        <v>64576</v>
      </c>
      <c r="E708">
        <v>7</v>
      </c>
    </row>
    <row r="709" spans="1:5" x14ac:dyDescent="0.25">
      <c r="A709" t="s">
        <v>38</v>
      </c>
      <c r="B709" t="s">
        <v>209</v>
      </c>
      <c r="C709" t="s">
        <v>374</v>
      </c>
      <c r="D709">
        <v>77816</v>
      </c>
      <c r="E709">
        <v>9</v>
      </c>
    </row>
    <row r="710" spans="1:5" x14ac:dyDescent="0.25">
      <c r="A710" t="s">
        <v>19</v>
      </c>
      <c r="B710" t="s">
        <v>217</v>
      </c>
      <c r="C710" t="s">
        <v>374</v>
      </c>
      <c r="D710">
        <v>53200</v>
      </c>
      <c r="E710">
        <v>8</v>
      </c>
    </row>
    <row r="711" spans="1:5" x14ac:dyDescent="0.25">
      <c r="A711" t="s">
        <v>38</v>
      </c>
      <c r="B711" t="s">
        <v>342</v>
      </c>
      <c r="C711" t="s">
        <v>374</v>
      </c>
      <c r="D711">
        <v>59628</v>
      </c>
      <c r="E711">
        <v>8</v>
      </c>
    </row>
    <row r="712" spans="1:5" x14ac:dyDescent="0.25">
      <c r="A712" t="s">
        <v>16</v>
      </c>
      <c r="B712" t="s">
        <v>114</v>
      </c>
      <c r="C712" t="s">
        <v>374</v>
      </c>
      <c r="D712">
        <v>35459</v>
      </c>
      <c r="E712">
        <v>9</v>
      </c>
    </row>
    <row r="713" spans="1:5" x14ac:dyDescent="0.25">
      <c r="A713" t="s">
        <v>16</v>
      </c>
      <c r="B713" t="s">
        <v>239</v>
      </c>
      <c r="C713" t="s">
        <v>374</v>
      </c>
      <c r="D713">
        <v>15866</v>
      </c>
      <c r="E713">
        <v>8</v>
      </c>
    </row>
    <row r="714" spans="1:5" x14ac:dyDescent="0.25">
      <c r="A714" t="s">
        <v>16</v>
      </c>
      <c r="B714" t="s">
        <v>194</v>
      </c>
      <c r="C714" t="s">
        <v>374</v>
      </c>
      <c r="D714">
        <v>60427</v>
      </c>
      <c r="E714">
        <v>8</v>
      </c>
    </row>
    <row r="715" spans="1:5" x14ac:dyDescent="0.25">
      <c r="A715" t="s">
        <v>11</v>
      </c>
      <c r="B715" t="s">
        <v>188</v>
      </c>
      <c r="C715" t="s">
        <v>374</v>
      </c>
      <c r="D715">
        <v>26547</v>
      </c>
      <c r="E715">
        <v>6</v>
      </c>
    </row>
    <row r="716" spans="1:5" x14ac:dyDescent="0.25">
      <c r="A716" t="s">
        <v>55</v>
      </c>
      <c r="B716" t="s">
        <v>33</v>
      </c>
      <c r="C716" t="s">
        <v>374</v>
      </c>
      <c r="D716">
        <v>50489</v>
      </c>
      <c r="E716">
        <v>0</v>
      </c>
    </row>
    <row r="717" spans="1:5" x14ac:dyDescent="0.25">
      <c r="A717" t="s">
        <v>11</v>
      </c>
      <c r="B717" t="s">
        <v>375</v>
      </c>
      <c r="C717" t="s">
        <v>374</v>
      </c>
      <c r="D717">
        <v>26488</v>
      </c>
      <c r="E717">
        <v>9</v>
      </c>
    </row>
    <row r="718" spans="1:5" x14ac:dyDescent="0.25">
      <c r="A718" t="s">
        <v>26</v>
      </c>
      <c r="B718" t="s">
        <v>255</v>
      </c>
      <c r="C718" t="s">
        <v>376</v>
      </c>
      <c r="D718">
        <v>24376</v>
      </c>
      <c r="E718">
        <v>8</v>
      </c>
    </row>
    <row r="719" spans="1:5" x14ac:dyDescent="0.25">
      <c r="A719" t="s">
        <v>11</v>
      </c>
      <c r="B719" t="s">
        <v>209</v>
      </c>
      <c r="C719" t="s">
        <v>376</v>
      </c>
      <c r="D719">
        <v>74691</v>
      </c>
      <c r="E719">
        <v>8</v>
      </c>
    </row>
    <row r="720" spans="1:5" x14ac:dyDescent="0.25">
      <c r="A720" t="s">
        <v>13</v>
      </c>
      <c r="B720" t="s">
        <v>177</v>
      </c>
      <c r="C720" t="s">
        <v>376</v>
      </c>
      <c r="D720">
        <v>16423</v>
      </c>
      <c r="E720">
        <v>9</v>
      </c>
    </row>
    <row r="721" spans="1:5" x14ac:dyDescent="0.25">
      <c r="A721" t="s">
        <v>5</v>
      </c>
      <c r="B721" t="s">
        <v>158</v>
      </c>
      <c r="C721" t="s">
        <v>376</v>
      </c>
      <c r="D721">
        <v>21363</v>
      </c>
      <c r="E721">
        <v>6</v>
      </c>
    </row>
    <row r="722" spans="1:5" x14ac:dyDescent="0.25">
      <c r="A722" t="s">
        <v>11</v>
      </c>
      <c r="B722" t="s">
        <v>102</v>
      </c>
      <c r="C722" t="s">
        <v>376</v>
      </c>
      <c r="D722">
        <v>21840</v>
      </c>
      <c r="E722">
        <v>6</v>
      </c>
    </row>
    <row r="723" spans="1:5" x14ac:dyDescent="0.25">
      <c r="A723" t="s">
        <v>19</v>
      </c>
      <c r="B723" t="s">
        <v>250</v>
      </c>
      <c r="C723" t="s">
        <v>377</v>
      </c>
      <c r="D723">
        <v>31022</v>
      </c>
      <c r="E723">
        <v>8</v>
      </c>
    </row>
    <row r="724" spans="1:5" x14ac:dyDescent="0.25">
      <c r="A724" t="s">
        <v>19</v>
      </c>
      <c r="B724" t="s">
        <v>79</v>
      </c>
      <c r="C724" t="s">
        <v>378</v>
      </c>
      <c r="D724">
        <v>84818</v>
      </c>
      <c r="E724">
        <v>8</v>
      </c>
    </row>
    <row r="725" spans="1:5" x14ac:dyDescent="0.25">
      <c r="A725" t="s">
        <v>13</v>
      </c>
      <c r="B725" t="s">
        <v>100</v>
      </c>
      <c r="C725" t="s">
        <v>378</v>
      </c>
      <c r="D725">
        <v>46512</v>
      </c>
      <c r="E725">
        <v>9</v>
      </c>
    </row>
    <row r="726" spans="1:5" x14ac:dyDescent="0.25">
      <c r="A726" t="s">
        <v>13</v>
      </c>
      <c r="B726" t="s">
        <v>250</v>
      </c>
      <c r="C726" t="s">
        <v>379</v>
      </c>
      <c r="D726">
        <v>50996</v>
      </c>
      <c r="E726">
        <v>6</v>
      </c>
    </row>
    <row r="727" spans="1:5" x14ac:dyDescent="0.25">
      <c r="A727" t="s">
        <v>11</v>
      </c>
      <c r="B727" t="s">
        <v>57</v>
      </c>
      <c r="C727" t="s">
        <v>379</v>
      </c>
      <c r="D727">
        <v>73738</v>
      </c>
      <c r="E727">
        <v>6</v>
      </c>
    </row>
    <row r="728" spans="1:5" x14ac:dyDescent="0.25">
      <c r="A728" t="s">
        <v>11</v>
      </c>
      <c r="B728" t="s">
        <v>237</v>
      </c>
      <c r="C728" t="s">
        <v>379</v>
      </c>
      <c r="D728">
        <v>96261</v>
      </c>
      <c r="E728">
        <v>8</v>
      </c>
    </row>
    <row r="729" spans="1:5" x14ac:dyDescent="0.25">
      <c r="A729" t="s">
        <v>8</v>
      </c>
      <c r="B729" t="s">
        <v>107</v>
      </c>
      <c r="C729" t="s">
        <v>379</v>
      </c>
      <c r="D729">
        <v>71259</v>
      </c>
      <c r="E729">
        <v>6</v>
      </c>
    </row>
    <row r="730" spans="1:5" x14ac:dyDescent="0.25">
      <c r="A730" t="s">
        <v>38</v>
      </c>
      <c r="B730" t="s">
        <v>14</v>
      </c>
      <c r="C730" t="s">
        <v>379</v>
      </c>
      <c r="D730">
        <v>61660</v>
      </c>
      <c r="E730">
        <v>0</v>
      </c>
    </row>
    <row r="731" spans="1:5" x14ac:dyDescent="0.25">
      <c r="A731" t="s">
        <v>11</v>
      </c>
      <c r="B731" t="s">
        <v>184</v>
      </c>
      <c r="C731" t="s">
        <v>379</v>
      </c>
      <c r="D731">
        <v>96432</v>
      </c>
      <c r="E731">
        <v>4</v>
      </c>
    </row>
    <row r="732" spans="1:5" x14ac:dyDescent="0.25">
      <c r="A732" t="s">
        <v>29</v>
      </c>
      <c r="B732" t="s">
        <v>199</v>
      </c>
      <c r="C732" t="s">
        <v>379</v>
      </c>
      <c r="D732">
        <v>54513</v>
      </c>
      <c r="E732">
        <v>3</v>
      </c>
    </row>
    <row r="733" spans="1:5" x14ac:dyDescent="0.25">
      <c r="A733" t="s">
        <v>11</v>
      </c>
      <c r="B733" t="s">
        <v>40</v>
      </c>
      <c r="C733" t="s">
        <v>379</v>
      </c>
      <c r="D733">
        <v>16846</v>
      </c>
      <c r="E733">
        <v>7</v>
      </c>
    </row>
    <row r="734" spans="1:5" x14ac:dyDescent="0.25">
      <c r="A734" t="s">
        <v>29</v>
      </c>
      <c r="B734" t="s">
        <v>333</v>
      </c>
      <c r="C734" t="s">
        <v>379</v>
      </c>
      <c r="D734">
        <v>82308</v>
      </c>
      <c r="E734">
        <v>4</v>
      </c>
    </row>
    <row r="735" spans="1:5" x14ac:dyDescent="0.25">
      <c r="A735" t="s">
        <v>26</v>
      </c>
      <c r="B735" t="s">
        <v>36</v>
      </c>
      <c r="C735" t="s">
        <v>380</v>
      </c>
      <c r="D735">
        <v>79281</v>
      </c>
      <c r="E735">
        <v>1</v>
      </c>
    </row>
    <row r="736" spans="1:5" x14ac:dyDescent="0.25">
      <c r="A736" t="s">
        <v>19</v>
      </c>
      <c r="B736" t="s">
        <v>148</v>
      </c>
      <c r="C736" t="s">
        <v>381</v>
      </c>
      <c r="D736">
        <v>40479</v>
      </c>
      <c r="E736">
        <v>3</v>
      </c>
    </row>
    <row r="737" spans="1:5" x14ac:dyDescent="0.25">
      <c r="A737" t="s">
        <v>16</v>
      </c>
      <c r="B737" t="s">
        <v>199</v>
      </c>
      <c r="C737" t="s">
        <v>381</v>
      </c>
      <c r="D737">
        <v>44537</v>
      </c>
      <c r="E737">
        <v>5</v>
      </c>
    </row>
    <row r="738" spans="1:5" x14ac:dyDescent="0.25">
      <c r="A738" t="s">
        <v>55</v>
      </c>
      <c r="B738" t="s">
        <v>178</v>
      </c>
      <c r="C738" t="s">
        <v>381</v>
      </c>
      <c r="D738">
        <v>28194</v>
      </c>
      <c r="E738">
        <v>5</v>
      </c>
    </row>
    <row r="739" spans="1:5" x14ac:dyDescent="0.25">
      <c r="A739" t="s">
        <v>8</v>
      </c>
      <c r="B739" t="s">
        <v>220</v>
      </c>
      <c r="C739" t="s">
        <v>381</v>
      </c>
      <c r="D739">
        <v>58311</v>
      </c>
      <c r="E739">
        <v>1</v>
      </c>
    </row>
    <row r="740" spans="1:5" x14ac:dyDescent="0.25">
      <c r="A740" t="s">
        <v>21</v>
      </c>
      <c r="B740" t="s">
        <v>61</v>
      </c>
      <c r="C740" t="s">
        <v>381</v>
      </c>
      <c r="D740">
        <v>31076</v>
      </c>
      <c r="E740">
        <v>5</v>
      </c>
    </row>
    <row r="741" spans="1:5" x14ac:dyDescent="0.25">
      <c r="A741" t="s">
        <v>5</v>
      </c>
      <c r="B741" t="s">
        <v>206</v>
      </c>
      <c r="C741" t="s">
        <v>381</v>
      </c>
      <c r="D741">
        <v>12041</v>
      </c>
      <c r="E741">
        <v>4</v>
      </c>
    </row>
    <row r="742" spans="1:5" x14ac:dyDescent="0.25">
      <c r="A742" t="s">
        <v>29</v>
      </c>
      <c r="B742" t="s">
        <v>119</v>
      </c>
      <c r="C742" t="s">
        <v>382</v>
      </c>
      <c r="D742">
        <v>78026</v>
      </c>
      <c r="E742">
        <v>6</v>
      </c>
    </row>
    <row r="743" spans="1:5" x14ac:dyDescent="0.25">
      <c r="A743" t="s">
        <v>13</v>
      </c>
      <c r="B743" t="s">
        <v>145</v>
      </c>
      <c r="C743" t="s">
        <v>383</v>
      </c>
      <c r="D743">
        <v>77074</v>
      </c>
      <c r="E743">
        <v>6</v>
      </c>
    </row>
    <row r="744" spans="1:5" x14ac:dyDescent="0.25">
      <c r="A744" t="s">
        <v>55</v>
      </c>
      <c r="B744" t="s">
        <v>12</v>
      </c>
      <c r="C744" t="s">
        <v>383</v>
      </c>
      <c r="D744">
        <v>28839</v>
      </c>
      <c r="E744">
        <v>2</v>
      </c>
    </row>
    <row r="745" spans="1:5" x14ac:dyDescent="0.25">
      <c r="A745" t="s">
        <v>38</v>
      </c>
      <c r="B745" t="s">
        <v>104</v>
      </c>
      <c r="C745" t="s">
        <v>383</v>
      </c>
      <c r="D745">
        <v>23648</v>
      </c>
      <c r="E745">
        <v>8</v>
      </c>
    </row>
    <row r="746" spans="1:5" x14ac:dyDescent="0.25">
      <c r="A746" t="s">
        <v>13</v>
      </c>
      <c r="B746" t="s">
        <v>187</v>
      </c>
      <c r="C746" t="s">
        <v>384</v>
      </c>
      <c r="D746">
        <v>25168</v>
      </c>
      <c r="E746">
        <v>0</v>
      </c>
    </row>
    <row r="747" spans="1:5" x14ac:dyDescent="0.25">
      <c r="A747" t="s">
        <v>43</v>
      </c>
      <c r="B747" t="s">
        <v>328</v>
      </c>
      <c r="C747" t="s">
        <v>384</v>
      </c>
      <c r="D747">
        <v>65986</v>
      </c>
      <c r="E747">
        <v>5</v>
      </c>
    </row>
    <row r="748" spans="1:5" x14ac:dyDescent="0.25">
      <c r="A748" t="s">
        <v>11</v>
      </c>
      <c r="B748" t="s">
        <v>33</v>
      </c>
      <c r="C748" t="s">
        <v>384</v>
      </c>
      <c r="D748">
        <v>48267</v>
      </c>
      <c r="E748">
        <v>7</v>
      </c>
    </row>
    <row r="749" spans="1:5" x14ac:dyDescent="0.25">
      <c r="A749" t="s">
        <v>13</v>
      </c>
      <c r="B749" t="s">
        <v>32</v>
      </c>
      <c r="C749" t="s">
        <v>384</v>
      </c>
      <c r="D749">
        <v>61993</v>
      </c>
      <c r="E749">
        <v>7</v>
      </c>
    </row>
    <row r="750" spans="1:5" x14ac:dyDescent="0.25">
      <c r="A750" t="s">
        <v>21</v>
      </c>
      <c r="B750" t="s">
        <v>49</v>
      </c>
      <c r="C750" t="s">
        <v>384</v>
      </c>
      <c r="D750">
        <v>54426</v>
      </c>
      <c r="E750">
        <v>2</v>
      </c>
    </row>
    <row r="751" spans="1:5" x14ac:dyDescent="0.25">
      <c r="A751" t="s">
        <v>16</v>
      </c>
      <c r="B751" t="s">
        <v>71</v>
      </c>
      <c r="C751" t="s">
        <v>384</v>
      </c>
      <c r="D751">
        <v>15531</v>
      </c>
      <c r="E751">
        <v>8</v>
      </c>
    </row>
    <row r="752" spans="1:5" x14ac:dyDescent="0.25">
      <c r="A752" t="s">
        <v>26</v>
      </c>
      <c r="B752" t="s">
        <v>328</v>
      </c>
      <c r="C752" t="s">
        <v>384</v>
      </c>
      <c r="D752">
        <v>37191</v>
      </c>
      <c r="E752">
        <v>7</v>
      </c>
    </row>
    <row r="753" spans="1:5" x14ac:dyDescent="0.25">
      <c r="A753" t="s">
        <v>38</v>
      </c>
      <c r="B753" t="s">
        <v>207</v>
      </c>
      <c r="C753" t="s">
        <v>385</v>
      </c>
      <c r="D753">
        <v>33000</v>
      </c>
      <c r="E753">
        <v>4</v>
      </c>
    </row>
    <row r="754" spans="1:5" x14ac:dyDescent="0.25">
      <c r="A754" t="s">
        <v>21</v>
      </c>
      <c r="B754" t="s">
        <v>97</v>
      </c>
      <c r="C754" t="s">
        <v>385</v>
      </c>
      <c r="D754">
        <v>16473</v>
      </c>
      <c r="E754">
        <v>7</v>
      </c>
    </row>
    <row r="755" spans="1:5" x14ac:dyDescent="0.25">
      <c r="A755" t="s">
        <v>29</v>
      </c>
      <c r="B755" t="s">
        <v>89</v>
      </c>
      <c r="C755" t="s">
        <v>386</v>
      </c>
      <c r="D755">
        <v>98543</v>
      </c>
      <c r="E755">
        <v>2</v>
      </c>
    </row>
    <row r="756" spans="1:5" x14ac:dyDescent="0.25">
      <c r="A756" t="s">
        <v>43</v>
      </c>
      <c r="B756" t="s">
        <v>111</v>
      </c>
      <c r="C756" t="s">
        <v>386</v>
      </c>
      <c r="D756">
        <v>90253</v>
      </c>
      <c r="E756">
        <v>6</v>
      </c>
    </row>
    <row r="757" spans="1:5" x14ac:dyDescent="0.25">
      <c r="A757" t="s">
        <v>38</v>
      </c>
      <c r="B757" t="s">
        <v>97</v>
      </c>
      <c r="C757" t="s">
        <v>386</v>
      </c>
      <c r="D757">
        <v>11305</v>
      </c>
      <c r="E757">
        <v>8</v>
      </c>
    </row>
    <row r="758" spans="1:5" x14ac:dyDescent="0.25">
      <c r="A758" t="s">
        <v>38</v>
      </c>
      <c r="B758" t="s">
        <v>22</v>
      </c>
      <c r="C758" t="s">
        <v>386</v>
      </c>
      <c r="D758">
        <v>18500</v>
      </c>
      <c r="E758">
        <v>7</v>
      </c>
    </row>
    <row r="759" spans="1:5" x14ac:dyDescent="0.25">
      <c r="A759" t="s">
        <v>8</v>
      </c>
      <c r="B759" t="s">
        <v>129</v>
      </c>
      <c r="C759" t="s">
        <v>386</v>
      </c>
      <c r="D759">
        <v>42022</v>
      </c>
      <c r="E759">
        <v>2</v>
      </c>
    </row>
    <row r="760" spans="1:5" x14ac:dyDescent="0.25">
      <c r="A760" t="s">
        <v>21</v>
      </c>
      <c r="B760" t="s">
        <v>169</v>
      </c>
      <c r="C760" t="s">
        <v>387</v>
      </c>
      <c r="D760">
        <v>22156</v>
      </c>
      <c r="E760">
        <v>9</v>
      </c>
    </row>
    <row r="761" spans="1:5" x14ac:dyDescent="0.25">
      <c r="A761" t="s">
        <v>16</v>
      </c>
      <c r="B761" t="s">
        <v>30</v>
      </c>
      <c r="C761" t="s">
        <v>388</v>
      </c>
      <c r="D761">
        <v>82360</v>
      </c>
      <c r="E761">
        <v>3</v>
      </c>
    </row>
    <row r="762" spans="1:5" x14ac:dyDescent="0.25">
      <c r="A762" t="s">
        <v>38</v>
      </c>
      <c r="B762" t="s">
        <v>22</v>
      </c>
      <c r="C762" t="s">
        <v>388</v>
      </c>
      <c r="D762">
        <v>10982</v>
      </c>
      <c r="E762">
        <v>0</v>
      </c>
    </row>
    <row r="763" spans="1:5" x14ac:dyDescent="0.25">
      <c r="A763" t="s">
        <v>43</v>
      </c>
      <c r="B763" t="s">
        <v>139</v>
      </c>
      <c r="C763" t="s">
        <v>388</v>
      </c>
      <c r="D763">
        <v>22105</v>
      </c>
      <c r="E763">
        <v>10</v>
      </c>
    </row>
    <row r="764" spans="1:5" x14ac:dyDescent="0.25">
      <c r="A764" t="s">
        <v>55</v>
      </c>
      <c r="B764" t="s">
        <v>15</v>
      </c>
      <c r="C764" t="s">
        <v>388</v>
      </c>
      <c r="D764">
        <v>58207</v>
      </c>
      <c r="E764">
        <v>10</v>
      </c>
    </row>
    <row r="765" spans="1:5" x14ac:dyDescent="0.25">
      <c r="A765" t="s">
        <v>8</v>
      </c>
      <c r="B765" t="s">
        <v>220</v>
      </c>
      <c r="C765" t="s">
        <v>388</v>
      </c>
      <c r="D765">
        <v>65098</v>
      </c>
      <c r="E765">
        <v>5</v>
      </c>
    </row>
    <row r="766" spans="1:5" x14ac:dyDescent="0.25">
      <c r="A766" t="s">
        <v>55</v>
      </c>
      <c r="B766" t="s">
        <v>125</v>
      </c>
      <c r="C766" t="s">
        <v>388</v>
      </c>
      <c r="D766">
        <v>72780</v>
      </c>
      <c r="E766">
        <v>6</v>
      </c>
    </row>
    <row r="767" spans="1:5" x14ac:dyDescent="0.25">
      <c r="A767" t="s">
        <v>16</v>
      </c>
      <c r="B767" t="s">
        <v>295</v>
      </c>
      <c r="C767" t="s">
        <v>388</v>
      </c>
      <c r="D767">
        <v>24222</v>
      </c>
      <c r="E767">
        <v>7</v>
      </c>
    </row>
    <row r="768" spans="1:5" x14ac:dyDescent="0.25">
      <c r="A768" t="s">
        <v>13</v>
      </c>
      <c r="B768" t="s">
        <v>15</v>
      </c>
      <c r="C768" t="s">
        <v>388</v>
      </c>
      <c r="D768">
        <v>31005</v>
      </c>
      <c r="E768">
        <v>8</v>
      </c>
    </row>
    <row r="769" spans="1:5" x14ac:dyDescent="0.25">
      <c r="A769" t="s">
        <v>8</v>
      </c>
      <c r="B769" t="s">
        <v>109</v>
      </c>
      <c r="C769" t="s">
        <v>388</v>
      </c>
      <c r="D769">
        <v>55900</v>
      </c>
      <c r="E769">
        <v>7</v>
      </c>
    </row>
    <row r="770" spans="1:5" x14ac:dyDescent="0.25">
      <c r="A770" t="s">
        <v>19</v>
      </c>
      <c r="B770" t="s">
        <v>136</v>
      </c>
      <c r="C770" t="s">
        <v>388</v>
      </c>
      <c r="D770">
        <v>17650</v>
      </c>
      <c r="E770">
        <v>6</v>
      </c>
    </row>
    <row r="771" spans="1:5" x14ac:dyDescent="0.25">
      <c r="A771" t="s">
        <v>5</v>
      </c>
      <c r="B771" t="s">
        <v>121</v>
      </c>
      <c r="C771" t="s">
        <v>389</v>
      </c>
      <c r="D771">
        <v>83323</v>
      </c>
      <c r="E771">
        <v>7</v>
      </c>
    </row>
    <row r="772" spans="1:5" x14ac:dyDescent="0.25">
      <c r="A772" t="s">
        <v>43</v>
      </c>
      <c r="B772" t="s">
        <v>125</v>
      </c>
      <c r="C772" t="s">
        <v>389</v>
      </c>
      <c r="D772">
        <v>15731</v>
      </c>
      <c r="E772">
        <v>7</v>
      </c>
    </row>
    <row r="773" spans="1:5" x14ac:dyDescent="0.25">
      <c r="A773" t="s">
        <v>19</v>
      </c>
      <c r="B773" t="s">
        <v>193</v>
      </c>
      <c r="C773" t="s">
        <v>389</v>
      </c>
      <c r="D773">
        <v>22738</v>
      </c>
      <c r="E773">
        <v>5</v>
      </c>
    </row>
    <row r="774" spans="1:5" x14ac:dyDescent="0.25">
      <c r="A774" t="s">
        <v>21</v>
      </c>
      <c r="B774" t="s">
        <v>167</v>
      </c>
      <c r="C774" t="s">
        <v>389</v>
      </c>
      <c r="D774">
        <v>59223</v>
      </c>
      <c r="E774">
        <v>7</v>
      </c>
    </row>
    <row r="775" spans="1:5" x14ac:dyDescent="0.25">
      <c r="A775" t="s">
        <v>43</v>
      </c>
      <c r="B775" t="s">
        <v>294</v>
      </c>
      <c r="C775" t="s">
        <v>390</v>
      </c>
      <c r="D775">
        <v>13239</v>
      </c>
      <c r="E775">
        <v>7</v>
      </c>
    </row>
    <row r="776" spans="1:5" x14ac:dyDescent="0.25">
      <c r="A776" t="s">
        <v>11</v>
      </c>
      <c r="B776" t="s">
        <v>92</v>
      </c>
      <c r="C776" t="s">
        <v>390</v>
      </c>
      <c r="D776">
        <v>90147</v>
      </c>
      <c r="E776">
        <v>7</v>
      </c>
    </row>
    <row r="777" spans="1:5" x14ac:dyDescent="0.25">
      <c r="A777" t="s">
        <v>11</v>
      </c>
      <c r="B777" t="s">
        <v>172</v>
      </c>
      <c r="C777" t="s">
        <v>391</v>
      </c>
      <c r="D777">
        <v>97563</v>
      </c>
      <c r="E777">
        <v>10</v>
      </c>
    </row>
    <row r="778" spans="1:5" x14ac:dyDescent="0.25">
      <c r="A778" t="s">
        <v>16</v>
      </c>
      <c r="B778" t="s">
        <v>178</v>
      </c>
      <c r="C778" t="s">
        <v>391</v>
      </c>
      <c r="D778">
        <v>19067</v>
      </c>
      <c r="E778">
        <v>8</v>
      </c>
    </row>
    <row r="779" spans="1:5" x14ac:dyDescent="0.25">
      <c r="A779" t="s">
        <v>29</v>
      </c>
      <c r="B779" t="s">
        <v>30</v>
      </c>
      <c r="C779" t="s">
        <v>391</v>
      </c>
      <c r="D779">
        <v>19364</v>
      </c>
      <c r="E779">
        <v>3</v>
      </c>
    </row>
    <row r="780" spans="1:5" x14ac:dyDescent="0.25">
      <c r="A780" t="s">
        <v>11</v>
      </c>
      <c r="B780" t="s">
        <v>392</v>
      </c>
      <c r="C780" t="s">
        <v>391</v>
      </c>
      <c r="D780">
        <v>54403</v>
      </c>
      <c r="E780">
        <v>5</v>
      </c>
    </row>
    <row r="781" spans="1:5" x14ac:dyDescent="0.25">
      <c r="A781" t="s">
        <v>11</v>
      </c>
      <c r="B781" t="s">
        <v>76</v>
      </c>
      <c r="C781" t="s">
        <v>393</v>
      </c>
      <c r="D781">
        <v>38084</v>
      </c>
      <c r="E781">
        <v>10</v>
      </c>
    </row>
    <row r="782" spans="1:5" x14ac:dyDescent="0.25">
      <c r="A782" t="s">
        <v>13</v>
      </c>
      <c r="B782" t="s">
        <v>64</v>
      </c>
      <c r="C782" t="s">
        <v>393</v>
      </c>
      <c r="D782">
        <v>33668</v>
      </c>
      <c r="E782">
        <v>9</v>
      </c>
    </row>
    <row r="783" spans="1:5" x14ac:dyDescent="0.25">
      <c r="A783" t="s">
        <v>8</v>
      </c>
      <c r="B783" t="s">
        <v>126</v>
      </c>
      <c r="C783" t="s">
        <v>394</v>
      </c>
      <c r="D783">
        <v>46207</v>
      </c>
      <c r="E783">
        <v>8</v>
      </c>
    </row>
    <row r="784" spans="1:5" x14ac:dyDescent="0.25">
      <c r="A784" t="s">
        <v>19</v>
      </c>
      <c r="B784" t="s">
        <v>295</v>
      </c>
      <c r="C784" t="s">
        <v>394</v>
      </c>
      <c r="D784">
        <v>37976</v>
      </c>
      <c r="E784">
        <v>5</v>
      </c>
    </row>
    <row r="785" spans="1:5" x14ac:dyDescent="0.25">
      <c r="A785" t="s">
        <v>19</v>
      </c>
      <c r="B785" t="s">
        <v>104</v>
      </c>
      <c r="C785" t="s">
        <v>394</v>
      </c>
      <c r="D785">
        <v>58974</v>
      </c>
      <c r="E785">
        <v>9</v>
      </c>
    </row>
    <row r="786" spans="1:5" x14ac:dyDescent="0.25">
      <c r="A786" t="s">
        <v>43</v>
      </c>
      <c r="B786" t="s">
        <v>160</v>
      </c>
      <c r="C786" t="s">
        <v>394</v>
      </c>
      <c r="D786">
        <v>92866</v>
      </c>
      <c r="E786">
        <v>10</v>
      </c>
    </row>
    <row r="787" spans="1:5" x14ac:dyDescent="0.25">
      <c r="A787" t="s">
        <v>8</v>
      </c>
      <c r="B787" t="s">
        <v>232</v>
      </c>
      <c r="C787" t="s">
        <v>394</v>
      </c>
      <c r="D787">
        <v>60402</v>
      </c>
      <c r="E787">
        <v>3</v>
      </c>
    </row>
    <row r="788" spans="1:5" x14ac:dyDescent="0.25">
      <c r="A788" t="s">
        <v>5</v>
      </c>
      <c r="B788" t="s">
        <v>65</v>
      </c>
      <c r="C788" t="s">
        <v>394</v>
      </c>
      <c r="D788">
        <v>20233</v>
      </c>
      <c r="E788">
        <v>1</v>
      </c>
    </row>
    <row r="789" spans="1:5" x14ac:dyDescent="0.25">
      <c r="A789" t="s">
        <v>38</v>
      </c>
      <c r="B789" t="s">
        <v>114</v>
      </c>
      <c r="C789" t="s">
        <v>394</v>
      </c>
      <c r="D789">
        <v>84964</v>
      </c>
      <c r="E789">
        <v>7</v>
      </c>
    </row>
    <row r="790" spans="1:5" x14ac:dyDescent="0.25">
      <c r="A790" t="s">
        <v>29</v>
      </c>
      <c r="B790" t="s">
        <v>88</v>
      </c>
      <c r="C790" t="s">
        <v>395</v>
      </c>
      <c r="D790">
        <v>13838</v>
      </c>
      <c r="E790">
        <v>9</v>
      </c>
    </row>
    <row r="791" spans="1:5" x14ac:dyDescent="0.25">
      <c r="A791" t="s">
        <v>8</v>
      </c>
      <c r="B791" t="s">
        <v>33</v>
      </c>
      <c r="C791" t="s">
        <v>395</v>
      </c>
      <c r="D791">
        <v>82991</v>
      </c>
      <c r="E791">
        <v>9</v>
      </c>
    </row>
    <row r="792" spans="1:5" x14ac:dyDescent="0.25">
      <c r="A792" t="s">
        <v>21</v>
      </c>
      <c r="B792" t="s">
        <v>169</v>
      </c>
      <c r="C792" t="s">
        <v>395</v>
      </c>
      <c r="D792">
        <v>10734</v>
      </c>
      <c r="E792">
        <v>9</v>
      </c>
    </row>
    <row r="793" spans="1:5" x14ac:dyDescent="0.25">
      <c r="A793" t="s">
        <v>8</v>
      </c>
      <c r="B793" t="s">
        <v>206</v>
      </c>
      <c r="C793" t="s">
        <v>395</v>
      </c>
      <c r="D793">
        <v>48259</v>
      </c>
      <c r="E793">
        <v>6</v>
      </c>
    </row>
    <row r="794" spans="1:5" x14ac:dyDescent="0.25">
      <c r="A794" t="s">
        <v>55</v>
      </c>
      <c r="B794" t="s">
        <v>22</v>
      </c>
      <c r="C794" t="s">
        <v>395</v>
      </c>
      <c r="D794">
        <v>68684</v>
      </c>
      <c r="E794">
        <v>8</v>
      </c>
    </row>
    <row r="795" spans="1:5" x14ac:dyDescent="0.25">
      <c r="A795" t="s">
        <v>16</v>
      </c>
      <c r="B795" t="s">
        <v>149</v>
      </c>
      <c r="C795" t="s">
        <v>396</v>
      </c>
      <c r="D795">
        <v>27864</v>
      </c>
      <c r="E795">
        <v>2</v>
      </c>
    </row>
    <row r="796" spans="1:5" x14ac:dyDescent="0.25">
      <c r="A796" t="s">
        <v>8</v>
      </c>
      <c r="B796" t="s">
        <v>92</v>
      </c>
      <c r="C796" t="s">
        <v>397</v>
      </c>
      <c r="D796">
        <v>46046</v>
      </c>
      <c r="E796">
        <v>5</v>
      </c>
    </row>
    <row r="797" spans="1:5" x14ac:dyDescent="0.25">
      <c r="A797" t="s">
        <v>19</v>
      </c>
      <c r="B797" t="s">
        <v>172</v>
      </c>
      <c r="C797" t="s">
        <v>397</v>
      </c>
      <c r="D797">
        <v>16640</v>
      </c>
      <c r="E797">
        <v>9</v>
      </c>
    </row>
    <row r="798" spans="1:5" x14ac:dyDescent="0.25">
      <c r="A798" t="s">
        <v>5</v>
      </c>
      <c r="B798" t="s">
        <v>216</v>
      </c>
      <c r="C798" t="s">
        <v>397</v>
      </c>
      <c r="D798">
        <v>11671</v>
      </c>
      <c r="E798">
        <v>8</v>
      </c>
    </row>
    <row r="799" spans="1:5" x14ac:dyDescent="0.25">
      <c r="A799" t="s">
        <v>13</v>
      </c>
      <c r="B799" t="s">
        <v>58</v>
      </c>
      <c r="C799" t="s">
        <v>397</v>
      </c>
      <c r="D799">
        <v>35397</v>
      </c>
      <c r="E799">
        <v>9</v>
      </c>
    </row>
    <row r="800" spans="1:5" x14ac:dyDescent="0.25">
      <c r="A800" t="s">
        <v>19</v>
      </c>
      <c r="B800" t="s">
        <v>30</v>
      </c>
      <c r="C800" t="s">
        <v>397</v>
      </c>
      <c r="D800">
        <v>90582</v>
      </c>
      <c r="E800">
        <v>7</v>
      </c>
    </row>
    <row r="801" spans="1:5" x14ac:dyDescent="0.25">
      <c r="A801" t="s">
        <v>21</v>
      </c>
      <c r="B801" t="s">
        <v>188</v>
      </c>
      <c r="C801" t="s">
        <v>398</v>
      </c>
      <c r="D801">
        <v>82782</v>
      </c>
      <c r="E801">
        <v>8</v>
      </c>
    </row>
    <row r="802" spans="1:5" x14ac:dyDescent="0.25">
      <c r="A802" t="s">
        <v>19</v>
      </c>
      <c r="B802" t="s">
        <v>160</v>
      </c>
      <c r="C802" t="s">
        <v>398</v>
      </c>
      <c r="D802">
        <v>92178</v>
      </c>
      <c r="E802">
        <v>5</v>
      </c>
    </row>
    <row r="803" spans="1:5" x14ac:dyDescent="0.25">
      <c r="A803" t="s">
        <v>26</v>
      </c>
      <c r="B803" t="s">
        <v>121</v>
      </c>
      <c r="C803" t="s">
        <v>399</v>
      </c>
      <c r="D803">
        <v>74563</v>
      </c>
      <c r="E803">
        <v>3</v>
      </c>
    </row>
    <row r="804" spans="1:5" x14ac:dyDescent="0.25">
      <c r="A804" t="s">
        <v>38</v>
      </c>
      <c r="B804" t="s">
        <v>400</v>
      </c>
      <c r="C804" t="s">
        <v>399</v>
      </c>
      <c r="D804">
        <v>41998</v>
      </c>
      <c r="E804">
        <v>7</v>
      </c>
    </row>
    <row r="805" spans="1:5" x14ac:dyDescent="0.25">
      <c r="A805" t="s">
        <v>19</v>
      </c>
      <c r="B805" t="s">
        <v>88</v>
      </c>
      <c r="C805" t="s">
        <v>399</v>
      </c>
      <c r="D805">
        <v>90303</v>
      </c>
      <c r="E805">
        <v>2</v>
      </c>
    </row>
    <row r="806" spans="1:5" x14ac:dyDescent="0.25">
      <c r="A806" t="s">
        <v>13</v>
      </c>
      <c r="B806" t="s">
        <v>144</v>
      </c>
      <c r="C806" t="s">
        <v>401</v>
      </c>
      <c r="D806">
        <v>24808</v>
      </c>
      <c r="E806">
        <v>6</v>
      </c>
    </row>
    <row r="807" spans="1:5" x14ac:dyDescent="0.25">
      <c r="A807" t="s">
        <v>8</v>
      </c>
      <c r="B807" t="s">
        <v>272</v>
      </c>
      <c r="C807" t="s">
        <v>401</v>
      </c>
      <c r="D807">
        <v>56414</v>
      </c>
      <c r="E807">
        <v>9</v>
      </c>
    </row>
    <row r="808" spans="1:5" x14ac:dyDescent="0.25">
      <c r="A808" t="s">
        <v>11</v>
      </c>
      <c r="B808" t="s">
        <v>246</v>
      </c>
      <c r="C808" t="s">
        <v>401</v>
      </c>
      <c r="D808">
        <v>97521</v>
      </c>
      <c r="E808">
        <v>8</v>
      </c>
    </row>
    <row r="809" spans="1:5" x14ac:dyDescent="0.25">
      <c r="A809" t="s">
        <v>55</v>
      </c>
      <c r="B809" t="s">
        <v>160</v>
      </c>
      <c r="C809" t="s">
        <v>402</v>
      </c>
      <c r="D809">
        <v>15824</v>
      </c>
      <c r="E809">
        <v>7</v>
      </c>
    </row>
    <row r="810" spans="1:5" x14ac:dyDescent="0.25">
      <c r="A810" t="s">
        <v>5</v>
      </c>
      <c r="B810" t="s">
        <v>102</v>
      </c>
      <c r="C810" t="s">
        <v>403</v>
      </c>
      <c r="D810">
        <v>31653</v>
      </c>
      <c r="E810">
        <v>6</v>
      </c>
    </row>
    <row r="811" spans="1:5" x14ac:dyDescent="0.25">
      <c r="A811" t="s">
        <v>11</v>
      </c>
      <c r="B811" t="s">
        <v>98</v>
      </c>
      <c r="C811" t="s">
        <v>403</v>
      </c>
      <c r="D811">
        <v>78500</v>
      </c>
      <c r="E811">
        <v>8</v>
      </c>
    </row>
    <row r="812" spans="1:5" x14ac:dyDescent="0.25">
      <c r="A812" t="s">
        <v>21</v>
      </c>
      <c r="B812" t="s">
        <v>400</v>
      </c>
      <c r="C812" t="s">
        <v>403</v>
      </c>
      <c r="D812">
        <v>87386</v>
      </c>
      <c r="E812">
        <v>8</v>
      </c>
    </row>
    <row r="813" spans="1:5" x14ac:dyDescent="0.25">
      <c r="A813" t="s">
        <v>21</v>
      </c>
      <c r="B813" t="s">
        <v>138</v>
      </c>
      <c r="C813" t="s">
        <v>403</v>
      </c>
      <c r="D813">
        <v>88840</v>
      </c>
      <c r="E813">
        <v>5</v>
      </c>
    </row>
    <row r="814" spans="1:5" x14ac:dyDescent="0.25">
      <c r="A814" t="s">
        <v>19</v>
      </c>
      <c r="B814" t="s">
        <v>193</v>
      </c>
      <c r="C814" t="s">
        <v>404</v>
      </c>
      <c r="D814">
        <v>91085</v>
      </c>
      <c r="E814">
        <v>8</v>
      </c>
    </row>
    <row r="815" spans="1:5" x14ac:dyDescent="0.25">
      <c r="A815" t="s">
        <v>16</v>
      </c>
      <c r="B815" t="s">
        <v>193</v>
      </c>
      <c r="C815" t="s">
        <v>404</v>
      </c>
      <c r="D815">
        <v>36317</v>
      </c>
      <c r="E815">
        <v>8</v>
      </c>
    </row>
    <row r="816" spans="1:5" x14ac:dyDescent="0.25">
      <c r="A816" t="s">
        <v>11</v>
      </c>
      <c r="B816" t="s">
        <v>211</v>
      </c>
      <c r="C816" t="s">
        <v>404</v>
      </c>
      <c r="D816">
        <v>18444</v>
      </c>
      <c r="E816">
        <v>6</v>
      </c>
    </row>
    <row r="817" spans="1:5" x14ac:dyDescent="0.25">
      <c r="A817" t="s">
        <v>43</v>
      </c>
      <c r="B817" t="s">
        <v>30</v>
      </c>
      <c r="C817" t="s">
        <v>404</v>
      </c>
      <c r="D817">
        <v>58135</v>
      </c>
      <c r="E817">
        <v>8</v>
      </c>
    </row>
    <row r="818" spans="1:5" x14ac:dyDescent="0.25">
      <c r="A818" t="s">
        <v>13</v>
      </c>
      <c r="B818" t="s">
        <v>405</v>
      </c>
      <c r="C818" t="s">
        <v>404</v>
      </c>
      <c r="D818">
        <v>94842</v>
      </c>
      <c r="E818">
        <v>8</v>
      </c>
    </row>
    <row r="819" spans="1:5" x14ac:dyDescent="0.25">
      <c r="A819" t="s">
        <v>11</v>
      </c>
      <c r="B819" t="s">
        <v>176</v>
      </c>
      <c r="C819" t="s">
        <v>404</v>
      </c>
      <c r="D819">
        <v>50646</v>
      </c>
      <c r="E819">
        <v>5</v>
      </c>
    </row>
    <row r="820" spans="1:5" x14ac:dyDescent="0.25">
      <c r="A820" t="s">
        <v>16</v>
      </c>
      <c r="B820" t="s">
        <v>257</v>
      </c>
      <c r="C820" t="s">
        <v>404</v>
      </c>
      <c r="D820">
        <v>81603</v>
      </c>
      <c r="E820">
        <v>7</v>
      </c>
    </row>
    <row r="821" spans="1:5" x14ac:dyDescent="0.25">
      <c r="A821" t="s">
        <v>43</v>
      </c>
      <c r="B821" t="s">
        <v>121</v>
      </c>
      <c r="C821" t="s">
        <v>404</v>
      </c>
      <c r="D821">
        <v>46072</v>
      </c>
      <c r="E821">
        <v>4</v>
      </c>
    </row>
    <row r="822" spans="1:5" x14ac:dyDescent="0.25">
      <c r="A822" t="s">
        <v>13</v>
      </c>
      <c r="B822" t="s">
        <v>100</v>
      </c>
      <c r="C822" t="s">
        <v>404</v>
      </c>
      <c r="D822">
        <v>64158</v>
      </c>
      <c r="E822">
        <v>8</v>
      </c>
    </row>
    <row r="823" spans="1:5" x14ac:dyDescent="0.25">
      <c r="A823" t="s">
        <v>5</v>
      </c>
      <c r="B823" t="s">
        <v>121</v>
      </c>
      <c r="C823" t="s">
        <v>404</v>
      </c>
      <c r="D823">
        <v>59314</v>
      </c>
      <c r="E823">
        <v>5</v>
      </c>
    </row>
    <row r="824" spans="1:5" x14ac:dyDescent="0.25">
      <c r="A824" t="s">
        <v>13</v>
      </c>
      <c r="B824" t="s">
        <v>311</v>
      </c>
      <c r="C824" t="s">
        <v>404</v>
      </c>
      <c r="D824">
        <v>99514</v>
      </c>
      <c r="E824">
        <v>9</v>
      </c>
    </row>
    <row r="825" spans="1:5" x14ac:dyDescent="0.25">
      <c r="A825" t="s">
        <v>11</v>
      </c>
      <c r="B825" t="s">
        <v>165</v>
      </c>
      <c r="C825" t="s">
        <v>404</v>
      </c>
      <c r="D825">
        <v>94890</v>
      </c>
      <c r="E825">
        <v>7</v>
      </c>
    </row>
    <row r="826" spans="1:5" x14ac:dyDescent="0.25">
      <c r="A826" t="s">
        <v>11</v>
      </c>
      <c r="B826" t="s">
        <v>98</v>
      </c>
      <c r="C826" t="s">
        <v>404</v>
      </c>
      <c r="D826">
        <v>62692</v>
      </c>
      <c r="E826">
        <v>10</v>
      </c>
    </row>
    <row r="827" spans="1:5" x14ac:dyDescent="0.25">
      <c r="A827" t="s">
        <v>55</v>
      </c>
      <c r="B827" t="s">
        <v>105</v>
      </c>
      <c r="C827" t="s">
        <v>406</v>
      </c>
      <c r="D827">
        <v>98943</v>
      </c>
      <c r="E827">
        <v>5</v>
      </c>
    </row>
    <row r="828" spans="1:5" x14ac:dyDescent="0.25">
      <c r="A828" t="s">
        <v>16</v>
      </c>
      <c r="B828" t="s">
        <v>232</v>
      </c>
      <c r="C828" t="s">
        <v>407</v>
      </c>
      <c r="D828">
        <v>56871</v>
      </c>
      <c r="E828">
        <v>9</v>
      </c>
    </row>
    <row r="829" spans="1:5" x14ac:dyDescent="0.25">
      <c r="A829" t="s">
        <v>16</v>
      </c>
      <c r="B829" t="s">
        <v>88</v>
      </c>
      <c r="C829" t="s">
        <v>407</v>
      </c>
      <c r="D829">
        <v>35734</v>
      </c>
      <c r="E829">
        <v>8</v>
      </c>
    </row>
    <row r="830" spans="1:5" x14ac:dyDescent="0.25">
      <c r="A830" t="s">
        <v>43</v>
      </c>
      <c r="B830" t="s">
        <v>118</v>
      </c>
      <c r="C830" t="s">
        <v>407</v>
      </c>
      <c r="D830">
        <v>36292</v>
      </c>
      <c r="E830">
        <v>7</v>
      </c>
    </row>
    <row r="831" spans="1:5" x14ac:dyDescent="0.25">
      <c r="A831" t="s">
        <v>5</v>
      </c>
      <c r="B831" t="s">
        <v>109</v>
      </c>
      <c r="C831" t="s">
        <v>407</v>
      </c>
      <c r="D831">
        <v>89192</v>
      </c>
      <c r="E831">
        <v>6</v>
      </c>
    </row>
    <row r="832" spans="1:5" x14ac:dyDescent="0.25">
      <c r="A832" t="s">
        <v>38</v>
      </c>
      <c r="B832" t="s">
        <v>96</v>
      </c>
      <c r="C832" t="s">
        <v>408</v>
      </c>
      <c r="D832">
        <v>47962</v>
      </c>
      <c r="E832">
        <v>4</v>
      </c>
    </row>
    <row r="833" spans="1:5" x14ac:dyDescent="0.25">
      <c r="A833" t="s">
        <v>13</v>
      </c>
      <c r="B833" t="s">
        <v>234</v>
      </c>
      <c r="C833" t="s">
        <v>408</v>
      </c>
      <c r="D833">
        <v>55510</v>
      </c>
      <c r="E833">
        <v>7</v>
      </c>
    </row>
    <row r="834" spans="1:5" x14ac:dyDescent="0.25">
      <c r="A834" t="s">
        <v>16</v>
      </c>
      <c r="B834" t="s">
        <v>111</v>
      </c>
      <c r="C834" t="s">
        <v>409</v>
      </c>
      <c r="D834">
        <v>28056</v>
      </c>
      <c r="E834">
        <v>6</v>
      </c>
    </row>
    <row r="835" spans="1:5" x14ac:dyDescent="0.25">
      <c r="A835" t="s">
        <v>29</v>
      </c>
      <c r="B835" t="s">
        <v>410</v>
      </c>
      <c r="C835" t="s">
        <v>409</v>
      </c>
      <c r="D835">
        <v>17664</v>
      </c>
      <c r="E835">
        <v>4</v>
      </c>
    </row>
    <row r="836" spans="1:5" x14ac:dyDescent="0.25">
      <c r="A836" t="s">
        <v>38</v>
      </c>
      <c r="B836" t="s">
        <v>253</v>
      </c>
      <c r="C836" t="s">
        <v>409</v>
      </c>
      <c r="D836">
        <v>40478</v>
      </c>
      <c r="E836">
        <v>3</v>
      </c>
    </row>
    <row r="837" spans="1:5" x14ac:dyDescent="0.25">
      <c r="A837" t="s">
        <v>43</v>
      </c>
      <c r="B837" t="s">
        <v>411</v>
      </c>
      <c r="C837" t="s">
        <v>409</v>
      </c>
      <c r="D837">
        <v>20957</v>
      </c>
      <c r="E837">
        <v>9</v>
      </c>
    </row>
    <row r="838" spans="1:5" x14ac:dyDescent="0.25">
      <c r="A838" t="s">
        <v>21</v>
      </c>
      <c r="B838" t="s">
        <v>126</v>
      </c>
      <c r="C838" t="s">
        <v>409</v>
      </c>
      <c r="D838">
        <v>68070</v>
      </c>
      <c r="E838">
        <v>8</v>
      </c>
    </row>
    <row r="839" spans="1:5" x14ac:dyDescent="0.25">
      <c r="A839" t="s">
        <v>29</v>
      </c>
      <c r="B839" t="s">
        <v>202</v>
      </c>
      <c r="C839" t="s">
        <v>409</v>
      </c>
      <c r="D839">
        <v>76545</v>
      </c>
      <c r="E839">
        <v>2</v>
      </c>
    </row>
    <row r="840" spans="1:5" x14ac:dyDescent="0.25">
      <c r="A840" t="s">
        <v>13</v>
      </c>
      <c r="B840" t="s">
        <v>116</v>
      </c>
      <c r="C840" t="s">
        <v>409</v>
      </c>
      <c r="D840">
        <v>97242</v>
      </c>
      <c r="E840">
        <v>10</v>
      </c>
    </row>
    <row r="841" spans="1:5" x14ac:dyDescent="0.25">
      <c r="A841" t="s">
        <v>29</v>
      </c>
      <c r="B841" t="s">
        <v>44</v>
      </c>
      <c r="C841" t="s">
        <v>409</v>
      </c>
      <c r="D841">
        <v>34310</v>
      </c>
      <c r="E841">
        <v>7</v>
      </c>
    </row>
    <row r="842" spans="1:5" x14ac:dyDescent="0.25">
      <c r="A842" t="s">
        <v>21</v>
      </c>
      <c r="B842" t="s">
        <v>209</v>
      </c>
      <c r="C842" t="s">
        <v>409</v>
      </c>
      <c r="D842">
        <v>59898</v>
      </c>
      <c r="E842">
        <v>8</v>
      </c>
    </row>
    <row r="843" spans="1:5" x14ac:dyDescent="0.25">
      <c r="A843" t="s">
        <v>29</v>
      </c>
      <c r="B843" t="s">
        <v>119</v>
      </c>
      <c r="C843" t="s">
        <v>412</v>
      </c>
      <c r="D843">
        <v>66661</v>
      </c>
      <c r="E843">
        <v>10</v>
      </c>
    </row>
    <row r="844" spans="1:5" x14ac:dyDescent="0.25">
      <c r="A844" t="s">
        <v>5</v>
      </c>
      <c r="B844" t="s">
        <v>221</v>
      </c>
      <c r="C844" t="s">
        <v>412</v>
      </c>
      <c r="D844">
        <v>60518</v>
      </c>
      <c r="E844">
        <v>8</v>
      </c>
    </row>
    <row r="845" spans="1:5" x14ac:dyDescent="0.25">
      <c r="A845" t="s">
        <v>38</v>
      </c>
      <c r="B845" t="s">
        <v>54</v>
      </c>
      <c r="C845" t="s">
        <v>412</v>
      </c>
      <c r="D845">
        <v>89390</v>
      </c>
      <c r="E845">
        <v>3</v>
      </c>
    </row>
    <row r="846" spans="1:5" x14ac:dyDescent="0.25">
      <c r="A846" t="s">
        <v>16</v>
      </c>
      <c r="B846" t="s">
        <v>118</v>
      </c>
      <c r="C846" t="s">
        <v>412</v>
      </c>
      <c r="D846">
        <v>36754</v>
      </c>
      <c r="E846">
        <v>7</v>
      </c>
    </row>
    <row r="847" spans="1:5" x14ac:dyDescent="0.25">
      <c r="A847" t="s">
        <v>16</v>
      </c>
      <c r="B847" t="s">
        <v>84</v>
      </c>
      <c r="C847" t="s">
        <v>412</v>
      </c>
      <c r="D847">
        <v>95281</v>
      </c>
      <c r="E847">
        <v>8</v>
      </c>
    </row>
    <row r="848" spans="1:5" x14ac:dyDescent="0.25">
      <c r="A848" t="s">
        <v>21</v>
      </c>
      <c r="B848" t="s">
        <v>24</v>
      </c>
      <c r="C848" t="s">
        <v>412</v>
      </c>
      <c r="D848">
        <v>69201</v>
      </c>
      <c r="E848">
        <v>4</v>
      </c>
    </row>
    <row r="849" spans="1:5" x14ac:dyDescent="0.25">
      <c r="A849" t="s">
        <v>19</v>
      </c>
      <c r="B849" t="s">
        <v>148</v>
      </c>
      <c r="C849" t="s">
        <v>412</v>
      </c>
      <c r="D849">
        <v>50033</v>
      </c>
      <c r="E849">
        <v>2</v>
      </c>
    </row>
    <row r="850" spans="1:5" x14ac:dyDescent="0.25">
      <c r="A850" t="s">
        <v>19</v>
      </c>
      <c r="B850" t="s">
        <v>234</v>
      </c>
      <c r="C850" t="s">
        <v>412</v>
      </c>
      <c r="D850">
        <v>17280</v>
      </c>
      <c r="E850">
        <v>7</v>
      </c>
    </row>
    <row r="851" spans="1:5" x14ac:dyDescent="0.25">
      <c r="A851" t="s">
        <v>13</v>
      </c>
      <c r="B851" t="s">
        <v>144</v>
      </c>
      <c r="C851" t="s">
        <v>413</v>
      </c>
      <c r="D851">
        <v>31493</v>
      </c>
      <c r="E851">
        <v>7</v>
      </c>
    </row>
    <row r="852" spans="1:5" x14ac:dyDescent="0.25">
      <c r="A852" t="s">
        <v>19</v>
      </c>
      <c r="B852" t="s">
        <v>169</v>
      </c>
      <c r="C852" t="s">
        <v>413</v>
      </c>
      <c r="D852">
        <v>66043</v>
      </c>
      <c r="E852">
        <v>8</v>
      </c>
    </row>
    <row r="853" spans="1:5" x14ac:dyDescent="0.25">
      <c r="A853" t="s">
        <v>55</v>
      </c>
      <c r="B853" t="s">
        <v>46</v>
      </c>
      <c r="C853" t="s">
        <v>414</v>
      </c>
      <c r="D853">
        <v>68511</v>
      </c>
      <c r="E853">
        <v>8</v>
      </c>
    </row>
    <row r="854" spans="1:5" x14ac:dyDescent="0.25">
      <c r="A854" t="s">
        <v>19</v>
      </c>
      <c r="B854" t="s">
        <v>73</v>
      </c>
      <c r="C854" t="s">
        <v>415</v>
      </c>
      <c r="D854">
        <v>48879</v>
      </c>
      <c r="E854">
        <v>9</v>
      </c>
    </row>
    <row r="855" spans="1:5" x14ac:dyDescent="0.25">
      <c r="A855" t="s">
        <v>26</v>
      </c>
      <c r="B855" t="s">
        <v>42</v>
      </c>
      <c r="C855" t="s">
        <v>415</v>
      </c>
      <c r="D855">
        <v>81370</v>
      </c>
      <c r="E855">
        <v>9</v>
      </c>
    </row>
    <row r="856" spans="1:5" x14ac:dyDescent="0.25">
      <c r="A856" t="s">
        <v>55</v>
      </c>
      <c r="B856" t="s">
        <v>328</v>
      </c>
      <c r="C856" t="s">
        <v>415</v>
      </c>
      <c r="D856">
        <v>38697</v>
      </c>
      <c r="E856">
        <v>1</v>
      </c>
    </row>
    <row r="857" spans="1:5" x14ac:dyDescent="0.25">
      <c r="A857" t="s">
        <v>38</v>
      </c>
      <c r="B857" t="s">
        <v>87</v>
      </c>
      <c r="C857" t="s">
        <v>416</v>
      </c>
      <c r="D857">
        <v>79184</v>
      </c>
      <c r="E857">
        <v>4</v>
      </c>
    </row>
    <row r="858" spans="1:5" x14ac:dyDescent="0.25">
      <c r="A858" t="s">
        <v>5</v>
      </c>
      <c r="B858" t="s">
        <v>158</v>
      </c>
      <c r="C858" t="s">
        <v>416</v>
      </c>
      <c r="D858">
        <v>67335</v>
      </c>
      <c r="E858">
        <v>7</v>
      </c>
    </row>
    <row r="859" spans="1:5" x14ac:dyDescent="0.25">
      <c r="A859" t="s">
        <v>19</v>
      </c>
      <c r="B859" t="s">
        <v>53</v>
      </c>
      <c r="C859" t="s">
        <v>416</v>
      </c>
      <c r="D859">
        <v>19867</v>
      </c>
      <c r="E859">
        <v>2</v>
      </c>
    </row>
    <row r="860" spans="1:5" x14ac:dyDescent="0.25">
      <c r="A860" t="s">
        <v>8</v>
      </c>
      <c r="B860" t="s">
        <v>278</v>
      </c>
      <c r="C860" t="s">
        <v>416</v>
      </c>
      <c r="D860">
        <v>24832</v>
      </c>
      <c r="E860">
        <v>7</v>
      </c>
    </row>
    <row r="861" spans="1:5" x14ac:dyDescent="0.25">
      <c r="A861" t="s">
        <v>29</v>
      </c>
      <c r="B861" t="s">
        <v>102</v>
      </c>
      <c r="C861" t="s">
        <v>417</v>
      </c>
      <c r="D861">
        <v>29122</v>
      </c>
      <c r="E861">
        <v>1</v>
      </c>
    </row>
    <row r="862" spans="1:5" x14ac:dyDescent="0.25">
      <c r="A862" t="s">
        <v>26</v>
      </c>
      <c r="B862" t="s">
        <v>311</v>
      </c>
      <c r="C862" t="s">
        <v>417</v>
      </c>
      <c r="D862">
        <v>38528</v>
      </c>
      <c r="E862">
        <v>10</v>
      </c>
    </row>
    <row r="863" spans="1:5" x14ac:dyDescent="0.25">
      <c r="A863" t="s">
        <v>8</v>
      </c>
      <c r="B863" t="s">
        <v>36</v>
      </c>
      <c r="C863" t="s">
        <v>417</v>
      </c>
      <c r="D863">
        <v>69995</v>
      </c>
      <c r="E863">
        <v>6</v>
      </c>
    </row>
    <row r="864" spans="1:5" x14ac:dyDescent="0.25">
      <c r="A864" t="s">
        <v>11</v>
      </c>
      <c r="B864" t="s">
        <v>52</v>
      </c>
      <c r="C864" t="s">
        <v>417</v>
      </c>
      <c r="D864">
        <v>55958</v>
      </c>
      <c r="E864">
        <v>1</v>
      </c>
    </row>
    <row r="865" spans="1:5" x14ac:dyDescent="0.25">
      <c r="A865" t="s">
        <v>16</v>
      </c>
      <c r="B865" t="s">
        <v>82</v>
      </c>
      <c r="C865" t="s">
        <v>417</v>
      </c>
      <c r="D865">
        <v>14224</v>
      </c>
      <c r="E865">
        <v>3</v>
      </c>
    </row>
    <row r="866" spans="1:5" x14ac:dyDescent="0.25">
      <c r="A866" t="s">
        <v>55</v>
      </c>
      <c r="B866" t="s">
        <v>116</v>
      </c>
      <c r="C866" t="s">
        <v>417</v>
      </c>
      <c r="D866">
        <v>34598</v>
      </c>
      <c r="E866">
        <v>6</v>
      </c>
    </row>
    <row r="867" spans="1:5" x14ac:dyDescent="0.25">
      <c r="A867" t="s">
        <v>16</v>
      </c>
      <c r="B867" t="s">
        <v>42</v>
      </c>
      <c r="C867" t="s">
        <v>417</v>
      </c>
      <c r="D867">
        <v>61430</v>
      </c>
      <c r="E867">
        <v>5</v>
      </c>
    </row>
    <row r="868" spans="1:5" x14ac:dyDescent="0.25">
      <c r="A868" t="s">
        <v>5</v>
      </c>
      <c r="B868" t="s">
        <v>264</v>
      </c>
      <c r="C868" t="s">
        <v>418</v>
      </c>
      <c r="D868">
        <v>85581</v>
      </c>
      <c r="E868">
        <v>2</v>
      </c>
    </row>
    <row r="869" spans="1:5" x14ac:dyDescent="0.25">
      <c r="A869" t="s">
        <v>8</v>
      </c>
      <c r="B869" t="s">
        <v>126</v>
      </c>
      <c r="C869" t="s">
        <v>418</v>
      </c>
      <c r="D869">
        <v>55439</v>
      </c>
      <c r="E869">
        <v>8</v>
      </c>
    </row>
    <row r="870" spans="1:5" x14ac:dyDescent="0.25">
      <c r="A870" t="s">
        <v>5</v>
      </c>
      <c r="B870" t="s">
        <v>264</v>
      </c>
      <c r="C870" t="s">
        <v>418</v>
      </c>
      <c r="D870">
        <v>44710</v>
      </c>
      <c r="E870">
        <v>7</v>
      </c>
    </row>
    <row r="871" spans="1:5" x14ac:dyDescent="0.25">
      <c r="A871" t="s">
        <v>5</v>
      </c>
      <c r="B871" t="s">
        <v>342</v>
      </c>
      <c r="C871" t="s">
        <v>418</v>
      </c>
      <c r="D871">
        <v>53808</v>
      </c>
      <c r="E871">
        <v>4</v>
      </c>
    </row>
    <row r="872" spans="1:5" x14ac:dyDescent="0.25">
      <c r="A872" t="s">
        <v>21</v>
      </c>
      <c r="B872" t="s">
        <v>419</v>
      </c>
      <c r="C872" t="s">
        <v>420</v>
      </c>
      <c r="D872">
        <v>49077</v>
      </c>
      <c r="E872">
        <v>7</v>
      </c>
    </row>
    <row r="873" spans="1:5" x14ac:dyDescent="0.25">
      <c r="A873" t="s">
        <v>26</v>
      </c>
      <c r="B873" t="s">
        <v>60</v>
      </c>
      <c r="C873" t="s">
        <v>421</v>
      </c>
      <c r="D873">
        <v>73386</v>
      </c>
      <c r="E873">
        <v>8</v>
      </c>
    </row>
    <row r="874" spans="1:5" x14ac:dyDescent="0.25">
      <c r="A874" t="s">
        <v>26</v>
      </c>
      <c r="B874" t="s">
        <v>250</v>
      </c>
      <c r="C874" t="s">
        <v>421</v>
      </c>
      <c r="D874">
        <v>81371</v>
      </c>
      <c r="E874">
        <v>1</v>
      </c>
    </row>
    <row r="875" spans="1:5" x14ac:dyDescent="0.25">
      <c r="A875" t="s">
        <v>38</v>
      </c>
      <c r="B875" t="s">
        <v>283</v>
      </c>
      <c r="C875" t="s">
        <v>421</v>
      </c>
      <c r="D875">
        <v>55282</v>
      </c>
      <c r="E875">
        <v>3</v>
      </c>
    </row>
    <row r="876" spans="1:5" x14ac:dyDescent="0.25">
      <c r="A876" t="s">
        <v>11</v>
      </c>
      <c r="B876" t="s">
        <v>354</v>
      </c>
      <c r="C876" t="s">
        <v>421</v>
      </c>
      <c r="D876">
        <v>44045</v>
      </c>
      <c r="E876">
        <v>2</v>
      </c>
    </row>
    <row r="877" spans="1:5" x14ac:dyDescent="0.25">
      <c r="A877" t="s">
        <v>55</v>
      </c>
      <c r="B877" t="s">
        <v>258</v>
      </c>
      <c r="C877" t="s">
        <v>422</v>
      </c>
      <c r="D877">
        <v>68841</v>
      </c>
      <c r="E877">
        <v>10</v>
      </c>
    </row>
    <row r="878" spans="1:5" x14ac:dyDescent="0.25">
      <c r="A878" t="s">
        <v>38</v>
      </c>
      <c r="B878" t="s">
        <v>183</v>
      </c>
      <c r="C878" t="s">
        <v>422</v>
      </c>
      <c r="D878">
        <v>37132</v>
      </c>
      <c r="E878">
        <v>7</v>
      </c>
    </row>
    <row r="879" spans="1:5" x14ac:dyDescent="0.25">
      <c r="A879" t="s">
        <v>38</v>
      </c>
      <c r="B879" t="s">
        <v>39</v>
      </c>
      <c r="C879" t="s">
        <v>422</v>
      </c>
      <c r="D879">
        <v>54317</v>
      </c>
      <c r="E879">
        <v>6</v>
      </c>
    </row>
    <row r="880" spans="1:5" x14ac:dyDescent="0.25">
      <c r="A880" t="s">
        <v>13</v>
      </c>
      <c r="B880" t="s">
        <v>28</v>
      </c>
      <c r="C880" t="s">
        <v>422</v>
      </c>
      <c r="D880">
        <v>71063</v>
      </c>
      <c r="E880">
        <v>0</v>
      </c>
    </row>
    <row r="881" spans="1:5" x14ac:dyDescent="0.25">
      <c r="A881" t="s">
        <v>43</v>
      </c>
      <c r="B881" t="s">
        <v>193</v>
      </c>
      <c r="C881" t="s">
        <v>422</v>
      </c>
      <c r="D881">
        <v>65615</v>
      </c>
      <c r="E881">
        <v>7</v>
      </c>
    </row>
    <row r="882" spans="1:5" x14ac:dyDescent="0.25">
      <c r="A882" t="s">
        <v>16</v>
      </c>
      <c r="B882" t="s">
        <v>97</v>
      </c>
      <c r="C882" t="s">
        <v>422</v>
      </c>
      <c r="D882">
        <v>74295</v>
      </c>
      <c r="E882">
        <v>6</v>
      </c>
    </row>
    <row r="883" spans="1:5" x14ac:dyDescent="0.25">
      <c r="A883" t="s">
        <v>29</v>
      </c>
      <c r="B883" t="s">
        <v>151</v>
      </c>
      <c r="C883" t="s">
        <v>422</v>
      </c>
      <c r="D883">
        <v>62749</v>
      </c>
      <c r="E883">
        <v>5</v>
      </c>
    </row>
    <row r="884" spans="1:5" x14ac:dyDescent="0.25">
      <c r="A884" t="s">
        <v>8</v>
      </c>
      <c r="B884" t="s">
        <v>294</v>
      </c>
      <c r="C884" t="s">
        <v>422</v>
      </c>
      <c r="D884">
        <v>39973</v>
      </c>
      <c r="E884">
        <v>10</v>
      </c>
    </row>
    <row r="885" spans="1:5" x14ac:dyDescent="0.25">
      <c r="A885" t="s">
        <v>21</v>
      </c>
      <c r="B885" t="s">
        <v>144</v>
      </c>
      <c r="C885" t="s">
        <v>422</v>
      </c>
      <c r="D885">
        <v>70889</v>
      </c>
      <c r="E885">
        <v>6</v>
      </c>
    </row>
    <row r="886" spans="1:5" x14ac:dyDescent="0.25">
      <c r="A886" t="s">
        <v>8</v>
      </c>
      <c r="B886" t="s">
        <v>88</v>
      </c>
      <c r="C886" t="s">
        <v>422</v>
      </c>
      <c r="D886">
        <v>70513</v>
      </c>
      <c r="E886">
        <v>3</v>
      </c>
    </row>
    <row r="887" spans="1:5" x14ac:dyDescent="0.25">
      <c r="A887" t="s">
        <v>21</v>
      </c>
      <c r="B887" t="s">
        <v>234</v>
      </c>
      <c r="C887" t="s">
        <v>422</v>
      </c>
      <c r="D887">
        <v>99662</v>
      </c>
      <c r="E887">
        <v>4</v>
      </c>
    </row>
    <row r="888" spans="1:5" x14ac:dyDescent="0.25">
      <c r="A888" t="s">
        <v>29</v>
      </c>
      <c r="B888" t="s">
        <v>97</v>
      </c>
      <c r="C888" t="s">
        <v>423</v>
      </c>
      <c r="D888">
        <v>91653</v>
      </c>
      <c r="E888">
        <v>6</v>
      </c>
    </row>
    <row r="889" spans="1:5" x14ac:dyDescent="0.25">
      <c r="A889" t="s">
        <v>19</v>
      </c>
      <c r="B889" t="s">
        <v>164</v>
      </c>
      <c r="C889" t="s">
        <v>423</v>
      </c>
      <c r="D889">
        <v>99145</v>
      </c>
      <c r="E889">
        <v>5</v>
      </c>
    </row>
    <row r="890" spans="1:5" x14ac:dyDescent="0.25">
      <c r="A890" t="s">
        <v>43</v>
      </c>
      <c r="B890" t="s">
        <v>424</v>
      </c>
      <c r="C890" t="s">
        <v>423</v>
      </c>
      <c r="D890">
        <v>66499</v>
      </c>
      <c r="E890">
        <v>9</v>
      </c>
    </row>
    <row r="891" spans="1:5" x14ac:dyDescent="0.25">
      <c r="A891" t="s">
        <v>11</v>
      </c>
      <c r="B891" t="s">
        <v>305</v>
      </c>
      <c r="C891" t="s">
        <v>425</v>
      </c>
      <c r="D891">
        <v>28200</v>
      </c>
      <c r="E891">
        <v>4</v>
      </c>
    </row>
    <row r="892" spans="1:5" x14ac:dyDescent="0.25">
      <c r="A892" t="s">
        <v>8</v>
      </c>
      <c r="B892" t="s">
        <v>85</v>
      </c>
      <c r="C892" t="s">
        <v>425</v>
      </c>
      <c r="D892">
        <v>74013</v>
      </c>
      <c r="E892">
        <v>8</v>
      </c>
    </row>
    <row r="893" spans="1:5" x14ac:dyDescent="0.25">
      <c r="A893" t="s">
        <v>43</v>
      </c>
      <c r="B893" t="s">
        <v>188</v>
      </c>
      <c r="C893" t="s">
        <v>425</v>
      </c>
      <c r="D893">
        <v>45125</v>
      </c>
      <c r="E893">
        <v>0</v>
      </c>
    </row>
    <row r="894" spans="1:5" x14ac:dyDescent="0.25">
      <c r="A894" t="s">
        <v>26</v>
      </c>
      <c r="B894" t="s">
        <v>49</v>
      </c>
      <c r="C894" t="s">
        <v>425</v>
      </c>
      <c r="D894">
        <v>90656</v>
      </c>
      <c r="E894">
        <v>6</v>
      </c>
    </row>
    <row r="895" spans="1:5" x14ac:dyDescent="0.25">
      <c r="A895" t="s">
        <v>43</v>
      </c>
      <c r="B895" t="s">
        <v>211</v>
      </c>
      <c r="C895" t="s">
        <v>425</v>
      </c>
      <c r="D895">
        <v>19320</v>
      </c>
      <c r="E895">
        <v>5</v>
      </c>
    </row>
    <row r="896" spans="1:5" x14ac:dyDescent="0.25">
      <c r="A896" t="s">
        <v>55</v>
      </c>
      <c r="B896" t="s">
        <v>217</v>
      </c>
      <c r="C896" t="s">
        <v>425</v>
      </c>
      <c r="D896">
        <v>60893</v>
      </c>
      <c r="E896">
        <v>7</v>
      </c>
    </row>
    <row r="897" spans="1:5" x14ac:dyDescent="0.25">
      <c r="A897" t="s">
        <v>38</v>
      </c>
      <c r="B897" t="s">
        <v>303</v>
      </c>
      <c r="C897" t="s">
        <v>426</v>
      </c>
      <c r="D897">
        <v>54915</v>
      </c>
      <c r="E897">
        <v>4</v>
      </c>
    </row>
    <row r="898" spans="1:5" x14ac:dyDescent="0.25">
      <c r="A898" t="s">
        <v>29</v>
      </c>
      <c r="B898" t="s">
        <v>51</v>
      </c>
      <c r="C898" t="s">
        <v>426</v>
      </c>
      <c r="D898">
        <v>13772</v>
      </c>
      <c r="E898">
        <v>2</v>
      </c>
    </row>
    <row r="899" spans="1:5" x14ac:dyDescent="0.25">
      <c r="A899" t="s">
        <v>19</v>
      </c>
      <c r="B899" t="s">
        <v>278</v>
      </c>
      <c r="C899" t="s">
        <v>427</v>
      </c>
      <c r="D899">
        <v>51013</v>
      </c>
      <c r="E899">
        <v>8</v>
      </c>
    </row>
    <row r="900" spans="1:5" x14ac:dyDescent="0.25">
      <c r="A900" t="s">
        <v>26</v>
      </c>
      <c r="B900" t="s">
        <v>187</v>
      </c>
      <c r="C900" t="s">
        <v>427</v>
      </c>
      <c r="D900">
        <v>63397</v>
      </c>
      <c r="E900">
        <v>8</v>
      </c>
    </row>
    <row r="901" spans="1:5" x14ac:dyDescent="0.25">
      <c r="A901" t="s">
        <v>5</v>
      </c>
      <c r="B901" t="s">
        <v>115</v>
      </c>
      <c r="C901" t="s">
        <v>427</v>
      </c>
      <c r="D901">
        <v>50445</v>
      </c>
      <c r="E901">
        <v>7</v>
      </c>
    </row>
    <row r="902" spans="1:5" x14ac:dyDescent="0.25">
      <c r="A902" t="s">
        <v>43</v>
      </c>
      <c r="B902" t="s">
        <v>160</v>
      </c>
      <c r="C902" t="s">
        <v>427</v>
      </c>
      <c r="D902">
        <v>99509</v>
      </c>
      <c r="E902">
        <v>10</v>
      </c>
    </row>
    <row r="903" spans="1:5" x14ac:dyDescent="0.25">
      <c r="A903" t="s">
        <v>19</v>
      </c>
      <c r="B903" t="s">
        <v>89</v>
      </c>
      <c r="C903" t="s">
        <v>428</v>
      </c>
      <c r="D903">
        <v>49807</v>
      </c>
      <c r="E903">
        <v>5</v>
      </c>
    </row>
    <row r="904" spans="1:5" x14ac:dyDescent="0.25">
      <c r="A904" t="s">
        <v>29</v>
      </c>
      <c r="B904" t="s">
        <v>160</v>
      </c>
      <c r="C904" t="s">
        <v>428</v>
      </c>
      <c r="D904">
        <v>49279</v>
      </c>
      <c r="E904">
        <v>5</v>
      </c>
    </row>
    <row r="905" spans="1:5" x14ac:dyDescent="0.25">
      <c r="A905" t="s">
        <v>55</v>
      </c>
      <c r="B905" t="s">
        <v>269</v>
      </c>
      <c r="C905" t="s">
        <v>428</v>
      </c>
      <c r="D905">
        <v>57474</v>
      </c>
      <c r="E905">
        <v>9</v>
      </c>
    </row>
    <row r="906" spans="1:5" x14ac:dyDescent="0.25">
      <c r="A906" t="s">
        <v>29</v>
      </c>
      <c r="B906" t="s">
        <v>127</v>
      </c>
      <c r="C906" t="s">
        <v>428</v>
      </c>
      <c r="D906">
        <v>76459</v>
      </c>
      <c r="E906">
        <v>8</v>
      </c>
    </row>
    <row r="907" spans="1:5" x14ac:dyDescent="0.25">
      <c r="A907" t="s">
        <v>16</v>
      </c>
      <c r="B907" t="s">
        <v>299</v>
      </c>
      <c r="C907" t="s">
        <v>429</v>
      </c>
      <c r="D907">
        <v>31254</v>
      </c>
      <c r="E907">
        <v>5</v>
      </c>
    </row>
    <row r="908" spans="1:5" x14ac:dyDescent="0.25">
      <c r="A908" t="s">
        <v>55</v>
      </c>
      <c r="B908" t="s">
        <v>25</v>
      </c>
      <c r="C908" t="s">
        <v>429</v>
      </c>
      <c r="D908">
        <v>92684</v>
      </c>
      <c r="E908">
        <v>5</v>
      </c>
    </row>
    <row r="909" spans="1:5" x14ac:dyDescent="0.25">
      <c r="A909" t="s">
        <v>21</v>
      </c>
      <c r="B909" t="s">
        <v>187</v>
      </c>
      <c r="C909" t="s">
        <v>429</v>
      </c>
      <c r="D909">
        <v>90333</v>
      </c>
      <c r="E909">
        <v>7</v>
      </c>
    </row>
    <row r="910" spans="1:5" x14ac:dyDescent="0.25">
      <c r="A910" t="s">
        <v>11</v>
      </c>
      <c r="B910" t="s">
        <v>47</v>
      </c>
      <c r="C910" t="s">
        <v>429</v>
      </c>
      <c r="D910">
        <v>25410</v>
      </c>
      <c r="E910">
        <v>10</v>
      </c>
    </row>
    <row r="911" spans="1:5" x14ac:dyDescent="0.25">
      <c r="A911" t="s">
        <v>19</v>
      </c>
      <c r="B911" t="s">
        <v>144</v>
      </c>
      <c r="C911" t="s">
        <v>429</v>
      </c>
      <c r="D911">
        <v>85380</v>
      </c>
      <c r="E911">
        <v>7</v>
      </c>
    </row>
    <row r="912" spans="1:5" x14ac:dyDescent="0.25">
      <c r="A912" t="s">
        <v>13</v>
      </c>
      <c r="B912" t="s">
        <v>28</v>
      </c>
      <c r="C912" t="s">
        <v>429</v>
      </c>
      <c r="D912">
        <v>32529</v>
      </c>
      <c r="E912">
        <v>7</v>
      </c>
    </row>
    <row r="913" spans="1:5" x14ac:dyDescent="0.25">
      <c r="A913" t="s">
        <v>21</v>
      </c>
      <c r="B913" t="s">
        <v>190</v>
      </c>
      <c r="C913" t="s">
        <v>429</v>
      </c>
      <c r="D913">
        <v>52155</v>
      </c>
      <c r="E913">
        <v>5</v>
      </c>
    </row>
    <row r="914" spans="1:5" x14ac:dyDescent="0.25">
      <c r="A914" t="s">
        <v>19</v>
      </c>
      <c r="B914" t="s">
        <v>12</v>
      </c>
      <c r="C914" t="s">
        <v>430</v>
      </c>
      <c r="D914">
        <v>63031</v>
      </c>
      <c r="E914">
        <v>10</v>
      </c>
    </row>
    <row r="915" spans="1:5" x14ac:dyDescent="0.25">
      <c r="A915" t="s">
        <v>26</v>
      </c>
      <c r="B915" t="s">
        <v>57</v>
      </c>
      <c r="C915" t="s">
        <v>430</v>
      </c>
      <c r="D915">
        <v>76673</v>
      </c>
      <c r="E915">
        <v>10</v>
      </c>
    </row>
    <row r="916" spans="1:5" x14ac:dyDescent="0.25">
      <c r="A916" t="s">
        <v>43</v>
      </c>
      <c r="B916" t="s">
        <v>119</v>
      </c>
      <c r="C916" t="s">
        <v>430</v>
      </c>
      <c r="D916">
        <v>23845</v>
      </c>
      <c r="E916">
        <v>9</v>
      </c>
    </row>
    <row r="917" spans="1:5" x14ac:dyDescent="0.25">
      <c r="A917" t="s">
        <v>13</v>
      </c>
      <c r="B917" t="s">
        <v>105</v>
      </c>
      <c r="C917" t="s">
        <v>430</v>
      </c>
      <c r="D917">
        <v>22179</v>
      </c>
      <c r="E917">
        <v>10</v>
      </c>
    </row>
    <row r="918" spans="1:5" x14ac:dyDescent="0.25">
      <c r="A918" t="s">
        <v>55</v>
      </c>
      <c r="B918" t="s">
        <v>91</v>
      </c>
      <c r="C918" t="s">
        <v>431</v>
      </c>
      <c r="D918">
        <v>55656</v>
      </c>
      <c r="E918">
        <v>4</v>
      </c>
    </row>
    <row r="919" spans="1:5" x14ac:dyDescent="0.25">
      <c r="A919" t="s">
        <v>19</v>
      </c>
      <c r="B919" t="s">
        <v>45</v>
      </c>
      <c r="C919" t="s">
        <v>431</v>
      </c>
      <c r="D919">
        <v>85068</v>
      </c>
      <c r="E919">
        <v>8</v>
      </c>
    </row>
    <row r="920" spans="1:5" x14ac:dyDescent="0.25">
      <c r="A920" t="s">
        <v>11</v>
      </c>
      <c r="B920" t="s">
        <v>293</v>
      </c>
      <c r="C920" t="s">
        <v>431</v>
      </c>
      <c r="D920">
        <v>46434</v>
      </c>
      <c r="E920">
        <v>5</v>
      </c>
    </row>
    <row r="921" spans="1:5" x14ac:dyDescent="0.25">
      <c r="A921" t="s">
        <v>26</v>
      </c>
      <c r="B921" t="s">
        <v>171</v>
      </c>
      <c r="C921" t="s">
        <v>432</v>
      </c>
      <c r="D921">
        <v>48621</v>
      </c>
      <c r="E921">
        <v>3</v>
      </c>
    </row>
    <row r="922" spans="1:5" x14ac:dyDescent="0.25">
      <c r="A922" t="s">
        <v>55</v>
      </c>
      <c r="B922" t="s">
        <v>79</v>
      </c>
      <c r="C922" t="s">
        <v>432</v>
      </c>
      <c r="D922">
        <v>90123</v>
      </c>
      <c r="E922">
        <v>8</v>
      </c>
    </row>
    <row r="923" spans="1:5" x14ac:dyDescent="0.25">
      <c r="A923" t="s">
        <v>5</v>
      </c>
      <c r="B923" t="s">
        <v>74</v>
      </c>
      <c r="C923" t="s">
        <v>432</v>
      </c>
      <c r="D923">
        <v>50168</v>
      </c>
      <c r="E923">
        <v>9</v>
      </c>
    </row>
    <row r="924" spans="1:5" x14ac:dyDescent="0.25">
      <c r="A924" t="s">
        <v>43</v>
      </c>
      <c r="B924" t="s">
        <v>116</v>
      </c>
      <c r="C924" t="s">
        <v>432</v>
      </c>
      <c r="D924">
        <v>24136</v>
      </c>
      <c r="E924">
        <v>9</v>
      </c>
    </row>
    <row r="925" spans="1:5" x14ac:dyDescent="0.25">
      <c r="A925" t="s">
        <v>5</v>
      </c>
      <c r="B925" t="s">
        <v>64</v>
      </c>
      <c r="C925" t="s">
        <v>432</v>
      </c>
      <c r="D925">
        <v>86871</v>
      </c>
      <c r="E925">
        <v>7</v>
      </c>
    </row>
    <row r="926" spans="1:5" x14ac:dyDescent="0.25">
      <c r="A926" t="s">
        <v>26</v>
      </c>
      <c r="B926" t="s">
        <v>289</v>
      </c>
      <c r="C926" t="s">
        <v>432</v>
      </c>
      <c r="D926">
        <v>78832</v>
      </c>
      <c r="E926">
        <v>5</v>
      </c>
    </row>
    <row r="927" spans="1:5" x14ac:dyDescent="0.25">
      <c r="A927" t="s">
        <v>19</v>
      </c>
      <c r="B927" t="s">
        <v>433</v>
      </c>
      <c r="C927" t="s">
        <v>434</v>
      </c>
      <c r="D927">
        <v>89042</v>
      </c>
      <c r="E927">
        <v>5</v>
      </c>
    </row>
    <row r="928" spans="1:5" x14ac:dyDescent="0.25">
      <c r="A928" t="s">
        <v>38</v>
      </c>
      <c r="B928" t="s">
        <v>172</v>
      </c>
      <c r="C928" t="s">
        <v>434</v>
      </c>
      <c r="D928">
        <v>41855</v>
      </c>
      <c r="E928">
        <v>5</v>
      </c>
    </row>
    <row r="929" spans="1:5" x14ac:dyDescent="0.25">
      <c r="A929" t="s">
        <v>29</v>
      </c>
      <c r="B929" t="s">
        <v>169</v>
      </c>
      <c r="C929" t="s">
        <v>434</v>
      </c>
      <c r="D929">
        <v>19360</v>
      </c>
      <c r="E929">
        <v>8</v>
      </c>
    </row>
    <row r="930" spans="1:5" x14ac:dyDescent="0.25">
      <c r="A930" t="s">
        <v>55</v>
      </c>
      <c r="B930" t="s">
        <v>319</v>
      </c>
      <c r="C930" t="s">
        <v>434</v>
      </c>
      <c r="D930">
        <v>37692</v>
      </c>
      <c r="E930">
        <v>5</v>
      </c>
    </row>
    <row r="931" spans="1:5" x14ac:dyDescent="0.25">
      <c r="A931" t="s">
        <v>26</v>
      </c>
      <c r="B931" t="s">
        <v>293</v>
      </c>
      <c r="C931" t="s">
        <v>434</v>
      </c>
      <c r="D931">
        <v>25734</v>
      </c>
      <c r="E931">
        <v>3</v>
      </c>
    </row>
    <row r="932" spans="1:5" x14ac:dyDescent="0.25">
      <c r="A932" t="s">
        <v>21</v>
      </c>
      <c r="B932" t="s">
        <v>129</v>
      </c>
      <c r="C932" t="s">
        <v>434</v>
      </c>
      <c r="D932">
        <v>36743</v>
      </c>
      <c r="E932">
        <v>4</v>
      </c>
    </row>
    <row r="933" spans="1:5" x14ac:dyDescent="0.25">
      <c r="A933" t="s">
        <v>38</v>
      </c>
      <c r="B933" t="s">
        <v>102</v>
      </c>
      <c r="C933" t="s">
        <v>434</v>
      </c>
      <c r="D933">
        <v>11384</v>
      </c>
      <c r="E933">
        <v>6</v>
      </c>
    </row>
    <row r="934" spans="1:5" x14ac:dyDescent="0.25">
      <c r="A934" t="s">
        <v>55</v>
      </c>
      <c r="B934" t="s">
        <v>59</v>
      </c>
      <c r="C934" t="s">
        <v>434</v>
      </c>
      <c r="D934">
        <v>47588</v>
      </c>
      <c r="E934">
        <v>3</v>
      </c>
    </row>
    <row r="935" spans="1:5" x14ac:dyDescent="0.25">
      <c r="A935" t="s">
        <v>11</v>
      </c>
      <c r="B935" t="s">
        <v>269</v>
      </c>
      <c r="C935" t="s">
        <v>434</v>
      </c>
      <c r="D935">
        <v>53529</v>
      </c>
      <c r="E935">
        <v>7</v>
      </c>
    </row>
    <row r="936" spans="1:5" x14ac:dyDescent="0.25">
      <c r="A936" t="s">
        <v>21</v>
      </c>
      <c r="B936" t="s">
        <v>169</v>
      </c>
      <c r="C936" t="s">
        <v>434</v>
      </c>
      <c r="D936">
        <v>69642</v>
      </c>
      <c r="E936">
        <v>9</v>
      </c>
    </row>
    <row r="937" spans="1:5" x14ac:dyDescent="0.25">
      <c r="A937" t="s">
        <v>13</v>
      </c>
      <c r="B937" t="s">
        <v>197</v>
      </c>
      <c r="C937" t="s">
        <v>434</v>
      </c>
      <c r="D937">
        <v>18749</v>
      </c>
      <c r="E937">
        <v>10</v>
      </c>
    </row>
    <row r="938" spans="1:5" x14ac:dyDescent="0.25">
      <c r="A938" t="s">
        <v>19</v>
      </c>
      <c r="B938" t="s">
        <v>97</v>
      </c>
      <c r="C938" t="s">
        <v>435</v>
      </c>
      <c r="D938">
        <v>87904</v>
      </c>
      <c r="E938">
        <v>5</v>
      </c>
    </row>
    <row r="939" spans="1:5" x14ac:dyDescent="0.25">
      <c r="A939" t="s">
        <v>19</v>
      </c>
      <c r="B939" t="s">
        <v>187</v>
      </c>
      <c r="C939" t="s">
        <v>435</v>
      </c>
      <c r="D939">
        <v>52164</v>
      </c>
      <c r="E939">
        <v>4</v>
      </c>
    </row>
    <row r="940" spans="1:5" x14ac:dyDescent="0.25">
      <c r="A940" t="s">
        <v>21</v>
      </c>
      <c r="B940" t="s">
        <v>160</v>
      </c>
      <c r="C940" t="s">
        <v>436</v>
      </c>
      <c r="D940">
        <v>68247</v>
      </c>
      <c r="E940">
        <v>1</v>
      </c>
    </row>
    <row r="941" spans="1:5" x14ac:dyDescent="0.25">
      <c r="A941" t="s">
        <v>38</v>
      </c>
      <c r="B941" t="s">
        <v>340</v>
      </c>
      <c r="C941" t="s">
        <v>437</v>
      </c>
      <c r="D941">
        <v>29703</v>
      </c>
      <c r="E941">
        <v>6</v>
      </c>
    </row>
    <row r="942" spans="1:5" x14ac:dyDescent="0.25">
      <c r="A942" t="s">
        <v>43</v>
      </c>
      <c r="B942" t="s">
        <v>22</v>
      </c>
      <c r="C942" t="s">
        <v>437</v>
      </c>
      <c r="D942">
        <v>22968</v>
      </c>
      <c r="E942">
        <v>10</v>
      </c>
    </row>
    <row r="943" spans="1:5" x14ac:dyDescent="0.25">
      <c r="A943" t="s">
        <v>43</v>
      </c>
      <c r="B943" t="s">
        <v>106</v>
      </c>
      <c r="C943" t="s">
        <v>438</v>
      </c>
      <c r="D943">
        <v>18814</v>
      </c>
      <c r="E943">
        <v>7</v>
      </c>
    </row>
    <row r="944" spans="1:5" x14ac:dyDescent="0.25">
      <c r="A944" t="s">
        <v>8</v>
      </c>
      <c r="B944" t="s">
        <v>27</v>
      </c>
      <c r="C944" t="s">
        <v>438</v>
      </c>
      <c r="D944">
        <v>62969</v>
      </c>
      <c r="E944">
        <v>6</v>
      </c>
    </row>
    <row r="945" spans="1:5" x14ac:dyDescent="0.25">
      <c r="A945" t="s">
        <v>11</v>
      </c>
      <c r="B945" t="s">
        <v>211</v>
      </c>
      <c r="C945" t="s">
        <v>438</v>
      </c>
      <c r="D945">
        <v>17799</v>
      </c>
      <c r="E945">
        <v>1</v>
      </c>
    </row>
    <row r="946" spans="1:5" x14ac:dyDescent="0.25">
      <c r="A946" t="s">
        <v>21</v>
      </c>
      <c r="B946" t="s">
        <v>274</v>
      </c>
      <c r="C946" t="s">
        <v>438</v>
      </c>
      <c r="D946">
        <v>69433</v>
      </c>
      <c r="E946">
        <v>6</v>
      </c>
    </row>
    <row r="947" spans="1:5" x14ac:dyDescent="0.25">
      <c r="A947" t="s">
        <v>55</v>
      </c>
      <c r="B947" t="s">
        <v>76</v>
      </c>
      <c r="C947" t="s">
        <v>439</v>
      </c>
      <c r="D947">
        <v>41080</v>
      </c>
      <c r="E947">
        <v>6</v>
      </c>
    </row>
    <row r="948" spans="1:5" x14ac:dyDescent="0.25">
      <c r="A948" t="s">
        <v>8</v>
      </c>
      <c r="B948" t="s">
        <v>94</v>
      </c>
      <c r="C948" t="s">
        <v>439</v>
      </c>
      <c r="D948">
        <v>47123</v>
      </c>
      <c r="E948">
        <v>6</v>
      </c>
    </row>
    <row r="949" spans="1:5" x14ac:dyDescent="0.25">
      <c r="A949" t="s">
        <v>29</v>
      </c>
      <c r="B949" t="s">
        <v>255</v>
      </c>
      <c r="C949" t="s">
        <v>439</v>
      </c>
      <c r="D949">
        <v>65024</v>
      </c>
      <c r="E949">
        <v>10</v>
      </c>
    </row>
    <row r="950" spans="1:5" x14ac:dyDescent="0.25">
      <c r="A950" t="s">
        <v>38</v>
      </c>
      <c r="B950" t="s">
        <v>187</v>
      </c>
      <c r="C950" t="s">
        <v>439</v>
      </c>
      <c r="D950">
        <v>63773</v>
      </c>
      <c r="E950">
        <v>9</v>
      </c>
    </row>
    <row r="951" spans="1:5" x14ac:dyDescent="0.25">
      <c r="A951" t="s">
        <v>13</v>
      </c>
      <c r="B951" t="s">
        <v>92</v>
      </c>
      <c r="C951" t="s">
        <v>439</v>
      </c>
      <c r="D951">
        <v>83133</v>
      </c>
      <c r="E951">
        <v>2</v>
      </c>
    </row>
    <row r="952" spans="1:5" x14ac:dyDescent="0.25">
      <c r="A952" t="s">
        <v>11</v>
      </c>
      <c r="B952" t="s">
        <v>172</v>
      </c>
      <c r="C952" t="s">
        <v>439</v>
      </c>
      <c r="D952">
        <v>41071</v>
      </c>
      <c r="E952">
        <v>7</v>
      </c>
    </row>
    <row r="953" spans="1:5" x14ac:dyDescent="0.25">
      <c r="A953" t="s">
        <v>11</v>
      </c>
      <c r="B953" t="s">
        <v>178</v>
      </c>
      <c r="C953" t="s">
        <v>439</v>
      </c>
      <c r="D953">
        <v>52804</v>
      </c>
      <c r="E953">
        <v>5</v>
      </c>
    </row>
    <row r="954" spans="1:5" x14ac:dyDescent="0.25">
      <c r="A954" t="s">
        <v>16</v>
      </c>
      <c r="B954" t="s">
        <v>123</v>
      </c>
      <c r="C954" t="s">
        <v>439</v>
      </c>
      <c r="D954">
        <v>31521</v>
      </c>
      <c r="E954">
        <v>8</v>
      </c>
    </row>
    <row r="955" spans="1:5" x14ac:dyDescent="0.25">
      <c r="A955" t="s">
        <v>11</v>
      </c>
      <c r="B955" t="s">
        <v>75</v>
      </c>
      <c r="C955" t="s">
        <v>440</v>
      </c>
      <c r="D955">
        <v>44408</v>
      </c>
      <c r="E955">
        <v>5</v>
      </c>
    </row>
    <row r="956" spans="1:5" x14ac:dyDescent="0.25">
      <c r="A956" t="s">
        <v>11</v>
      </c>
      <c r="B956" t="s">
        <v>217</v>
      </c>
      <c r="C956" t="s">
        <v>440</v>
      </c>
      <c r="D956">
        <v>11698</v>
      </c>
      <c r="E956">
        <v>4</v>
      </c>
    </row>
    <row r="957" spans="1:5" x14ac:dyDescent="0.25">
      <c r="A957" t="s">
        <v>16</v>
      </c>
      <c r="B957" t="s">
        <v>143</v>
      </c>
      <c r="C957" t="s">
        <v>441</v>
      </c>
      <c r="D957">
        <v>10319</v>
      </c>
      <c r="E957">
        <v>7</v>
      </c>
    </row>
    <row r="958" spans="1:5" x14ac:dyDescent="0.25">
      <c r="A958" t="s">
        <v>19</v>
      </c>
      <c r="B958" t="s">
        <v>58</v>
      </c>
      <c r="C958" t="s">
        <v>441</v>
      </c>
      <c r="D958">
        <v>35164</v>
      </c>
      <c r="E958">
        <v>6</v>
      </c>
    </row>
    <row r="959" spans="1:5" x14ac:dyDescent="0.25">
      <c r="A959" t="s">
        <v>19</v>
      </c>
      <c r="B959" t="s">
        <v>442</v>
      </c>
      <c r="C959" t="s">
        <v>443</v>
      </c>
      <c r="D959">
        <v>12003</v>
      </c>
      <c r="E959">
        <v>6</v>
      </c>
    </row>
    <row r="960" spans="1:5" x14ac:dyDescent="0.25">
      <c r="A960" t="s">
        <v>21</v>
      </c>
      <c r="B960" t="s">
        <v>33</v>
      </c>
      <c r="C960" t="s">
        <v>443</v>
      </c>
      <c r="D960">
        <v>74158</v>
      </c>
      <c r="E960">
        <v>7</v>
      </c>
    </row>
    <row r="961" spans="1:5" x14ac:dyDescent="0.25">
      <c r="A961" t="s">
        <v>13</v>
      </c>
      <c r="B961" t="s">
        <v>88</v>
      </c>
      <c r="C961" t="s">
        <v>443</v>
      </c>
      <c r="D961">
        <v>59187</v>
      </c>
      <c r="E961">
        <v>3</v>
      </c>
    </row>
    <row r="962" spans="1:5" x14ac:dyDescent="0.25">
      <c r="A962" t="s">
        <v>21</v>
      </c>
      <c r="B962" t="s">
        <v>88</v>
      </c>
      <c r="C962" t="s">
        <v>444</v>
      </c>
      <c r="D962">
        <v>94198</v>
      </c>
      <c r="E962">
        <v>6</v>
      </c>
    </row>
    <row r="963" spans="1:5" x14ac:dyDescent="0.25">
      <c r="A963" t="s">
        <v>11</v>
      </c>
      <c r="B963" t="s">
        <v>248</v>
      </c>
      <c r="C963" t="s">
        <v>444</v>
      </c>
      <c r="D963">
        <v>67764</v>
      </c>
      <c r="E963">
        <v>5</v>
      </c>
    </row>
    <row r="964" spans="1:5" x14ac:dyDescent="0.25">
      <c r="A964" t="s">
        <v>29</v>
      </c>
      <c r="B964" t="s">
        <v>370</v>
      </c>
      <c r="C964" t="s">
        <v>444</v>
      </c>
      <c r="D964">
        <v>83424</v>
      </c>
      <c r="E964">
        <v>5</v>
      </c>
    </row>
    <row r="965" spans="1:5" x14ac:dyDescent="0.25">
      <c r="A965" t="s">
        <v>29</v>
      </c>
      <c r="B965" t="s">
        <v>74</v>
      </c>
      <c r="C965" t="s">
        <v>445</v>
      </c>
      <c r="D965">
        <v>17760</v>
      </c>
      <c r="E965">
        <v>7</v>
      </c>
    </row>
    <row r="966" spans="1:5" x14ac:dyDescent="0.25">
      <c r="A966" t="s">
        <v>11</v>
      </c>
      <c r="B966" t="s">
        <v>114</v>
      </c>
      <c r="C966" t="s">
        <v>445</v>
      </c>
      <c r="D966">
        <v>95074</v>
      </c>
      <c r="E966">
        <v>4</v>
      </c>
    </row>
    <row r="967" spans="1:5" x14ac:dyDescent="0.25">
      <c r="A967" t="s">
        <v>16</v>
      </c>
      <c r="B967" t="s">
        <v>326</v>
      </c>
      <c r="C967" t="s">
        <v>445</v>
      </c>
      <c r="D967">
        <v>72423</v>
      </c>
      <c r="E967">
        <v>7</v>
      </c>
    </row>
    <row r="968" spans="1:5" x14ac:dyDescent="0.25">
      <c r="A968" t="s">
        <v>29</v>
      </c>
      <c r="B968" t="s">
        <v>220</v>
      </c>
      <c r="C968" t="s">
        <v>445</v>
      </c>
      <c r="D968">
        <v>16842</v>
      </c>
      <c r="E968">
        <v>5</v>
      </c>
    </row>
    <row r="969" spans="1:5" x14ac:dyDescent="0.25">
      <c r="A969" t="s">
        <v>19</v>
      </c>
      <c r="B969" t="s">
        <v>138</v>
      </c>
      <c r="C969" t="s">
        <v>445</v>
      </c>
      <c r="D969">
        <v>77861</v>
      </c>
      <c r="E969">
        <v>10</v>
      </c>
    </row>
    <row r="970" spans="1:5" x14ac:dyDescent="0.25">
      <c r="A970" t="s">
        <v>16</v>
      </c>
      <c r="B970" t="s">
        <v>96</v>
      </c>
      <c r="C970" t="s">
        <v>445</v>
      </c>
      <c r="D970">
        <v>41523</v>
      </c>
      <c r="E970">
        <v>6</v>
      </c>
    </row>
    <row r="971" spans="1:5" x14ac:dyDescent="0.25">
      <c r="A971" t="s">
        <v>21</v>
      </c>
      <c r="B971" t="s">
        <v>25</v>
      </c>
      <c r="C971" t="s">
        <v>445</v>
      </c>
      <c r="D971">
        <v>25071</v>
      </c>
      <c r="E971">
        <v>8</v>
      </c>
    </row>
    <row r="972" spans="1:5" x14ac:dyDescent="0.25">
      <c r="A972" t="s">
        <v>5</v>
      </c>
      <c r="B972" t="s">
        <v>410</v>
      </c>
      <c r="C972" t="s">
        <v>445</v>
      </c>
      <c r="D972">
        <v>53715</v>
      </c>
      <c r="E972">
        <v>3</v>
      </c>
    </row>
    <row r="973" spans="1:5" x14ac:dyDescent="0.25">
      <c r="A973" t="s">
        <v>5</v>
      </c>
      <c r="B973" t="s">
        <v>165</v>
      </c>
      <c r="C973" t="s">
        <v>445</v>
      </c>
      <c r="D973">
        <v>60546</v>
      </c>
      <c r="E973">
        <v>3</v>
      </c>
    </row>
    <row r="974" spans="1:5" x14ac:dyDescent="0.25">
      <c r="A974" t="s">
        <v>8</v>
      </c>
      <c r="B974" t="s">
        <v>411</v>
      </c>
      <c r="C974" t="s">
        <v>445</v>
      </c>
      <c r="D974">
        <v>13550</v>
      </c>
      <c r="E974">
        <v>4</v>
      </c>
    </row>
    <row r="975" spans="1:5" x14ac:dyDescent="0.25">
      <c r="A975" t="s">
        <v>13</v>
      </c>
      <c r="B975" t="s">
        <v>362</v>
      </c>
      <c r="C975" t="s">
        <v>446</v>
      </c>
      <c r="D975">
        <v>71304</v>
      </c>
      <c r="E975">
        <v>0</v>
      </c>
    </row>
    <row r="976" spans="1:5" x14ac:dyDescent="0.25">
      <c r="A976" t="s">
        <v>13</v>
      </c>
      <c r="B976" t="s">
        <v>135</v>
      </c>
      <c r="C976" t="s">
        <v>446</v>
      </c>
      <c r="D976">
        <v>13609</v>
      </c>
      <c r="E976">
        <v>9</v>
      </c>
    </row>
    <row r="977" spans="1:5" x14ac:dyDescent="0.25">
      <c r="A977" t="s">
        <v>16</v>
      </c>
      <c r="B977" t="s">
        <v>6</v>
      </c>
      <c r="C977" t="s">
        <v>447</v>
      </c>
      <c r="D977">
        <v>34530</v>
      </c>
      <c r="E977">
        <v>1</v>
      </c>
    </row>
    <row r="978" spans="1:5" x14ac:dyDescent="0.25">
      <c r="A978" t="s">
        <v>43</v>
      </c>
      <c r="B978" t="s">
        <v>362</v>
      </c>
      <c r="C978" t="s">
        <v>447</v>
      </c>
      <c r="D978">
        <v>77118</v>
      </c>
      <c r="E978">
        <v>8</v>
      </c>
    </row>
    <row r="979" spans="1:5" x14ac:dyDescent="0.25">
      <c r="A979" t="s">
        <v>8</v>
      </c>
      <c r="B979" t="s">
        <v>14</v>
      </c>
      <c r="C979" t="s">
        <v>447</v>
      </c>
      <c r="D979">
        <v>52830</v>
      </c>
      <c r="E979">
        <v>7</v>
      </c>
    </row>
    <row r="980" spans="1:5" x14ac:dyDescent="0.25">
      <c r="A980" t="s">
        <v>26</v>
      </c>
      <c r="B980" t="s">
        <v>267</v>
      </c>
      <c r="C980" t="s">
        <v>448</v>
      </c>
      <c r="D980">
        <v>66722</v>
      </c>
      <c r="E980">
        <v>4</v>
      </c>
    </row>
    <row r="981" spans="1:5" x14ac:dyDescent="0.25">
      <c r="A981" t="s">
        <v>11</v>
      </c>
      <c r="B981" t="s">
        <v>392</v>
      </c>
      <c r="C981" t="s">
        <v>449</v>
      </c>
      <c r="D981">
        <v>97653</v>
      </c>
      <c r="E981">
        <v>10</v>
      </c>
    </row>
    <row r="982" spans="1:5" x14ac:dyDescent="0.25">
      <c r="A982" t="s">
        <v>38</v>
      </c>
      <c r="B982" t="s">
        <v>88</v>
      </c>
      <c r="C982" t="s">
        <v>449</v>
      </c>
      <c r="D982">
        <v>82820</v>
      </c>
      <c r="E982">
        <v>10</v>
      </c>
    </row>
    <row r="983" spans="1:5" x14ac:dyDescent="0.25">
      <c r="A983" t="s">
        <v>55</v>
      </c>
      <c r="B983" t="s">
        <v>169</v>
      </c>
      <c r="C983" t="s">
        <v>449</v>
      </c>
      <c r="D983">
        <v>36206</v>
      </c>
      <c r="E983">
        <v>6</v>
      </c>
    </row>
    <row r="984" spans="1:5" x14ac:dyDescent="0.25">
      <c r="A984" t="s">
        <v>29</v>
      </c>
      <c r="B984" t="s">
        <v>154</v>
      </c>
      <c r="C984" t="s">
        <v>449</v>
      </c>
      <c r="D984">
        <v>63624</v>
      </c>
      <c r="E984">
        <v>7</v>
      </c>
    </row>
    <row r="985" spans="1:5" x14ac:dyDescent="0.25">
      <c r="A985" t="s">
        <v>29</v>
      </c>
      <c r="B985" t="s">
        <v>311</v>
      </c>
      <c r="C985" t="s">
        <v>449</v>
      </c>
      <c r="D985">
        <v>67540</v>
      </c>
      <c r="E985">
        <v>4</v>
      </c>
    </row>
    <row r="986" spans="1:5" x14ac:dyDescent="0.25">
      <c r="A986" t="s">
        <v>13</v>
      </c>
      <c r="B986" t="s">
        <v>65</v>
      </c>
      <c r="C986" t="s">
        <v>450</v>
      </c>
      <c r="D986">
        <v>68501</v>
      </c>
      <c r="E986">
        <v>8</v>
      </c>
    </row>
    <row r="987" spans="1:5" x14ac:dyDescent="0.25">
      <c r="A987" t="s">
        <v>29</v>
      </c>
      <c r="B987" t="s">
        <v>305</v>
      </c>
      <c r="C987" t="s">
        <v>451</v>
      </c>
      <c r="D987">
        <v>10549</v>
      </c>
      <c r="E987">
        <v>9</v>
      </c>
    </row>
    <row r="988" spans="1:5" x14ac:dyDescent="0.25">
      <c r="A988" t="s">
        <v>16</v>
      </c>
      <c r="B988" t="s">
        <v>98</v>
      </c>
      <c r="C988" t="s">
        <v>451</v>
      </c>
      <c r="D988">
        <v>72507</v>
      </c>
      <c r="E988">
        <v>7</v>
      </c>
    </row>
    <row r="989" spans="1:5" x14ac:dyDescent="0.25">
      <c r="A989" t="s">
        <v>21</v>
      </c>
      <c r="B989" t="s">
        <v>72</v>
      </c>
      <c r="C989" t="s">
        <v>451</v>
      </c>
      <c r="D989">
        <v>77004</v>
      </c>
      <c r="E989">
        <v>3</v>
      </c>
    </row>
    <row r="990" spans="1:5" x14ac:dyDescent="0.25">
      <c r="A990" t="s">
        <v>55</v>
      </c>
      <c r="B990" t="s">
        <v>178</v>
      </c>
      <c r="C990" t="s">
        <v>452</v>
      </c>
      <c r="D990">
        <v>90271</v>
      </c>
      <c r="E990">
        <v>9</v>
      </c>
    </row>
    <row r="991" spans="1:5" x14ac:dyDescent="0.25">
      <c r="A991" t="s">
        <v>19</v>
      </c>
      <c r="B991" t="s">
        <v>129</v>
      </c>
      <c r="C991" t="s">
        <v>452</v>
      </c>
      <c r="D991">
        <v>35544</v>
      </c>
      <c r="E991">
        <v>7</v>
      </c>
    </row>
    <row r="992" spans="1:5" x14ac:dyDescent="0.25">
      <c r="A992" t="s">
        <v>21</v>
      </c>
      <c r="B992" t="s">
        <v>370</v>
      </c>
      <c r="C992" t="s">
        <v>452</v>
      </c>
      <c r="D992">
        <v>97270</v>
      </c>
      <c r="E992">
        <v>7</v>
      </c>
    </row>
    <row r="993" spans="1:5" x14ac:dyDescent="0.25">
      <c r="A993" t="s">
        <v>8</v>
      </c>
      <c r="B993" t="s">
        <v>234</v>
      </c>
      <c r="C993" t="s">
        <v>452</v>
      </c>
      <c r="D993">
        <v>22863</v>
      </c>
      <c r="E993">
        <v>6</v>
      </c>
    </row>
    <row r="994" spans="1:5" x14ac:dyDescent="0.25">
      <c r="A994" t="s">
        <v>13</v>
      </c>
      <c r="B994" t="s">
        <v>65</v>
      </c>
      <c r="C994" t="s">
        <v>452</v>
      </c>
      <c r="D994">
        <v>18870</v>
      </c>
      <c r="E994">
        <v>4</v>
      </c>
    </row>
    <row r="995" spans="1:5" x14ac:dyDescent="0.25">
      <c r="A995" t="s">
        <v>21</v>
      </c>
      <c r="B995" t="s">
        <v>188</v>
      </c>
      <c r="C995" t="s">
        <v>453</v>
      </c>
      <c r="D995">
        <v>33507</v>
      </c>
      <c r="E995">
        <v>3</v>
      </c>
    </row>
    <row r="996" spans="1:5" x14ac:dyDescent="0.25">
      <c r="A996" t="s">
        <v>16</v>
      </c>
      <c r="B996" t="s">
        <v>50</v>
      </c>
      <c r="C996" t="s">
        <v>453</v>
      </c>
      <c r="D996">
        <v>94481</v>
      </c>
      <c r="E996">
        <v>7</v>
      </c>
    </row>
    <row r="997" spans="1:5" x14ac:dyDescent="0.25">
      <c r="A997" t="s">
        <v>38</v>
      </c>
      <c r="B997" t="s">
        <v>82</v>
      </c>
      <c r="C997" t="s">
        <v>454</v>
      </c>
      <c r="D997">
        <v>64088</v>
      </c>
      <c r="E997">
        <v>2</v>
      </c>
    </row>
    <row r="998" spans="1:5" x14ac:dyDescent="0.25">
      <c r="A998" t="s">
        <v>29</v>
      </c>
      <c r="B998" t="s">
        <v>264</v>
      </c>
      <c r="C998" t="s">
        <v>454</v>
      </c>
      <c r="D998">
        <v>99849</v>
      </c>
      <c r="E998">
        <v>2</v>
      </c>
    </row>
    <row r="999" spans="1:5" x14ac:dyDescent="0.25">
      <c r="A999" t="s">
        <v>38</v>
      </c>
      <c r="B999" t="s">
        <v>75</v>
      </c>
      <c r="C999" t="s">
        <v>454</v>
      </c>
      <c r="D999">
        <v>61311</v>
      </c>
      <c r="E999">
        <v>6</v>
      </c>
    </row>
    <row r="1000" spans="1:5" x14ac:dyDescent="0.25">
      <c r="A1000" t="s">
        <v>19</v>
      </c>
      <c r="B1000" t="s">
        <v>173</v>
      </c>
      <c r="C1000" t="s">
        <v>454</v>
      </c>
      <c r="D1000">
        <v>37517</v>
      </c>
      <c r="E1000">
        <v>7</v>
      </c>
    </row>
    <row r="1001" spans="1:5" x14ac:dyDescent="0.25">
      <c r="A1001" t="s">
        <v>38</v>
      </c>
      <c r="B1001" t="s">
        <v>146</v>
      </c>
      <c r="C1001" t="s">
        <v>454</v>
      </c>
      <c r="D1001">
        <v>59008</v>
      </c>
      <c r="E1001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66F99-57D6-4336-A5AD-5003ECD908C4}">
  <dimension ref="A1:Q1001"/>
  <sheetViews>
    <sheetView topLeftCell="C1" workbookViewId="0">
      <selection activeCell="O23" sqref="O23"/>
    </sheetView>
  </sheetViews>
  <sheetFormatPr defaultRowHeight="15" x14ac:dyDescent="0.25"/>
  <cols>
    <col min="1" max="1" width="33" customWidth="1"/>
    <col min="4" max="4" width="31.5703125" customWidth="1"/>
    <col min="5" max="5" width="31.7109375" customWidth="1"/>
    <col min="6" max="6" width="15.28515625" bestFit="1" customWidth="1"/>
    <col min="7" max="7" width="18.42578125" customWidth="1"/>
    <col min="10" max="10" width="29.7109375" hidden="1" customWidth="1"/>
    <col min="11" max="11" width="29.85546875" hidden="1" customWidth="1"/>
    <col min="12" max="12" width="30.85546875" hidden="1" customWidth="1"/>
    <col min="13" max="13" width="12" hidden="1" customWidth="1"/>
    <col min="15" max="16" width="31.85546875" customWidth="1"/>
    <col min="17" max="17" width="12" customWidth="1"/>
  </cols>
  <sheetData>
    <row r="1" spans="1:17" x14ac:dyDescent="0.25">
      <c r="A1" s="1" t="s">
        <v>0</v>
      </c>
      <c r="D1" s="1" t="s">
        <v>0</v>
      </c>
      <c r="E1" s="1" t="s">
        <v>1</v>
      </c>
      <c r="F1" s="22" t="s">
        <v>507</v>
      </c>
      <c r="G1" s="22" t="s">
        <v>508</v>
      </c>
      <c r="H1" s="22" t="s">
        <v>511</v>
      </c>
      <c r="J1" s="22" t="s">
        <v>509</v>
      </c>
      <c r="K1" s="1" t="s">
        <v>0</v>
      </c>
      <c r="L1" s="1" t="s">
        <v>1</v>
      </c>
      <c r="M1" s="1" t="s">
        <v>2</v>
      </c>
      <c r="N1" s="22" t="s">
        <v>510</v>
      </c>
      <c r="O1" s="1" t="s">
        <v>0</v>
      </c>
      <c r="P1" s="1" t="s">
        <v>1</v>
      </c>
      <c r="Q1" s="1" t="s">
        <v>2</v>
      </c>
    </row>
    <row r="2" spans="1:17" x14ac:dyDescent="0.25">
      <c r="A2" t="s">
        <v>5</v>
      </c>
      <c r="D2" t="s">
        <v>5</v>
      </c>
      <c r="E2" t="s">
        <v>193</v>
      </c>
      <c r="F2" t="str">
        <f>VLOOKUP(D2&amp;E2,J:M,4,0)</f>
        <v>2024-03-04</v>
      </c>
      <c r="G2" t="str">
        <f>VLOOKUP(D2&amp;E2,N:Q,4,0)</f>
        <v>2024-03-04</v>
      </c>
      <c r="H2">
        <f>G2-F2</f>
        <v>0</v>
      </c>
      <c r="J2" t="str">
        <f>K2&amp;L2</f>
        <v>Белов Алексей КонстантиновичНовикова Людмила Кирилловна</v>
      </c>
      <c r="K2" t="s">
        <v>5</v>
      </c>
      <c r="L2" t="s">
        <v>6</v>
      </c>
      <c r="M2" t="s">
        <v>7</v>
      </c>
      <c r="N2" t="str">
        <f>O2&amp;P2</f>
        <v>Фролов Сергей ВикторовичПопов Иван Егорович</v>
      </c>
      <c r="O2" t="s">
        <v>38</v>
      </c>
      <c r="P2" t="s">
        <v>82</v>
      </c>
      <c r="Q2" t="s">
        <v>454</v>
      </c>
    </row>
    <row r="3" spans="1:17" x14ac:dyDescent="0.25">
      <c r="A3" t="s">
        <v>43</v>
      </c>
      <c r="D3" t="s">
        <v>5</v>
      </c>
      <c r="E3" t="s">
        <v>85</v>
      </c>
      <c r="F3" t="str">
        <f t="shared" ref="F3:F66" si="0">VLOOKUP(D3&amp;E3,J:M,4,0)</f>
        <v>2024-03-11</v>
      </c>
      <c r="G3" t="str">
        <f t="shared" ref="G3:G66" si="1">VLOOKUP(D3&amp;E3,N:Q,4,0)</f>
        <v>2024-03-11</v>
      </c>
      <c r="H3">
        <f t="shared" ref="H3:H66" si="2">G3-F3</f>
        <v>0</v>
      </c>
      <c r="J3" t="str">
        <f>K3&amp;L3</f>
        <v>Сидорова Елена ВасильевнаВолков Владимир Артемович</v>
      </c>
      <c r="K3" t="s">
        <v>8</v>
      </c>
      <c r="L3" t="s">
        <v>9</v>
      </c>
      <c r="M3" t="s">
        <v>10</v>
      </c>
      <c r="N3" t="str">
        <f t="shared" ref="N3:N66" si="3">O3&amp;P3</f>
        <v>Новикова Ольга ПетровнаЕгорова Юлия Никитична</v>
      </c>
      <c r="O3" t="s">
        <v>29</v>
      </c>
      <c r="P3" t="s">
        <v>264</v>
      </c>
      <c r="Q3" t="s">
        <v>454</v>
      </c>
    </row>
    <row r="4" spans="1:17" x14ac:dyDescent="0.25">
      <c r="A4" t="s">
        <v>55</v>
      </c>
      <c r="D4" t="s">
        <v>5</v>
      </c>
      <c r="E4" t="s">
        <v>171</v>
      </c>
      <c r="F4" t="str">
        <f t="shared" si="0"/>
        <v>2024-05-15</v>
      </c>
      <c r="G4" t="str">
        <f t="shared" si="1"/>
        <v>2024-05-15</v>
      </c>
      <c r="H4">
        <f t="shared" si="2"/>
        <v>0</v>
      </c>
      <c r="J4" t="str">
        <f>K4&amp;L4</f>
        <v>Кузнецов Дмитрий ЛьвовичСмирнова Валерия Станиславовна</v>
      </c>
      <c r="K4" t="s">
        <v>11</v>
      </c>
      <c r="L4" t="s">
        <v>12</v>
      </c>
      <c r="M4" t="s">
        <v>10</v>
      </c>
      <c r="N4" t="str">
        <f t="shared" si="3"/>
        <v>Фролов Сергей ВикторовичПетров Никита Павлович</v>
      </c>
      <c r="O4" t="s">
        <v>38</v>
      </c>
      <c r="P4" t="s">
        <v>75</v>
      </c>
      <c r="Q4" t="s">
        <v>454</v>
      </c>
    </row>
    <row r="5" spans="1:17" x14ac:dyDescent="0.25">
      <c r="A5" t="s">
        <v>11</v>
      </c>
      <c r="D5" t="s">
        <v>5</v>
      </c>
      <c r="E5" t="s">
        <v>289</v>
      </c>
      <c r="F5" t="str">
        <f t="shared" si="0"/>
        <v>2024-02-26</v>
      </c>
      <c r="G5" t="str">
        <f t="shared" si="1"/>
        <v>2024-02-26</v>
      </c>
      <c r="H5">
        <f t="shared" si="2"/>
        <v>0</v>
      </c>
      <c r="J5" t="str">
        <f>K5&amp;L5</f>
        <v>Орлов Павел ДенисовичАлексеева Полина Викторовна</v>
      </c>
      <c r="K5" t="s">
        <v>13</v>
      </c>
      <c r="L5" t="s">
        <v>14</v>
      </c>
      <c r="M5" t="s">
        <v>10</v>
      </c>
      <c r="N5" t="str">
        <f t="shared" si="3"/>
        <v>Петров Владимир КирилловичСидоров Егор Павлович</v>
      </c>
      <c r="O5" t="s">
        <v>19</v>
      </c>
      <c r="P5" t="s">
        <v>173</v>
      </c>
      <c r="Q5" t="s">
        <v>454</v>
      </c>
    </row>
    <row r="6" spans="1:17" x14ac:dyDescent="0.25">
      <c r="A6" t="s">
        <v>29</v>
      </c>
      <c r="D6" t="s">
        <v>5</v>
      </c>
      <c r="E6" t="s">
        <v>65</v>
      </c>
      <c r="F6" t="str">
        <f t="shared" si="0"/>
        <v>2024-03-28</v>
      </c>
      <c r="G6" t="str">
        <f t="shared" si="1"/>
        <v>2024-06-17</v>
      </c>
      <c r="H6">
        <f t="shared" si="2"/>
        <v>81</v>
      </c>
      <c r="J6" t="str">
        <f>K6&amp;L6</f>
        <v>Кузнецов Дмитрий ЛьвовичПетров Михаил Павлович</v>
      </c>
      <c r="K6" t="s">
        <v>11</v>
      </c>
      <c r="L6" t="s">
        <v>15</v>
      </c>
      <c r="M6" t="s">
        <v>10</v>
      </c>
      <c r="N6" t="str">
        <f t="shared" si="3"/>
        <v>Фролов Сергей ВикторовичИванов Артем Павлович</v>
      </c>
      <c r="O6" t="s">
        <v>38</v>
      </c>
      <c r="P6" t="s">
        <v>146</v>
      </c>
      <c r="Q6" t="s">
        <v>454</v>
      </c>
    </row>
    <row r="7" spans="1:17" x14ac:dyDescent="0.25">
      <c r="A7" t="s">
        <v>13</v>
      </c>
      <c r="D7" t="s">
        <v>5</v>
      </c>
      <c r="E7" t="s">
        <v>232</v>
      </c>
      <c r="F7" t="str">
        <f t="shared" si="0"/>
        <v>2024-04-25</v>
      </c>
      <c r="G7" t="str">
        <f t="shared" si="1"/>
        <v>2024-04-25</v>
      </c>
      <c r="H7">
        <f t="shared" si="2"/>
        <v>0</v>
      </c>
      <c r="J7" t="str">
        <f>K7&amp;L7</f>
        <v>Семенова Ирина ВалерьевнаИванова Виктория Артемовна</v>
      </c>
      <c r="K7" t="s">
        <v>16</v>
      </c>
      <c r="L7" t="s">
        <v>17</v>
      </c>
      <c r="M7" t="s">
        <v>10</v>
      </c>
      <c r="N7" t="str">
        <f t="shared" si="3"/>
        <v>Яковлев Артем ИгоревичЕгорова Татьяна Ильинична</v>
      </c>
      <c r="O7" t="s">
        <v>21</v>
      </c>
      <c r="P7" t="s">
        <v>188</v>
      </c>
      <c r="Q7" t="s">
        <v>453</v>
      </c>
    </row>
    <row r="8" spans="1:17" x14ac:dyDescent="0.25">
      <c r="A8" t="s">
        <v>19</v>
      </c>
      <c r="D8" t="s">
        <v>5</v>
      </c>
      <c r="E8" t="s">
        <v>269</v>
      </c>
      <c r="F8" t="str">
        <f t="shared" si="0"/>
        <v>2024-01-17</v>
      </c>
      <c r="G8" t="str">
        <f t="shared" si="1"/>
        <v>2024-01-17</v>
      </c>
      <c r="H8">
        <f t="shared" si="2"/>
        <v>0</v>
      </c>
      <c r="J8" t="str">
        <f>K8&amp;L8</f>
        <v>Белов Алексей КонстантиновичПопова Светлана Геннадьевна</v>
      </c>
      <c r="K8" t="s">
        <v>5</v>
      </c>
      <c r="L8" t="s">
        <v>18</v>
      </c>
      <c r="M8" t="s">
        <v>10</v>
      </c>
      <c r="N8" t="str">
        <f t="shared" si="3"/>
        <v>Семенова Ирина ВалерьевнаСидорова Ирина Кирилловна</v>
      </c>
      <c r="O8" t="s">
        <v>16</v>
      </c>
      <c r="P8" t="s">
        <v>50</v>
      </c>
      <c r="Q8" t="s">
        <v>453</v>
      </c>
    </row>
    <row r="9" spans="1:17" x14ac:dyDescent="0.25">
      <c r="A9" t="s">
        <v>16</v>
      </c>
      <c r="D9" t="s">
        <v>5</v>
      </c>
      <c r="E9" t="s">
        <v>274</v>
      </c>
      <c r="F9" t="str">
        <f t="shared" si="0"/>
        <v>2024-02-27</v>
      </c>
      <c r="G9" t="str">
        <f t="shared" si="1"/>
        <v>2024-02-27</v>
      </c>
      <c r="H9">
        <f t="shared" si="2"/>
        <v>0</v>
      </c>
      <c r="J9" t="str">
        <f>K9&amp;L9</f>
        <v>Петров Владимир КирилловичСеменов Михаил Сергеевич</v>
      </c>
      <c r="K9" t="s">
        <v>19</v>
      </c>
      <c r="L9" t="s">
        <v>20</v>
      </c>
      <c r="M9" t="s">
        <v>10</v>
      </c>
      <c r="N9" t="str">
        <f t="shared" si="3"/>
        <v>Иванова Анна СергеевнаПопова Наталья Станиславовна</v>
      </c>
      <c r="O9" t="s">
        <v>55</v>
      </c>
      <c r="P9" t="s">
        <v>178</v>
      </c>
      <c r="Q9" t="s">
        <v>452</v>
      </c>
    </row>
    <row r="10" spans="1:17" x14ac:dyDescent="0.25">
      <c r="A10" t="s">
        <v>8</v>
      </c>
      <c r="D10" t="s">
        <v>5</v>
      </c>
      <c r="E10" t="s">
        <v>27</v>
      </c>
      <c r="F10" t="str">
        <f t="shared" si="0"/>
        <v>2023-10-23</v>
      </c>
      <c r="G10" t="str">
        <f t="shared" si="1"/>
        <v>2024-04-15</v>
      </c>
      <c r="H10">
        <f t="shared" si="2"/>
        <v>175</v>
      </c>
      <c r="J10" t="str">
        <f>K10&amp;L10</f>
        <v>Яковлев Артем ИгоревичСмирнова Елена Олеговна</v>
      </c>
      <c r="K10" t="s">
        <v>21</v>
      </c>
      <c r="L10" t="s">
        <v>22</v>
      </c>
      <c r="M10" t="s">
        <v>23</v>
      </c>
      <c r="N10" t="str">
        <f t="shared" si="3"/>
        <v>Петров Владимир КирилловичНиколаева Анна Михайловна</v>
      </c>
      <c r="O10" t="s">
        <v>19</v>
      </c>
      <c r="P10" t="s">
        <v>129</v>
      </c>
      <c r="Q10" t="s">
        <v>452</v>
      </c>
    </row>
    <row r="11" spans="1:17" x14ac:dyDescent="0.25">
      <c r="A11" t="s">
        <v>26</v>
      </c>
      <c r="D11" t="s">
        <v>5</v>
      </c>
      <c r="E11" t="s">
        <v>51</v>
      </c>
      <c r="F11" t="str">
        <f t="shared" si="0"/>
        <v>2024-03-11</v>
      </c>
      <c r="G11" t="str">
        <f t="shared" si="1"/>
        <v>2024-03-11</v>
      </c>
      <c r="H11">
        <f t="shared" si="2"/>
        <v>0</v>
      </c>
      <c r="J11" t="str">
        <f>K11&amp;L11</f>
        <v>Орлов Павел ДенисовичСтепанова Людмила Ивановна</v>
      </c>
      <c r="K11" t="s">
        <v>13</v>
      </c>
      <c r="L11" t="s">
        <v>24</v>
      </c>
      <c r="M11" t="s">
        <v>23</v>
      </c>
      <c r="N11" t="str">
        <f t="shared" si="3"/>
        <v>Яковлев Артем ИгоревичЕгорова Мария Кирилловна</v>
      </c>
      <c r="O11" t="s">
        <v>21</v>
      </c>
      <c r="P11" t="s">
        <v>370</v>
      </c>
      <c r="Q11" t="s">
        <v>452</v>
      </c>
    </row>
    <row r="12" spans="1:17" x14ac:dyDescent="0.25">
      <c r="A12" t="s">
        <v>38</v>
      </c>
      <c r="D12" t="s">
        <v>5</v>
      </c>
      <c r="E12" t="s">
        <v>9</v>
      </c>
      <c r="F12" t="str">
        <f t="shared" si="0"/>
        <v>2023-11-03</v>
      </c>
      <c r="G12" t="str">
        <f t="shared" si="1"/>
        <v>2023-11-03</v>
      </c>
      <c r="H12">
        <f t="shared" si="2"/>
        <v>0</v>
      </c>
      <c r="J12" t="str">
        <f>K12&amp;L12</f>
        <v>Сидорова Елена ВасильевнаФедорова Екатерина Владимировна</v>
      </c>
      <c r="K12" t="s">
        <v>8</v>
      </c>
      <c r="L12" t="s">
        <v>25</v>
      </c>
      <c r="M12" t="s">
        <v>23</v>
      </c>
      <c r="N12" t="str">
        <f t="shared" si="3"/>
        <v>Сидорова Елена ВасильевнаСтепанова Анна Романовна</v>
      </c>
      <c r="O12" t="s">
        <v>8</v>
      </c>
      <c r="P12" t="s">
        <v>234</v>
      </c>
      <c r="Q12" t="s">
        <v>452</v>
      </c>
    </row>
    <row r="13" spans="1:17" x14ac:dyDescent="0.25">
      <c r="A13" t="s">
        <v>21</v>
      </c>
      <c r="D13" t="s">
        <v>5</v>
      </c>
      <c r="E13" t="s">
        <v>74</v>
      </c>
      <c r="F13" t="str">
        <f t="shared" si="0"/>
        <v>2024-04-04</v>
      </c>
      <c r="G13" t="str">
        <f t="shared" si="1"/>
        <v>2024-08-02</v>
      </c>
      <c r="H13">
        <f t="shared" si="2"/>
        <v>120</v>
      </c>
      <c r="J13" t="str">
        <f>K13&amp;L13</f>
        <v>Ткаченко Андрей ОлеговичСеменов Михаил Сергеевич</v>
      </c>
      <c r="K13" t="s">
        <v>26</v>
      </c>
      <c r="L13" t="s">
        <v>20</v>
      </c>
      <c r="M13" t="s">
        <v>23</v>
      </c>
      <c r="N13" t="str">
        <f t="shared" si="3"/>
        <v>Орлов Павел ДенисовичВасильев Егор Павлович</v>
      </c>
      <c r="O13" t="s">
        <v>13</v>
      </c>
      <c r="P13" t="s">
        <v>65</v>
      </c>
      <c r="Q13" t="s">
        <v>452</v>
      </c>
    </row>
    <row r="14" spans="1:17" x14ac:dyDescent="0.25">
      <c r="C14" t="s">
        <v>506</v>
      </c>
      <c r="D14" t="s">
        <v>5</v>
      </c>
      <c r="E14" t="s">
        <v>64</v>
      </c>
      <c r="F14" t="str">
        <f t="shared" si="0"/>
        <v>2024-08-02</v>
      </c>
      <c r="G14" t="str">
        <f t="shared" si="1"/>
        <v>2024-08-02</v>
      </c>
      <c r="H14">
        <f t="shared" si="2"/>
        <v>0</v>
      </c>
      <c r="J14" t="str">
        <f>K14&amp;L14</f>
        <v>Семенова Ирина ВалерьевнаВасильева Елена Андреевна</v>
      </c>
      <c r="K14" t="s">
        <v>16</v>
      </c>
      <c r="L14" t="s">
        <v>27</v>
      </c>
      <c r="M14" t="s">
        <v>23</v>
      </c>
      <c r="N14" t="str">
        <f t="shared" si="3"/>
        <v>Новикова Ольга ПетровнаФедорова Людмила Сергеевна</v>
      </c>
      <c r="O14" t="s">
        <v>29</v>
      </c>
      <c r="P14" t="s">
        <v>305</v>
      </c>
      <c r="Q14" t="s">
        <v>451</v>
      </c>
    </row>
    <row r="15" spans="1:17" x14ac:dyDescent="0.25">
      <c r="D15" t="s">
        <v>5</v>
      </c>
      <c r="E15" t="s">
        <v>112</v>
      </c>
      <c r="F15" t="str">
        <f t="shared" si="0"/>
        <v>2024-02-21</v>
      </c>
      <c r="G15" t="str">
        <f t="shared" si="1"/>
        <v>2024-02-21</v>
      </c>
      <c r="H15">
        <f t="shared" si="2"/>
        <v>0</v>
      </c>
      <c r="J15" t="str">
        <f>K15&amp;L15</f>
        <v>Ткаченко Андрей ОлеговичСмирнова Екатерина Ивановна</v>
      </c>
      <c r="K15" t="s">
        <v>26</v>
      </c>
      <c r="L15" t="s">
        <v>28</v>
      </c>
      <c r="M15" t="s">
        <v>23</v>
      </c>
      <c r="N15" t="str">
        <f t="shared" si="3"/>
        <v>Семенова Ирина ВалерьевнаАлексеева Светлана Артемовна</v>
      </c>
      <c r="O15" t="s">
        <v>16</v>
      </c>
      <c r="P15" t="s">
        <v>98</v>
      </c>
      <c r="Q15" t="s">
        <v>451</v>
      </c>
    </row>
    <row r="16" spans="1:17" x14ac:dyDescent="0.25">
      <c r="D16" t="s">
        <v>5</v>
      </c>
      <c r="E16" t="s">
        <v>221</v>
      </c>
      <c r="F16" t="str">
        <f t="shared" si="0"/>
        <v>2023-11-30</v>
      </c>
      <c r="G16" t="str">
        <f t="shared" si="1"/>
        <v>2024-07-08</v>
      </c>
      <c r="H16">
        <f t="shared" si="2"/>
        <v>221</v>
      </c>
      <c r="J16" t="str">
        <f>K16&amp;L16</f>
        <v>Новикова Ольга ПетровнаКузнецов Егор Андреевич</v>
      </c>
      <c r="K16" t="s">
        <v>29</v>
      </c>
      <c r="L16" t="s">
        <v>30</v>
      </c>
      <c r="M16" t="s">
        <v>31</v>
      </c>
      <c r="N16" t="str">
        <f t="shared" si="3"/>
        <v>Яковлев Артем ИгоревичАлексеева Мария Олеговна</v>
      </c>
      <c r="O16" t="s">
        <v>21</v>
      </c>
      <c r="P16" t="s">
        <v>72</v>
      </c>
      <c r="Q16" t="s">
        <v>451</v>
      </c>
    </row>
    <row r="17" spans="4:17" x14ac:dyDescent="0.25">
      <c r="D17" t="s">
        <v>5</v>
      </c>
      <c r="E17" t="s">
        <v>121</v>
      </c>
      <c r="F17" t="str">
        <f t="shared" si="0"/>
        <v>2024-06-11</v>
      </c>
      <c r="G17" t="str">
        <f t="shared" si="1"/>
        <v>2024-07-01</v>
      </c>
      <c r="H17">
        <f t="shared" si="2"/>
        <v>20</v>
      </c>
      <c r="J17" t="str">
        <f>K17&amp;L17</f>
        <v>Яковлев Артем ИгоревичОрлов Владимир Никитич</v>
      </c>
      <c r="K17" t="s">
        <v>21</v>
      </c>
      <c r="L17" t="s">
        <v>32</v>
      </c>
      <c r="M17" t="s">
        <v>31</v>
      </c>
      <c r="N17" t="str">
        <f t="shared" si="3"/>
        <v>Орлов Павел ДенисовичВасильев Егор Павлович</v>
      </c>
      <c r="O17" t="s">
        <v>13</v>
      </c>
      <c r="P17" t="s">
        <v>65</v>
      </c>
      <c r="Q17" t="s">
        <v>450</v>
      </c>
    </row>
    <row r="18" spans="4:17" x14ac:dyDescent="0.25">
      <c r="D18" t="s">
        <v>5</v>
      </c>
      <c r="E18" t="s">
        <v>264</v>
      </c>
      <c r="F18" t="str">
        <f t="shared" si="0"/>
        <v>2024-07-17</v>
      </c>
      <c r="G18" t="str">
        <f t="shared" si="1"/>
        <v>2024-07-17</v>
      </c>
      <c r="H18">
        <f t="shared" si="2"/>
        <v>0</v>
      </c>
      <c r="J18" t="str">
        <f>K18&amp;L18</f>
        <v>Петров Владимир КирилловичНовикова София Ивановна</v>
      </c>
      <c r="K18" t="s">
        <v>19</v>
      </c>
      <c r="L18" t="s">
        <v>33</v>
      </c>
      <c r="M18" t="s">
        <v>31</v>
      </c>
      <c r="N18" t="str">
        <f t="shared" si="3"/>
        <v>Кузнецов Дмитрий ЛьвовичЛебедев Дмитрий Дмитриевич</v>
      </c>
      <c r="O18" t="s">
        <v>11</v>
      </c>
      <c r="P18" t="s">
        <v>392</v>
      </c>
      <c r="Q18" t="s">
        <v>449</v>
      </c>
    </row>
    <row r="19" spans="4:17" x14ac:dyDescent="0.25">
      <c r="D19" t="s">
        <v>5</v>
      </c>
      <c r="E19" t="s">
        <v>134</v>
      </c>
      <c r="F19" t="str">
        <f t="shared" si="0"/>
        <v>2023-12-07</v>
      </c>
      <c r="G19" t="str">
        <f t="shared" si="1"/>
        <v>2023-12-07</v>
      </c>
      <c r="H19">
        <f t="shared" si="2"/>
        <v>0</v>
      </c>
      <c r="J19" t="str">
        <f>K19&amp;L19</f>
        <v>Новикова Ольга ПетровнаСмирнова Екатерина Ивановна</v>
      </c>
      <c r="K19" t="s">
        <v>29</v>
      </c>
      <c r="L19" t="s">
        <v>28</v>
      </c>
      <c r="M19" t="s">
        <v>31</v>
      </c>
      <c r="N19" t="str">
        <f t="shared" si="3"/>
        <v>Фролов Сергей ВикторовичПопов Роман Владимирович</v>
      </c>
      <c r="O19" t="s">
        <v>38</v>
      </c>
      <c r="P19" t="s">
        <v>88</v>
      </c>
      <c r="Q19" t="s">
        <v>449</v>
      </c>
    </row>
    <row r="20" spans="4:17" x14ac:dyDescent="0.25">
      <c r="D20" t="s">
        <v>5</v>
      </c>
      <c r="E20" t="s">
        <v>34</v>
      </c>
      <c r="F20" t="str">
        <f t="shared" si="0"/>
        <v>2024-03-05</v>
      </c>
      <c r="G20" t="str">
        <f t="shared" si="1"/>
        <v>2024-03-05</v>
      </c>
      <c r="H20">
        <f t="shared" si="2"/>
        <v>0</v>
      </c>
      <c r="J20" t="str">
        <f>K20&amp;L20</f>
        <v>Новикова Ольга ПетровнаКозлова Александра Андреевна</v>
      </c>
      <c r="K20" t="s">
        <v>29</v>
      </c>
      <c r="L20" t="s">
        <v>34</v>
      </c>
      <c r="M20" t="s">
        <v>35</v>
      </c>
      <c r="N20" t="str">
        <f t="shared" si="3"/>
        <v>Иванова Анна СергеевнаСмирнова Екатерина Геннадьевна</v>
      </c>
      <c r="O20" t="s">
        <v>55</v>
      </c>
      <c r="P20" t="s">
        <v>169</v>
      </c>
      <c r="Q20" t="s">
        <v>449</v>
      </c>
    </row>
    <row r="21" spans="4:17" x14ac:dyDescent="0.25">
      <c r="D21" t="s">
        <v>5</v>
      </c>
      <c r="E21" t="s">
        <v>342</v>
      </c>
      <c r="F21" t="str">
        <f t="shared" si="0"/>
        <v>2024-07-17</v>
      </c>
      <c r="G21" t="str">
        <f t="shared" si="1"/>
        <v>2024-07-17</v>
      </c>
      <c r="H21">
        <f t="shared" si="2"/>
        <v>0</v>
      </c>
      <c r="J21" t="str">
        <f>K21&amp;L21</f>
        <v>Кузнецов Дмитрий ЛьвовичНовиков Иван Павлович</v>
      </c>
      <c r="K21" t="s">
        <v>11</v>
      </c>
      <c r="L21" t="s">
        <v>36</v>
      </c>
      <c r="M21" t="s">
        <v>35</v>
      </c>
      <c r="N21" t="str">
        <f t="shared" si="3"/>
        <v>Новикова Ольга ПетровнаИванов Никита Романович</v>
      </c>
      <c r="O21" t="s">
        <v>29</v>
      </c>
      <c r="P21" t="s">
        <v>154</v>
      </c>
      <c r="Q21" t="s">
        <v>449</v>
      </c>
    </row>
    <row r="22" spans="4:17" x14ac:dyDescent="0.25">
      <c r="D22" t="s">
        <v>5</v>
      </c>
      <c r="E22" t="s">
        <v>216</v>
      </c>
      <c r="F22" t="str">
        <f t="shared" si="0"/>
        <v>2024-06-21</v>
      </c>
      <c r="G22" t="str">
        <f t="shared" si="1"/>
        <v>2024-06-21</v>
      </c>
      <c r="H22">
        <f t="shared" si="2"/>
        <v>0</v>
      </c>
      <c r="J22" t="str">
        <f>K22&amp;L22</f>
        <v>Орлов Павел ДенисовичОрлов Иван Викторович</v>
      </c>
      <c r="K22" t="s">
        <v>13</v>
      </c>
      <c r="L22" t="s">
        <v>37</v>
      </c>
      <c r="M22" t="s">
        <v>35</v>
      </c>
      <c r="N22" t="str">
        <f t="shared" si="3"/>
        <v>Новикова Ольга ПетровнаСеменов Матвей Михайлович</v>
      </c>
      <c r="O22" t="s">
        <v>29</v>
      </c>
      <c r="P22" t="s">
        <v>311</v>
      </c>
      <c r="Q22" t="s">
        <v>449</v>
      </c>
    </row>
    <row r="23" spans="4:17" x14ac:dyDescent="0.25">
      <c r="D23" t="s">
        <v>5</v>
      </c>
      <c r="E23" t="s">
        <v>410</v>
      </c>
      <c r="F23" t="str">
        <f t="shared" si="0"/>
        <v>2024-08-19</v>
      </c>
      <c r="G23" t="str">
        <f t="shared" si="1"/>
        <v>2024-08-19</v>
      </c>
      <c r="H23">
        <f t="shared" si="2"/>
        <v>0</v>
      </c>
      <c r="J23" t="str">
        <f>K23&amp;L23</f>
        <v>Фролов Сергей ВикторовичПавлов Михаил Андреевич</v>
      </c>
      <c r="K23" t="s">
        <v>38</v>
      </c>
      <c r="L23" t="s">
        <v>39</v>
      </c>
      <c r="M23" t="s">
        <v>35</v>
      </c>
      <c r="N23" t="str">
        <f t="shared" si="3"/>
        <v>Ткаченко Андрей ОлеговичПавлова Ксения Романовна</v>
      </c>
      <c r="O23" t="s">
        <v>26</v>
      </c>
      <c r="P23" t="s">
        <v>267</v>
      </c>
      <c r="Q23" t="s">
        <v>448</v>
      </c>
    </row>
    <row r="24" spans="4:17" x14ac:dyDescent="0.25">
      <c r="D24" t="s">
        <v>5</v>
      </c>
      <c r="E24" t="s">
        <v>167</v>
      </c>
      <c r="F24" t="str">
        <f t="shared" si="0"/>
        <v>2024-01-09</v>
      </c>
      <c r="G24" t="str">
        <f t="shared" si="1"/>
        <v>2024-01-09</v>
      </c>
      <c r="H24">
        <f t="shared" si="2"/>
        <v>0</v>
      </c>
      <c r="J24" t="str">
        <f>K24&amp;L24</f>
        <v>Новикова Ольга ПетровнаЛебедев Михаил Кириллович</v>
      </c>
      <c r="K24" t="s">
        <v>29</v>
      </c>
      <c r="L24" t="s">
        <v>40</v>
      </c>
      <c r="M24" t="s">
        <v>41</v>
      </c>
      <c r="N24" t="str">
        <f t="shared" si="3"/>
        <v>Семенова Ирина ВалерьевнаНовикова Людмила Кирилловна</v>
      </c>
      <c r="O24" t="s">
        <v>16</v>
      </c>
      <c r="P24" t="s">
        <v>6</v>
      </c>
      <c r="Q24" t="s">
        <v>447</v>
      </c>
    </row>
    <row r="25" spans="4:17" x14ac:dyDescent="0.25">
      <c r="D25" t="s">
        <v>5</v>
      </c>
      <c r="E25" t="s">
        <v>299</v>
      </c>
      <c r="F25" t="str">
        <f t="shared" si="0"/>
        <v>2024-02-20</v>
      </c>
      <c r="G25" t="str">
        <f t="shared" si="1"/>
        <v>2024-02-20</v>
      </c>
      <c r="H25">
        <f t="shared" si="2"/>
        <v>0</v>
      </c>
      <c r="J25" t="str">
        <f>K25&amp;L25</f>
        <v>Семенова Ирина ВалерьевнаВолкова Анна Викторовна</v>
      </c>
      <c r="K25" t="s">
        <v>16</v>
      </c>
      <c r="L25" t="s">
        <v>42</v>
      </c>
      <c r="M25" t="s">
        <v>41</v>
      </c>
      <c r="N25" t="str">
        <f t="shared" si="3"/>
        <v>Громова Мария ИльиничнаЛебедева Анна Олеговна</v>
      </c>
      <c r="O25" t="s">
        <v>43</v>
      </c>
      <c r="P25" t="s">
        <v>362</v>
      </c>
      <c r="Q25" t="s">
        <v>447</v>
      </c>
    </row>
    <row r="26" spans="4:17" x14ac:dyDescent="0.25">
      <c r="D26" t="s">
        <v>5</v>
      </c>
      <c r="E26" t="s">
        <v>116</v>
      </c>
      <c r="F26" t="str">
        <f t="shared" si="0"/>
        <v>2023-12-14</v>
      </c>
      <c r="G26" t="str">
        <f t="shared" si="1"/>
        <v>2023-12-14</v>
      </c>
      <c r="H26">
        <f t="shared" si="2"/>
        <v>0</v>
      </c>
      <c r="J26" t="str">
        <f>K26&amp;L26</f>
        <v>Громова Мария ИльиничнаСмирнова Мария Артемовна</v>
      </c>
      <c r="K26" t="s">
        <v>43</v>
      </c>
      <c r="L26" t="s">
        <v>44</v>
      </c>
      <c r="M26" t="s">
        <v>41</v>
      </c>
      <c r="N26" t="str">
        <f t="shared" si="3"/>
        <v>Сидорова Елена ВасильевнаАлексеева Полина Викторовна</v>
      </c>
      <c r="O26" t="s">
        <v>8</v>
      </c>
      <c r="P26" t="s">
        <v>14</v>
      </c>
      <c r="Q26" t="s">
        <v>447</v>
      </c>
    </row>
    <row r="27" spans="4:17" x14ac:dyDescent="0.25">
      <c r="D27" t="s">
        <v>5</v>
      </c>
      <c r="E27" t="s">
        <v>115</v>
      </c>
      <c r="F27" t="str">
        <f t="shared" si="0"/>
        <v>2024-07-26</v>
      </c>
      <c r="G27" t="str">
        <f t="shared" si="1"/>
        <v>2024-07-26</v>
      </c>
      <c r="H27">
        <f t="shared" si="2"/>
        <v>0</v>
      </c>
      <c r="J27" t="str">
        <f>K27&amp;L27</f>
        <v>Сидорова Елена ВасильевнаСидорова София Артемовна</v>
      </c>
      <c r="K27" t="s">
        <v>8</v>
      </c>
      <c r="L27" t="s">
        <v>45</v>
      </c>
      <c r="M27" t="s">
        <v>41</v>
      </c>
      <c r="N27" t="str">
        <f t="shared" si="3"/>
        <v>Орлов Павел ДенисовичЛебедева Анна Олеговна</v>
      </c>
      <c r="O27" t="s">
        <v>13</v>
      </c>
      <c r="P27" t="s">
        <v>362</v>
      </c>
      <c r="Q27" t="s">
        <v>446</v>
      </c>
    </row>
    <row r="28" spans="4:17" x14ac:dyDescent="0.25">
      <c r="D28" t="s">
        <v>5</v>
      </c>
      <c r="E28" t="s">
        <v>177</v>
      </c>
      <c r="F28" t="str">
        <f t="shared" si="0"/>
        <v>2024-03-06</v>
      </c>
      <c r="G28" t="str">
        <f t="shared" si="1"/>
        <v>2024-03-06</v>
      </c>
      <c r="H28">
        <f t="shared" si="2"/>
        <v>0</v>
      </c>
      <c r="J28" t="str">
        <f>K28&amp;L28</f>
        <v>Сидорова Елена ВасильевнаСтепанова Александра Дмитриевна</v>
      </c>
      <c r="K28" t="s">
        <v>8</v>
      </c>
      <c r="L28" t="s">
        <v>46</v>
      </c>
      <c r="M28" t="s">
        <v>41</v>
      </c>
      <c r="N28" t="str">
        <f t="shared" si="3"/>
        <v>Орлов Павел ДенисовичСтепанова Алиса Ильинична</v>
      </c>
      <c r="O28" t="s">
        <v>13</v>
      </c>
      <c r="P28" t="s">
        <v>135</v>
      </c>
      <c r="Q28" t="s">
        <v>446</v>
      </c>
    </row>
    <row r="29" spans="4:17" x14ac:dyDescent="0.25">
      <c r="D29" t="s">
        <v>5</v>
      </c>
      <c r="E29" t="s">
        <v>278</v>
      </c>
      <c r="F29" t="str">
        <f t="shared" si="0"/>
        <v>2024-01-23</v>
      </c>
      <c r="G29" t="str">
        <f t="shared" si="1"/>
        <v>2024-01-23</v>
      </c>
      <c r="H29">
        <f t="shared" si="2"/>
        <v>0</v>
      </c>
      <c r="J29" t="str">
        <f>K29&amp;L29</f>
        <v>Новикова Ольга ПетровнаНовикова Ольга Викторовна</v>
      </c>
      <c r="K29" t="s">
        <v>29</v>
      </c>
      <c r="L29" t="s">
        <v>47</v>
      </c>
      <c r="M29" t="s">
        <v>48</v>
      </c>
      <c r="N29" t="str">
        <f t="shared" si="3"/>
        <v>Новикова Ольга ПетровнаВолков Павел Иванович</v>
      </c>
      <c r="O29" t="s">
        <v>29</v>
      </c>
      <c r="P29" t="s">
        <v>74</v>
      </c>
      <c r="Q29" t="s">
        <v>445</v>
      </c>
    </row>
    <row r="30" spans="4:17" x14ac:dyDescent="0.25">
      <c r="D30" t="s">
        <v>5</v>
      </c>
      <c r="E30" t="s">
        <v>257</v>
      </c>
      <c r="F30" t="str">
        <f t="shared" si="0"/>
        <v>2024-01-15</v>
      </c>
      <c r="G30" t="str">
        <f t="shared" si="1"/>
        <v>2024-01-15</v>
      </c>
      <c r="H30">
        <f t="shared" si="2"/>
        <v>0</v>
      </c>
      <c r="J30" t="str">
        <f>K30&amp;L30</f>
        <v>Сидорова Елена ВасильевнаЕгоров Сергей Андреевич</v>
      </c>
      <c r="K30" t="s">
        <v>8</v>
      </c>
      <c r="L30" t="s">
        <v>49</v>
      </c>
      <c r="M30" t="s">
        <v>48</v>
      </c>
      <c r="N30" t="str">
        <f t="shared" si="3"/>
        <v>Кузнецов Дмитрий ЛьвовичМорозов Илья Станиславович</v>
      </c>
      <c r="O30" t="s">
        <v>11</v>
      </c>
      <c r="P30" t="s">
        <v>114</v>
      </c>
      <c r="Q30" t="s">
        <v>445</v>
      </c>
    </row>
    <row r="31" spans="4:17" x14ac:dyDescent="0.25">
      <c r="D31" t="s">
        <v>5</v>
      </c>
      <c r="E31" t="s">
        <v>67</v>
      </c>
      <c r="F31" t="str">
        <f t="shared" si="0"/>
        <v>2024-04-18</v>
      </c>
      <c r="G31" t="str">
        <f t="shared" si="1"/>
        <v>2024-04-18</v>
      </c>
      <c r="H31">
        <f t="shared" si="2"/>
        <v>0</v>
      </c>
      <c r="J31" t="str">
        <f>K31&amp;L31</f>
        <v>Петров Владимир КирилловичСидорова Ирина Кирилловна</v>
      </c>
      <c r="K31" t="s">
        <v>19</v>
      </c>
      <c r="L31" t="s">
        <v>50</v>
      </c>
      <c r="M31" t="s">
        <v>48</v>
      </c>
      <c r="N31" t="str">
        <f t="shared" si="3"/>
        <v>Семенова Ирина ВалерьевнаКозлова Алиса Геннадьевна</v>
      </c>
      <c r="O31" t="s">
        <v>16</v>
      </c>
      <c r="P31" t="s">
        <v>326</v>
      </c>
      <c r="Q31" t="s">
        <v>445</v>
      </c>
    </row>
    <row r="32" spans="4:17" x14ac:dyDescent="0.25">
      <c r="D32" t="s">
        <v>5</v>
      </c>
      <c r="E32" t="s">
        <v>123</v>
      </c>
      <c r="F32" t="str">
        <f t="shared" si="0"/>
        <v>2024-02-12</v>
      </c>
      <c r="G32" t="str">
        <f t="shared" si="1"/>
        <v>2024-02-12</v>
      </c>
      <c r="H32">
        <f t="shared" si="2"/>
        <v>0</v>
      </c>
      <c r="J32" t="str">
        <f>K32&amp;L32</f>
        <v>Новикова Ольга ПетровнаВасильева Юлия Сергеевна</v>
      </c>
      <c r="K32" t="s">
        <v>29</v>
      </c>
      <c r="L32" t="s">
        <v>51</v>
      </c>
      <c r="M32" t="s">
        <v>48</v>
      </c>
      <c r="N32" t="str">
        <f t="shared" si="3"/>
        <v>Новикова Ольга ПетровнаВасильева Ксения Егоровна</v>
      </c>
      <c r="O32" t="s">
        <v>29</v>
      </c>
      <c r="P32" t="s">
        <v>220</v>
      </c>
      <c r="Q32" t="s">
        <v>445</v>
      </c>
    </row>
    <row r="33" spans="4:17" x14ac:dyDescent="0.25">
      <c r="D33" t="s">
        <v>5</v>
      </c>
      <c r="E33" t="s">
        <v>145</v>
      </c>
      <c r="F33" t="str">
        <f t="shared" si="0"/>
        <v>2023-11-06</v>
      </c>
      <c r="G33" t="str">
        <f t="shared" si="1"/>
        <v>2024-04-29</v>
      </c>
      <c r="H33">
        <f t="shared" si="2"/>
        <v>175</v>
      </c>
      <c r="J33" t="str">
        <f>K33&amp;L33</f>
        <v>Яковлев Артем ИгоревичКозлов Матвей Владимирович</v>
      </c>
      <c r="K33" t="s">
        <v>21</v>
      </c>
      <c r="L33" t="s">
        <v>52</v>
      </c>
      <c r="M33" t="s">
        <v>48</v>
      </c>
      <c r="N33" t="str">
        <f t="shared" si="3"/>
        <v>Петров Владимир КирилловичПопов Матвей Иванович</v>
      </c>
      <c r="O33" t="s">
        <v>19</v>
      </c>
      <c r="P33" t="s">
        <v>138</v>
      </c>
      <c r="Q33" t="s">
        <v>445</v>
      </c>
    </row>
    <row r="34" spans="4:17" x14ac:dyDescent="0.25">
      <c r="D34" t="s">
        <v>5</v>
      </c>
      <c r="E34" t="s">
        <v>76</v>
      </c>
      <c r="F34" t="str">
        <f t="shared" si="0"/>
        <v>2023-10-24</v>
      </c>
      <c r="G34" t="str">
        <f t="shared" si="1"/>
        <v>2023-10-24</v>
      </c>
      <c r="H34">
        <f t="shared" si="2"/>
        <v>0</v>
      </c>
      <c r="J34" t="str">
        <f>K34&amp;L34</f>
        <v>Петров Владимир КирилловичЕгоров Илья Ильич</v>
      </c>
      <c r="K34" t="s">
        <v>19</v>
      </c>
      <c r="L34" t="s">
        <v>53</v>
      </c>
      <c r="M34" t="s">
        <v>48</v>
      </c>
      <c r="N34" t="str">
        <f t="shared" si="3"/>
        <v>Семенова Ирина ВалерьевнаАлексеева Валерия Викторовна</v>
      </c>
      <c r="O34" t="s">
        <v>16</v>
      </c>
      <c r="P34" t="s">
        <v>96</v>
      </c>
      <c r="Q34" t="s">
        <v>445</v>
      </c>
    </row>
    <row r="35" spans="4:17" x14ac:dyDescent="0.25">
      <c r="D35" t="s">
        <v>5</v>
      </c>
      <c r="E35" t="s">
        <v>6</v>
      </c>
      <c r="F35" t="str">
        <f t="shared" si="0"/>
        <v>2023-09-01</v>
      </c>
      <c r="G35" t="str">
        <f t="shared" si="1"/>
        <v>2024-05-08</v>
      </c>
      <c r="H35">
        <f t="shared" si="2"/>
        <v>250</v>
      </c>
      <c r="J35" t="str">
        <f>K35&amp;L35</f>
        <v>Яковлев Артем ИгоревичВолкова Анна Станиславовна</v>
      </c>
      <c r="K35" t="s">
        <v>21</v>
      </c>
      <c r="L35" t="s">
        <v>54</v>
      </c>
      <c r="M35" t="s">
        <v>48</v>
      </c>
      <c r="N35" t="str">
        <f t="shared" si="3"/>
        <v>Яковлев Артем ИгоревичФедорова Екатерина Владимировна</v>
      </c>
      <c r="O35" t="s">
        <v>21</v>
      </c>
      <c r="P35" t="s">
        <v>25</v>
      </c>
      <c r="Q35" t="s">
        <v>445</v>
      </c>
    </row>
    <row r="36" spans="4:17" x14ac:dyDescent="0.25">
      <c r="D36" t="s">
        <v>5</v>
      </c>
      <c r="E36" t="s">
        <v>47</v>
      </c>
      <c r="F36" t="str">
        <f t="shared" si="0"/>
        <v>2023-11-03</v>
      </c>
      <c r="G36" t="str">
        <f t="shared" si="1"/>
        <v>2023-11-03</v>
      </c>
      <c r="H36">
        <f t="shared" si="2"/>
        <v>0</v>
      </c>
      <c r="J36" t="str">
        <f>K36&amp;L36</f>
        <v>Иванова Анна СергеевнаКозлов Матвей Владимирович</v>
      </c>
      <c r="K36" t="s">
        <v>55</v>
      </c>
      <c r="L36" t="s">
        <v>52</v>
      </c>
      <c r="M36" t="s">
        <v>56</v>
      </c>
      <c r="N36" t="str">
        <f t="shared" si="3"/>
        <v>Белов Алексей КонстантиновичКузнецов Иван Ильич</v>
      </c>
      <c r="O36" t="s">
        <v>5</v>
      </c>
      <c r="P36" t="s">
        <v>410</v>
      </c>
      <c r="Q36" t="s">
        <v>445</v>
      </c>
    </row>
    <row r="37" spans="4:17" x14ac:dyDescent="0.25">
      <c r="D37" t="s">
        <v>5</v>
      </c>
      <c r="E37" t="s">
        <v>33</v>
      </c>
      <c r="F37" t="str">
        <f t="shared" si="0"/>
        <v>2024-01-15</v>
      </c>
      <c r="G37" t="str">
        <f t="shared" si="1"/>
        <v>2024-01-15</v>
      </c>
      <c r="H37">
        <f t="shared" si="2"/>
        <v>0</v>
      </c>
      <c r="J37" t="str">
        <f>K37&amp;L37</f>
        <v>Кузнецов Дмитрий ЛьвовичВасильева Дарья Андреевна</v>
      </c>
      <c r="K37" t="s">
        <v>11</v>
      </c>
      <c r="L37" t="s">
        <v>57</v>
      </c>
      <c r="M37" t="s">
        <v>56</v>
      </c>
      <c r="N37" t="str">
        <f t="shared" si="3"/>
        <v>Белов Алексей КонстантиновичПопов Никита Андреевич</v>
      </c>
      <c r="O37" t="s">
        <v>5</v>
      </c>
      <c r="P37" t="s">
        <v>165</v>
      </c>
      <c r="Q37" t="s">
        <v>445</v>
      </c>
    </row>
    <row r="38" spans="4:17" x14ac:dyDescent="0.25">
      <c r="D38" t="s">
        <v>5</v>
      </c>
      <c r="E38" t="s">
        <v>319</v>
      </c>
      <c r="F38" t="str">
        <f t="shared" si="0"/>
        <v>2024-03-13</v>
      </c>
      <c r="G38" t="str">
        <f t="shared" si="1"/>
        <v>2024-03-13</v>
      </c>
      <c r="H38">
        <f t="shared" si="2"/>
        <v>0</v>
      </c>
      <c r="J38" t="str">
        <f>K38&amp;L38</f>
        <v>Сидорова Елена ВасильевнаВолкова Екатерина Егоровна</v>
      </c>
      <c r="K38" t="s">
        <v>8</v>
      </c>
      <c r="L38" t="s">
        <v>58</v>
      </c>
      <c r="M38" t="s">
        <v>56</v>
      </c>
      <c r="N38" t="str">
        <f t="shared" si="3"/>
        <v>Сидорова Елена ВасильевнаЛебедева Юлия Алексеевна</v>
      </c>
      <c r="O38" t="s">
        <v>8</v>
      </c>
      <c r="P38" t="s">
        <v>411</v>
      </c>
      <c r="Q38" t="s">
        <v>445</v>
      </c>
    </row>
    <row r="39" spans="4:17" x14ac:dyDescent="0.25">
      <c r="D39" t="s">
        <v>5</v>
      </c>
      <c r="E39" t="s">
        <v>126</v>
      </c>
      <c r="F39" t="str">
        <f t="shared" si="0"/>
        <v>2024-05-10</v>
      </c>
      <c r="G39" t="str">
        <f t="shared" si="1"/>
        <v>2024-05-10</v>
      </c>
      <c r="H39">
        <f t="shared" si="2"/>
        <v>0</v>
      </c>
      <c r="J39" t="str">
        <f>K39&amp;L39</f>
        <v>Белов Алексей КонстантиновичСидоров Кирилл Михайлович</v>
      </c>
      <c r="K39" t="s">
        <v>5</v>
      </c>
      <c r="L39" t="s">
        <v>59</v>
      </c>
      <c r="M39" t="s">
        <v>56</v>
      </c>
      <c r="N39" t="str">
        <f t="shared" si="3"/>
        <v>Яковлев Артем ИгоревичПопов Роман Владимирович</v>
      </c>
      <c r="O39" t="s">
        <v>21</v>
      </c>
      <c r="P39" t="s">
        <v>88</v>
      </c>
      <c r="Q39" t="s">
        <v>444</v>
      </c>
    </row>
    <row r="40" spans="4:17" x14ac:dyDescent="0.25">
      <c r="D40" t="s">
        <v>5</v>
      </c>
      <c r="E40" t="s">
        <v>84</v>
      </c>
      <c r="F40" t="str">
        <f t="shared" si="0"/>
        <v>2023-09-20</v>
      </c>
      <c r="G40" t="str">
        <f t="shared" si="1"/>
        <v>2024-04-12</v>
      </c>
      <c r="H40">
        <f t="shared" si="2"/>
        <v>205</v>
      </c>
      <c r="J40" t="str">
        <f>K40&amp;L40</f>
        <v>Кузнецов Дмитрий ЛьвовичКозлов Александр Павлович</v>
      </c>
      <c r="K40" t="s">
        <v>11</v>
      </c>
      <c r="L40" t="s">
        <v>60</v>
      </c>
      <c r="M40" t="s">
        <v>56</v>
      </c>
      <c r="N40" t="str">
        <f t="shared" si="3"/>
        <v>Кузнецов Дмитрий ЛьвовичПопова Полина Юрьевна</v>
      </c>
      <c r="O40" t="s">
        <v>11</v>
      </c>
      <c r="P40" t="s">
        <v>248</v>
      </c>
      <c r="Q40" t="s">
        <v>444</v>
      </c>
    </row>
    <row r="41" spans="4:17" x14ac:dyDescent="0.25">
      <c r="D41" t="s">
        <v>5</v>
      </c>
      <c r="E41" t="s">
        <v>102</v>
      </c>
      <c r="F41" t="str">
        <f t="shared" si="0"/>
        <v>2023-09-28</v>
      </c>
      <c r="G41" t="str">
        <f t="shared" si="1"/>
        <v>2024-06-28</v>
      </c>
      <c r="H41">
        <f t="shared" si="2"/>
        <v>274</v>
      </c>
      <c r="J41" t="str">
        <f>K41&amp;L41</f>
        <v>Фролов Сергей ВикторовичПопов Георгий Егорович</v>
      </c>
      <c r="K41" t="s">
        <v>38</v>
      </c>
      <c r="L41" t="s">
        <v>61</v>
      </c>
      <c r="M41" t="s">
        <v>62</v>
      </c>
      <c r="N41" t="str">
        <f t="shared" si="3"/>
        <v>Новикова Ольга ПетровнаЕгорова Мария Кирилловна</v>
      </c>
      <c r="O41" t="s">
        <v>29</v>
      </c>
      <c r="P41" t="s">
        <v>370</v>
      </c>
      <c r="Q41" t="s">
        <v>444</v>
      </c>
    </row>
    <row r="42" spans="4:17" x14ac:dyDescent="0.25">
      <c r="D42" t="s">
        <v>5</v>
      </c>
      <c r="E42" t="s">
        <v>206</v>
      </c>
      <c r="F42" t="str">
        <f t="shared" si="0"/>
        <v>2024-03-25</v>
      </c>
      <c r="G42" t="str">
        <f t="shared" si="1"/>
        <v>2024-05-29</v>
      </c>
      <c r="H42">
        <f t="shared" si="2"/>
        <v>65</v>
      </c>
      <c r="J42" t="str">
        <f>K42&amp;L42</f>
        <v>Семенова Ирина ВалерьевнаНиколаев Андрей Ильич</v>
      </c>
      <c r="K42" t="s">
        <v>16</v>
      </c>
      <c r="L42" t="s">
        <v>63</v>
      </c>
      <c r="M42" t="s">
        <v>62</v>
      </c>
      <c r="N42" t="str">
        <f t="shared" si="3"/>
        <v>Петров Владимир КирилловичМорозов Константин Михайлович</v>
      </c>
      <c r="O42" t="s">
        <v>19</v>
      </c>
      <c r="P42" t="s">
        <v>442</v>
      </c>
      <c r="Q42" t="s">
        <v>443</v>
      </c>
    </row>
    <row r="43" spans="4:17" x14ac:dyDescent="0.25">
      <c r="D43" t="s">
        <v>5</v>
      </c>
      <c r="E43" t="s">
        <v>109</v>
      </c>
      <c r="F43" t="str">
        <f t="shared" si="0"/>
        <v>2024-07-03</v>
      </c>
      <c r="G43" t="str">
        <f t="shared" si="1"/>
        <v>2024-07-03</v>
      </c>
      <c r="H43">
        <f t="shared" si="2"/>
        <v>0</v>
      </c>
      <c r="J43" t="str">
        <f>K43&amp;L43</f>
        <v>Ткаченко Андрей ОлеговичВолкова Светлана Ивановна</v>
      </c>
      <c r="K43" t="s">
        <v>26</v>
      </c>
      <c r="L43" t="s">
        <v>64</v>
      </c>
      <c r="M43" t="s">
        <v>62</v>
      </c>
      <c r="N43" t="str">
        <f t="shared" si="3"/>
        <v>Яковлев Артем ИгоревичНовикова София Ивановна</v>
      </c>
      <c r="O43" t="s">
        <v>21</v>
      </c>
      <c r="P43" t="s">
        <v>33</v>
      </c>
      <c r="Q43" t="s">
        <v>443</v>
      </c>
    </row>
    <row r="44" spans="4:17" x14ac:dyDescent="0.25">
      <c r="D44" t="s">
        <v>5</v>
      </c>
      <c r="E44" t="s">
        <v>275</v>
      </c>
      <c r="F44" t="str">
        <f t="shared" si="0"/>
        <v>2024-04-08</v>
      </c>
      <c r="G44" t="str">
        <f t="shared" si="1"/>
        <v>2024-04-08</v>
      </c>
      <c r="H44">
        <f t="shared" si="2"/>
        <v>0</v>
      </c>
      <c r="J44" t="str">
        <f>K44&amp;L44</f>
        <v>Кузнецов Дмитрий ЛьвовичВасильев Егор Павлович</v>
      </c>
      <c r="K44" t="s">
        <v>11</v>
      </c>
      <c r="L44" t="s">
        <v>65</v>
      </c>
      <c r="M44" t="s">
        <v>66</v>
      </c>
      <c r="N44" t="str">
        <f t="shared" si="3"/>
        <v>Орлов Павел ДенисовичПопов Роман Владимирович</v>
      </c>
      <c r="O44" t="s">
        <v>13</v>
      </c>
      <c r="P44" t="s">
        <v>88</v>
      </c>
      <c r="Q44" t="s">
        <v>443</v>
      </c>
    </row>
    <row r="45" spans="4:17" x14ac:dyDescent="0.25">
      <c r="D45" t="s">
        <v>5</v>
      </c>
      <c r="E45" t="s">
        <v>71</v>
      </c>
      <c r="F45" t="str">
        <f t="shared" si="0"/>
        <v>2024-01-30</v>
      </c>
      <c r="G45" t="str">
        <f t="shared" si="1"/>
        <v>2024-01-30</v>
      </c>
      <c r="H45">
        <f t="shared" si="2"/>
        <v>0</v>
      </c>
      <c r="J45" t="str">
        <f>K45&amp;L45</f>
        <v>Ткаченко Андрей ОлеговичНиколаева Алиса Ильинична</v>
      </c>
      <c r="K45" t="s">
        <v>26</v>
      </c>
      <c r="L45" t="s">
        <v>67</v>
      </c>
      <c r="M45" t="s">
        <v>66</v>
      </c>
      <c r="N45" t="str">
        <f t="shared" si="3"/>
        <v>Семенова Ирина ВалерьевнаСеменов Алексей Юрьевич</v>
      </c>
      <c r="O45" t="s">
        <v>16</v>
      </c>
      <c r="P45" t="s">
        <v>143</v>
      </c>
      <c r="Q45" t="s">
        <v>441</v>
      </c>
    </row>
    <row r="46" spans="4:17" x14ac:dyDescent="0.25">
      <c r="D46" t="s">
        <v>5</v>
      </c>
      <c r="E46" t="s">
        <v>119</v>
      </c>
      <c r="F46" t="str">
        <f t="shared" si="0"/>
        <v>2023-10-04</v>
      </c>
      <c r="G46" t="str">
        <f t="shared" si="1"/>
        <v>2023-10-04</v>
      </c>
      <c r="H46">
        <f t="shared" si="2"/>
        <v>0</v>
      </c>
      <c r="J46" t="str">
        <f>K46&amp;L46</f>
        <v>Кузнецов Дмитрий ЛьвовичВасильев Владимир Алексеевич</v>
      </c>
      <c r="K46" t="s">
        <v>11</v>
      </c>
      <c r="L46" t="s">
        <v>68</v>
      </c>
      <c r="M46" t="s">
        <v>69</v>
      </c>
      <c r="N46" t="str">
        <f t="shared" si="3"/>
        <v>Петров Владимир КирилловичВолкова Екатерина Егоровна</v>
      </c>
      <c r="O46" t="s">
        <v>19</v>
      </c>
      <c r="P46" t="s">
        <v>58</v>
      </c>
      <c r="Q46" t="s">
        <v>441</v>
      </c>
    </row>
    <row r="47" spans="4:17" x14ac:dyDescent="0.25">
      <c r="D47" t="s">
        <v>5</v>
      </c>
      <c r="E47" t="s">
        <v>165</v>
      </c>
      <c r="F47" t="str">
        <f t="shared" si="0"/>
        <v>2024-08-19</v>
      </c>
      <c r="G47" t="str">
        <f t="shared" si="1"/>
        <v>2024-08-19</v>
      </c>
      <c r="H47">
        <f t="shared" si="2"/>
        <v>0</v>
      </c>
      <c r="J47" t="str">
        <f>K47&amp;L47</f>
        <v>Петров Владимир КирилловичЕгоров Сергей Андреевич</v>
      </c>
      <c r="K47" t="s">
        <v>19</v>
      </c>
      <c r="L47" t="s">
        <v>49</v>
      </c>
      <c r="M47" t="s">
        <v>70</v>
      </c>
      <c r="N47" t="str">
        <f t="shared" si="3"/>
        <v>Кузнецов Дмитрий ЛьвовичПетров Никита Павлович</v>
      </c>
      <c r="O47" t="s">
        <v>11</v>
      </c>
      <c r="P47" t="s">
        <v>75</v>
      </c>
      <c r="Q47" t="s">
        <v>440</v>
      </c>
    </row>
    <row r="48" spans="4:17" x14ac:dyDescent="0.25">
      <c r="D48" t="s">
        <v>5</v>
      </c>
      <c r="E48" t="s">
        <v>158</v>
      </c>
      <c r="F48" t="str">
        <f t="shared" si="0"/>
        <v>2024-05-21</v>
      </c>
      <c r="G48" t="str">
        <f t="shared" si="1"/>
        <v>2024-07-15</v>
      </c>
      <c r="H48">
        <f t="shared" si="2"/>
        <v>55</v>
      </c>
      <c r="J48" t="str">
        <f>K48&amp;L48</f>
        <v>Петров Владимир КирилловичПетрова Виктория Юрьевна</v>
      </c>
      <c r="K48" t="s">
        <v>19</v>
      </c>
      <c r="L48" t="s">
        <v>71</v>
      </c>
      <c r="M48" t="s">
        <v>70</v>
      </c>
      <c r="N48" t="str">
        <f t="shared" si="3"/>
        <v>Кузнецов Дмитрий ЛьвовичФедоров Владимир Артемович</v>
      </c>
      <c r="O48" t="s">
        <v>11</v>
      </c>
      <c r="P48" t="s">
        <v>217</v>
      </c>
      <c r="Q48" t="s">
        <v>440</v>
      </c>
    </row>
    <row r="49" spans="4:17" x14ac:dyDescent="0.25">
      <c r="D49" t="s">
        <v>5</v>
      </c>
      <c r="E49" t="s">
        <v>88</v>
      </c>
      <c r="F49" t="str">
        <f t="shared" si="0"/>
        <v>2024-01-22</v>
      </c>
      <c r="G49" t="str">
        <f t="shared" si="1"/>
        <v>2024-01-22</v>
      </c>
      <c r="H49">
        <f t="shared" si="2"/>
        <v>0</v>
      </c>
      <c r="J49" t="str">
        <f>K49&amp;L49</f>
        <v>Иванова Анна СергеевнаАлексеева Мария Олеговна</v>
      </c>
      <c r="K49" t="s">
        <v>55</v>
      </c>
      <c r="L49" t="s">
        <v>72</v>
      </c>
      <c r="M49" t="s">
        <v>70</v>
      </c>
      <c r="N49" t="str">
        <f t="shared" si="3"/>
        <v>Иванова Анна СергеевнаНовикова Екатерина Павловна</v>
      </c>
      <c r="O49" t="s">
        <v>55</v>
      </c>
      <c r="P49" t="s">
        <v>76</v>
      </c>
      <c r="Q49" t="s">
        <v>439</v>
      </c>
    </row>
    <row r="50" spans="4:17" x14ac:dyDescent="0.25">
      <c r="D50" t="s">
        <v>5</v>
      </c>
      <c r="E50" t="s">
        <v>174</v>
      </c>
      <c r="F50" t="str">
        <f t="shared" si="0"/>
        <v>2023-10-30</v>
      </c>
      <c r="G50" t="str">
        <f t="shared" si="1"/>
        <v>2023-10-30</v>
      </c>
      <c r="H50">
        <f t="shared" si="2"/>
        <v>0</v>
      </c>
      <c r="J50" t="str">
        <f>K50&amp;L50</f>
        <v>Ткаченко Андрей ОлеговичСеменов Никита Александрович</v>
      </c>
      <c r="K50" t="s">
        <v>26</v>
      </c>
      <c r="L50" t="s">
        <v>73</v>
      </c>
      <c r="M50" t="s">
        <v>70</v>
      </c>
      <c r="N50" t="str">
        <f t="shared" si="3"/>
        <v>Сидорова Елена ВасильевнаСеменова Александра Егоровна</v>
      </c>
      <c r="O50" t="s">
        <v>8</v>
      </c>
      <c r="P50" t="s">
        <v>94</v>
      </c>
      <c r="Q50" t="s">
        <v>439</v>
      </c>
    </row>
    <row r="51" spans="4:17" x14ac:dyDescent="0.25">
      <c r="D51" t="s">
        <v>5</v>
      </c>
      <c r="E51" t="s">
        <v>248</v>
      </c>
      <c r="F51" t="str">
        <f t="shared" si="0"/>
        <v>2024-02-05</v>
      </c>
      <c r="G51" t="str">
        <f t="shared" si="1"/>
        <v>2024-02-05</v>
      </c>
      <c r="H51">
        <f t="shared" si="2"/>
        <v>0</v>
      </c>
      <c r="J51" t="str">
        <f>K51&amp;L51</f>
        <v>Семенова Ирина ВалерьевнаВолков Павел Иванович</v>
      </c>
      <c r="K51" t="s">
        <v>16</v>
      </c>
      <c r="L51" t="s">
        <v>74</v>
      </c>
      <c r="M51" t="s">
        <v>70</v>
      </c>
      <c r="N51" t="str">
        <f t="shared" si="3"/>
        <v>Новикова Ольга ПетровнаСидоров Дмитрий Александрович</v>
      </c>
      <c r="O51" t="s">
        <v>29</v>
      </c>
      <c r="P51" t="s">
        <v>255</v>
      </c>
      <c r="Q51" t="s">
        <v>439</v>
      </c>
    </row>
    <row r="52" spans="4:17" x14ac:dyDescent="0.25">
      <c r="D52" t="s">
        <v>5</v>
      </c>
      <c r="E52" t="s">
        <v>18</v>
      </c>
      <c r="F52" t="str">
        <f t="shared" si="0"/>
        <v>2023-09-04</v>
      </c>
      <c r="G52" t="str">
        <f t="shared" si="1"/>
        <v>2023-10-30</v>
      </c>
      <c r="H52">
        <f t="shared" si="2"/>
        <v>56</v>
      </c>
      <c r="J52" t="str">
        <f>K52&amp;L52</f>
        <v>Яковлев Артем ИгоревичПетров Никита Павлович</v>
      </c>
      <c r="K52" t="s">
        <v>21</v>
      </c>
      <c r="L52" t="s">
        <v>75</v>
      </c>
      <c r="M52" t="s">
        <v>70</v>
      </c>
      <c r="N52" t="str">
        <f t="shared" si="3"/>
        <v>Фролов Сергей ВикторовичВолков Алексей Никитич</v>
      </c>
      <c r="O52" t="s">
        <v>38</v>
      </c>
      <c r="P52" t="s">
        <v>187</v>
      </c>
      <c r="Q52" t="s">
        <v>439</v>
      </c>
    </row>
    <row r="53" spans="4:17" x14ac:dyDescent="0.25">
      <c r="D53" t="s">
        <v>5</v>
      </c>
      <c r="E53" t="s">
        <v>183</v>
      </c>
      <c r="F53" t="str">
        <f t="shared" si="0"/>
        <v>2023-11-03</v>
      </c>
      <c r="G53" t="str">
        <f t="shared" si="1"/>
        <v>2023-11-03</v>
      </c>
      <c r="H53">
        <f t="shared" si="2"/>
        <v>0</v>
      </c>
      <c r="J53" t="str">
        <f>K53&amp;L53</f>
        <v>Петров Владимир КирилловичНовикова Екатерина Павловна</v>
      </c>
      <c r="K53" t="s">
        <v>19</v>
      </c>
      <c r="L53" t="s">
        <v>76</v>
      </c>
      <c r="M53" t="s">
        <v>70</v>
      </c>
      <c r="N53" t="str">
        <f t="shared" si="3"/>
        <v>Орлов Павел ДенисовичКузнецов Кирилл Александрович</v>
      </c>
      <c r="O53" t="s">
        <v>13</v>
      </c>
      <c r="P53" t="s">
        <v>92</v>
      </c>
      <c r="Q53" t="s">
        <v>439</v>
      </c>
    </row>
    <row r="54" spans="4:17" x14ac:dyDescent="0.25">
      <c r="D54" t="s">
        <v>5</v>
      </c>
      <c r="E54" t="s">
        <v>227</v>
      </c>
      <c r="F54" t="str">
        <f t="shared" si="0"/>
        <v>2023-12-19</v>
      </c>
      <c r="G54" t="str">
        <f t="shared" si="1"/>
        <v>2024-05-13</v>
      </c>
      <c r="H54">
        <f t="shared" si="2"/>
        <v>146</v>
      </c>
      <c r="J54" t="str">
        <f>K54&amp;L54</f>
        <v>Петров Владимир КирилловичЛебедева Дарья Ивановна</v>
      </c>
      <c r="K54" t="s">
        <v>19</v>
      </c>
      <c r="L54" t="s">
        <v>77</v>
      </c>
      <c r="M54" t="s">
        <v>70</v>
      </c>
      <c r="N54" t="str">
        <f t="shared" si="3"/>
        <v>Кузнецов Дмитрий ЛьвовичВасильев Андрей Дмитриевич</v>
      </c>
      <c r="O54" t="s">
        <v>11</v>
      </c>
      <c r="P54" t="s">
        <v>172</v>
      </c>
      <c r="Q54" t="s">
        <v>439</v>
      </c>
    </row>
    <row r="55" spans="4:17" x14ac:dyDescent="0.25">
      <c r="D55" t="s">
        <v>5</v>
      </c>
      <c r="E55" t="s">
        <v>255</v>
      </c>
      <c r="F55" t="str">
        <f t="shared" si="0"/>
        <v>2024-05-14</v>
      </c>
      <c r="G55" t="str">
        <f t="shared" si="1"/>
        <v>2024-05-14</v>
      </c>
      <c r="H55">
        <f t="shared" si="2"/>
        <v>0</v>
      </c>
      <c r="J55" t="str">
        <f>K55&amp;L55</f>
        <v>Громова Мария ИльиничнаПопов Георгий Егорович</v>
      </c>
      <c r="K55" t="s">
        <v>43</v>
      </c>
      <c r="L55" t="s">
        <v>61</v>
      </c>
      <c r="M55" t="s">
        <v>70</v>
      </c>
      <c r="N55" t="str">
        <f t="shared" si="3"/>
        <v>Кузнецов Дмитрий ЛьвовичПопова Наталья Станиславовна</v>
      </c>
      <c r="O55" t="s">
        <v>11</v>
      </c>
      <c r="P55" t="s">
        <v>178</v>
      </c>
      <c r="Q55" t="s">
        <v>439</v>
      </c>
    </row>
    <row r="56" spans="4:17" x14ac:dyDescent="0.25">
      <c r="D56" t="s">
        <v>5</v>
      </c>
      <c r="E56" t="s">
        <v>59</v>
      </c>
      <c r="F56" t="str">
        <f t="shared" si="0"/>
        <v>2023-09-12</v>
      </c>
      <c r="G56" t="str">
        <f t="shared" si="1"/>
        <v>2024-03-04</v>
      </c>
      <c r="H56">
        <f t="shared" si="2"/>
        <v>174</v>
      </c>
      <c r="J56" t="str">
        <f>K56&amp;L56</f>
        <v>Петров Владимир КирилловичКузнецов Александр Романович</v>
      </c>
      <c r="K56" t="s">
        <v>19</v>
      </c>
      <c r="L56" t="s">
        <v>78</v>
      </c>
      <c r="M56" t="s">
        <v>70</v>
      </c>
      <c r="N56" t="str">
        <f t="shared" si="3"/>
        <v>Семенова Ирина ВалерьевнаНиколаева Анна Дмитриевна</v>
      </c>
      <c r="O56" t="s">
        <v>16</v>
      </c>
      <c r="P56" t="s">
        <v>123</v>
      </c>
      <c r="Q56" t="s">
        <v>439</v>
      </c>
    </row>
    <row r="57" spans="4:17" x14ac:dyDescent="0.25">
      <c r="D57" t="s">
        <v>5</v>
      </c>
      <c r="E57" t="s">
        <v>194</v>
      </c>
      <c r="F57" t="str">
        <f t="shared" si="0"/>
        <v>2023-11-09</v>
      </c>
      <c r="G57" t="str">
        <f t="shared" si="1"/>
        <v>2023-11-09</v>
      </c>
      <c r="H57">
        <f t="shared" si="2"/>
        <v>0</v>
      </c>
      <c r="J57" t="str">
        <f>K57&amp;L57</f>
        <v>Ткаченко Андрей ОлеговичФедоров Андрей Владимирович</v>
      </c>
      <c r="K57" t="s">
        <v>26</v>
      </c>
      <c r="L57" t="s">
        <v>79</v>
      </c>
      <c r="M57" t="s">
        <v>80</v>
      </c>
      <c r="N57" t="str">
        <f t="shared" si="3"/>
        <v>Громова Мария ИльиничнаОрлов Владимир Александрович</v>
      </c>
      <c r="O57" t="s">
        <v>43</v>
      </c>
      <c r="P57" t="s">
        <v>106</v>
      </c>
      <c r="Q57" t="s">
        <v>438</v>
      </c>
    </row>
    <row r="58" spans="4:17" x14ac:dyDescent="0.25">
      <c r="D58" t="s">
        <v>5</v>
      </c>
      <c r="E58" t="s">
        <v>118</v>
      </c>
      <c r="F58" t="str">
        <f t="shared" si="0"/>
        <v>2023-10-13</v>
      </c>
      <c r="G58" t="str">
        <f t="shared" si="1"/>
        <v>2023-10-13</v>
      </c>
      <c r="H58">
        <f t="shared" si="2"/>
        <v>0</v>
      </c>
      <c r="J58" t="str">
        <f>K58&amp;L58</f>
        <v>Ткаченко Андрей ОлеговичЛебедев Артем Дмитриевич</v>
      </c>
      <c r="K58" t="s">
        <v>26</v>
      </c>
      <c r="L58" t="s">
        <v>81</v>
      </c>
      <c r="M58" t="s">
        <v>80</v>
      </c>
      <c r="N58" t="str">
        <f t="shared" si="3"/>
        <v>Сидорова Елена ВасильевнаВасильева Елена Андреевна</v>
      </c>
      <c r="O58" t="s">
        <v>8</v>
      </c>
      <c r="P58" t="s">
        <v>27</v>
      </c>
      <c r="Q58" t="s">
        <v>438</v>
      </c>
    </row>
    <row r="59" spans="4:17" x14ac:dyDescent="0.25">
      <c r="D59" t="s">
        <v>5</v>
      </c>
      <c r="E59" t="s">
        <v>258</v>
      </c>
      <c r="F59" t="str">
        <f t="shared" si="0"/>
        <v>2024-01-09</v>
      </c>
      <c r="G59" t="str">
        <f t="shared" si="1"/>
        <v>2024-01-09</v>
      </c>
      <c r="H59">
        <f t="shared" si="2"/>
        <v>0</v>
      </c>
      <c r="J59" t="str">
        <f>K59&amp;L59</f>
        <v>Яковлев Артем ИгоревичНовикова София Ивановна</v>
      </c>
      <c r="K59" t="s">
        <v>21</v>
      </c>
      <c r="L59" t="s">
        <v>33</v>
      </c>
      <c r="M59" t="s">
        <v>80</v>
      </c>
      <c r="N59" t="str">
        <f t="shared" si="3"/>
        <v>Кузнецов Дмитрий ЛьвовичНиколаева Мария Никитична</v>
      </c>
      <c r="O59" t="s">
        <v>11</v>
      </c>
      <c r="P59" t="s">
        <v>211</v>
      </c>
      <c r="Q59" t="s">
        <v>438</v>
      </c>
    </row>
    <row r="60" spans="4:17" x14ac:dyDescent="0.25">
      <c r="D60" t="s">
        <v>5</v>
      </c>
      <c r="E60" t="s">
        <v>156</v>
      </c>
      <c r="F60" t="str">
        <f t="shared" si="0"/>
        <v>2024-02-19</v>
      </c>
      <c r="G60" t="str">
        <f t="shared" si="1"/>
        <v>2024-02-19</v>
      </c>
      <c r="H60">
        <f t="shared" si="2"/>
        <v>0</v>
      </c>
      <c r="J60" t="str">
        <f>K60&amp;L60</f>
        <v>Орлов Павел ДенисовичПопов Иван Егорович</v>
      </c>
      <c r="K60" t="s">
        <v>13</v>
      </c>
      <c r="L60" t="s">
        <v>82</v>
      </c>
      <c r="M60" t="s">
        <v>83</v>
      </c>
      <c r="N60" t="str">
        <f t="shared" si="3"/>
        <v>Яковлев Артем ИгоревичВасильева Виктория Артемовна</v>
      </c>
      <c r="O60" t="s">
        <v>21</v>
      </c>
      <c r="P60" t="s">
        <v>274</v>
      </c>
      <c r="Q60" t="s">
        <v>438</v>
      </c>
    </row>
    <row r="61" spans="4:17" x14ac:dyDescent="0.25">
      <c r="D61" t="s">
        <v>5</v>
      </c>
      <c r="E61" t="s">
        <v>12</v>
      </c>
      <c r="F61" t="str">
        <f t="shared" si="0"/>
        <v>2024-03-18</v>
      </c>
      <c r="G61" t="str">
        <f t="shared" si="1"/>
        <v>2024-03-18</v>
      </c>
      <c r="H61">
        <f t="shared" si="2"/>
        <v>0</v>
      </c>
      <c r="J61" t="str">
        <f>K61&amp;L61</f>
        <v>Орлов Павел ДенисовичПетрова Виктория Юрьевна</v>
      </c>
      <c r="K61" t="s">
        <v>13</v>
      </c>
      <c r="L61" t="s">
        <v>71</v>
      </c>
      <c r="M61" t="s">
        <v>83</v>
      </c>
      <c r="N61" t="str">
        <f t="shared" si="3"/>
        <v>Фролов Сергей ВикторовичЛебедева София Алексеевна</v>
      </c>
      <c r="O61" t="s">
        <v>38</v>
      </c>
      <c r="P61" t="s">
        <v>340</v>
      </c>
      <c r="Q61" t="s">
        <v>437</v>
      </c>
    </row>
    <row r="62" spans="4:17" x14ac:dyDescent="0.25">
      <c r="D62" t="s">
        <v>5</v>
      </c>
      <c r="E62" t="s">
        <v>28</v>
      </c>
      <c r="F62" t="str">
        <f t="shared" si="0"/>
        <v>2023-10-30</v>
      </c>
      <c r="G62" t="str">
        <f t="shared" si="1"/>
        <v>2023-11-20</v>
      </c>
      <c r="H62">
        <f t="shared" si="2"/>
        <v>21</v>
      </c>
      <c r="J62" t="str">
        <f>K62&amp;L62</f>
        <v>Громова Мария ИльиничнаНовикова София Ивановна</v>
      </c>
      <c r="K62" t="s">
        <v>43</v>
      </c>
      <c r="L62" t="s">
        <v>33</v>
      </c>
      <c r="M62" t="s">
        <v>83</v>
      </c>
      <c r="N62" t="str">
        <f t="shared" si="3"/>
        <v>Громова Мария ИльиничнаСмирнова Елена Олеговна</v>
      </c>
      <c r="O62" t="s">
        <v>43</v>
      </c>
      <c r="P62" t="s">
        <v>22</v>
      </c>
      <c r="Q62" t="s">
        <v>437</v>
      </c>
    </row>
    <row r="63" spans="4:17" x14ac:dyDescent="0.25">
      <c r="D63" t="s">
        <v>5</v>
      </c>
      <c r="E63" t="s">
        <v>276</v>
      </c>
      <c r="F63" t="str">
        <f t="shared" si="0"/>
        <v>2024-01-22</v>
      </c>
      <c r="G63" t="str">
        <f t="shared" si="1"/>
        <v>2024-01-22</v>
      </c>
      <c r="H63">
        <f t="shared" si="2"/>
        <v>0</v>
      </c>
      <c r="J63" t="str">
        <f>K63&amp;L63</f>
        <v>Белов Алексей КонстантиновичПетров Дмитрий Сергеевич</v>
      </c>
      <c r="K63" t="s">
        <v>5</v>
      </c>
      <c r="L63" t="s">
        <v>84</v>
      </c>
      <c r="M63" t="s">
        <v>83</v>
      </c>
      <c r="N63" t="str">
        <f t="shared" si="3"/>
        <v>Яковлев Артем ИгоревичПопова Полина Сергеевна</v>
      </c>
      <c r="O63" t="s">
        <v>21</v>
      </c>
      <c r="P63" t="s">
        <v>160</v>
      </c>
      <c r="Q63" t="s">
        <v>436</v>
      </c>
    </row>
    <row r="64" spans="4:17" x14ac:dyDescent="0.25">
      <c r="D64" t="s">
        <v>43</v>
      </c>
      <c r="E64" t="s">
        <v>190</v>
      </c>
      <c r="F64" t="str">
        <f t="shared" si="0"/>
        <v>2024-05-13</v>
      </c>
      <c r="G64" t="str">
        <f t="shared" si="1"/>
        <v>2024-05-13</v>
      </c>
      <c r="H64">
        <f t="shared" si="2"/>
        <v>0</v>
      </c>
      <c r="J64" t="str">
        <f>K64&amp;L64</f>
        <v>Кузнецов Дмитрий ЛьвовичАлексеев Михаил Алексеевич</v>
      </c>
      <c r="K64" t="s">
        <v>11</v>
      </c>
      <c r="L64" t="s">
        <v>85</v>
      </c>
      <c r="M64" t="s">
        <v>86</v>
      </c>
      <c r="N64" t="str">
        <f t="shared" si="3"/>
        <v>Петров Владимир КирилловичФедоров Максим Андреевич</v>
      </c>
      <c r="O64" t="s">
        <v>19</v>
      </c>
      <c r="P64" t="s">
        <v>97</v>
      </c>
      <c r="Q64" t="s">
        <v>435</v>
      </c>
    </row>
    <row r="65" spans="4:17" x14ac:dyDescent="0.25">
      <c r="D65" t="s">
        <v>43</v>
      </c>
      <c r="E65" t="s">
        <v>193</v>
      </c>
      <c r="F65" t="str">
        <f t="shared" si="0"/>
        <v>2024-07-22</v>
      </c>
      <c r="G65" t="str">
        <f t="shared" si="1"/>
        <v>2024-07-22</v>
      </c>
      <c r="H65">
        <f t="shared" si="2"/>
        <v>0</v>
      </c>
      <c r="J65" t="str">
        <f>K65&amp;L65</f>
        <v>Сидорова Елена ВасильевнаКузнецов Егор Андреевич</v>
      </c>
      <c r="K65" t="s">
        <v>8</v>
      </c>
      <c r="L65" t="s">
        <v>30</v>
      </c>
      <c r="M65" t="s">
        <v>86</v>
      </c>
      <c r="N65" t="str">
        <f t="shared" si="3"/>
        <v>Петров Владимир КирилловичВолков Алексей Никитич</v>
      </c>
      <c r="O65" t="s">
        <v>19</v>
      </c>
      <c r="P65" t="s">
        <v>187</v>
      </c>
      <c r="Q65" t="s">
        <v>435</v>
      </c>
    </row>
    <row r="66" spans="4:17" x14ac:dyDescent="0.25">
      <c r="D66" t="s">
        <v>43</v>
      </c>
      <c r="E66" t="s">
        <v>85</v>
      </c>
      <c r="F66" t="str">
        <f t="shared" si="0"/>
        <v>2024-01-24</v>
      </c>
      <c r="G66" t="str">
        <f t="shared" si="1"/>
        <v>2024-01-24</v>
      </c>
      <c r="H66">
        <f t="shared" si="2"/>
        <v>0</v>
      </c>
      <c r="J66" t="str">
        <f>K66&amp;L66</f>
        <v>Новикова Ольга ПетровнаКозлова Полина Михайловна</v>
      </c>
      <c r="K66" t="s">
        <v>29</v>
      </c>
      <c r="L66" t="s">
        <v>87</v>
      </c>
      <c r="M66" t="s">
        <v>86</v>
      </c>
      <c r="N66" t="str">
        <f t="shared" si="3"/>
        <v>Петров Владимир КирилловичФедоров Артем Ильич</v>
      </c>
      <c r="O66" t="s">
        <v>19</v>
      </c>
      <c r="P66" t="s">
        <v>433</v>
      </c>
      <c r="Q66" t="s">
        <v>434</v>
      </c>
    </row>
    <row r="67" spans="4:17" x14ac:dyDescent="0.25">
      <c r="D67" t="s">
        <v>43</v>
      </c>
      <c r="E67" t="s">
        <v>14</v>
      </c>
      <c r="F67" t="str">
        <f t="shared" ref="F67:F130" si="4">VLOOKUP(D67&amp;E67,J:M,4,0)</f>
        <v>2024-05-15</v>
      </c>
      <c r="G67" t="str">
        <f t="shared" ref="G67:G130" si="5">VLOOKUP(D67&amp;E67,N:Q,4,0)</f>
        <v>2024-05-15</v>
      </c>
      <c r="H67">
        <f t="shared" ref="H67:H130" si="6">G67-F67</f>
        <v>0</v>
      </c>
      <c r="J67" t="str">
        <f>K67&amp;L67</f>
        <v>Яковлев Артем ИгоревичПопов Роман Владимирович</v>
      </c>
      <c r="K67" t="s">
        <v>21</v>
      </c>
      <c r="L67" t="s">
        <v>88</v>
      </c>
      <c r="M67" t="s">
        <v>86</v>
      </c>
      <c r="N67" t="str">
        <f t="shared" ref="N67:N130" si="7">O67&amp;P67</f>
        <v>Фролов Сергей ВикторовичВасильев Андрей Дмитриевич</v>
      </c>
      <c r="O67" t="s">
        <v>38</v>
      </c>
      <c r="P67" t="s">
        <v>172</v>
      </c>
      <c r="Q67" t="s">
        <v>434</v>
      </c>
    </row>
    <row r="68" spans="4:17" x14ac:dyDescent="0.25">
      <c r="D68" t="s">
        <v>43</v>
      </c>
      <c r="E68" t="s">
        <v>98</v>
      </c>
      <c r="F68" t="str">
        <f t="shared" si="4"/>
        <v>2023-09-25</v>
      </c>
      <c r="G68" t="str">
        <f t="shared" si="5"/>
        <v>2023-09-25</v>
      </c>
      <c r="H68">
        <f t="shared" si="6"/>
        <v>0</v>
      </c>
      <c r="J68" t="str">
        <f>K68&amp;L68</f>
        <v>Семенова Ирина ВалерьевнаНиколаев Александр Ильич</v>
      </c>
      <c r="K68" t="s">
        <v>16</v>
      </c>
      <c r="L68" t="s">
        <v>89</v>
      </c>
      <c r="M68" t="s">
        <v>90</v>
      </c>
      <c r="N68" t="str">
        <f t="shared" si="7"/>
        <v>Новикова Ольга ПетровнаСмирнова Екатерина Геннадьевна</v>
      </c>
      <c r="O68" t="s">
        <v>29</v>
      </c>
      <c r="P68" t="s">
        <v>169</v>
      </c>
      <c r="Q68" t="s">
        <v>434</v>
      </c>
    </row>
    <row r="69" spans="4:17" x14ac:dyDescent="0.25">
      <c r="D69" t="s">
        <v>43</v>
      </c>
      <c r="E69" t="s">
        <v>93</v>
      </c>
      <c r="F69" t="str">
        <f t="shared" si="4"/>
        <v>2023-09-22</v>
      </c>
      <c r="G69" t="str">
        <f t="shared" si="5"/>
        <v>2024-02-23</v>
      </c>
      <c r="H69">
        <f t="shared" si="6"/>
        <v>154</v>
      </c>
      <c r="J69" t="str">
        <f>K69&amp;L69</f>
        <v>Орлов Павел ДенисовичИванова Полина Дмитриевна</v>
      </c>
      <c r="K69" t="s">
        <v>13</v>
      </c>
      <c r="L69" t="s">
        <v>91</v>
      </c>
      <c r="M69" t="s">
        <v>90</v>
      </c>
      <c r="N69" t="str">
        <f t="shared" si="7"/>
        <v>Иванова Анна СергеевнаПавлова Ксения Никитична</v>
      </c>
      <c r="O69" t="s">
        <v>55</v>
      </c>
      <c r="P69" t="s">
        <v>319</v>
      </c>
      <c r="Q69" t="s">
        <v>434</v>
      </c>
    </row>
    <row r="70" spans="4:17" x14ac:dyDescent="0.25">
      <c r="D70" t="s">
        <v>43</v>
      </c>
      <c r="E70" t="s">
        <v>274</v>
      </c>
      <c r="F70" t="str">
        <f t="shared" si="4"/>
        <v>2024-05-13</v>
      </c>
      <c r="G70" t="str">
        <f t="shared" si="5"/>
        <v>2024-05-13</v>
      </c>
      <c r="H70">
        <f t="shared" si="6"/>
        <v>0</v>
      </c>
      <c r="J70" t="str">
        <f>K70&amp;L70</f>
        <v>Семенова Ирина ВалерьевнаКузнецов Кирилл Александрович</v>
      </c>
      <c r="K70" t="s">
        <v>16</v>
      </c>
      <c r="L70" t="s">
        <v>92</v>
      </c>
      <c r="M70" t="s">
        <v>90</v>
      </c>
      <c r="N70" t="str">
        <f t="shared" si="7"/>
        <v>Ткаченко Андрей ОлеговичСтепанов Михаил Ильич</v>
      </c>
      <c r="O70" t="s">
        <v>26</v>
      </c>
      <c r="P70" t="s">
        <v>293</v>
      </c>
      <c r="Q70" t="s">
        <v>434</v>
      </c>
    </row>
    <row r="71" spans="4:17" x14ac:dyDescent="0.25">
      <c r="D71" t="s">
        <v>43</v>
      </c>
      <c r="E71" t="s">
        <v>187</v>
      </c>
      <c r="F71" t="str">
        <f t="shared" si="4"/>
        <v>2024-01-18</v>
      </c>
      <c r="G71" t="str">
        <f t="shared" si="5"/>
        <v>2024-01-18</v>
      </c>
      <c r="H71">
        <f t="shared" si="6"/>
        <v>0</v>
      </c>
      <c r="J71" t="str">
        <f>K71&amp;L71</f>
        <v>Громова Мария ИльиничнаАлексеева Юлия Никитична</v>
      </c>
      <c r="K71" t="s">
        <v>43</v>
      </c>
      <c r="L71" t="s">
        <v>93</v>
      </c>
      <c r="M71" t="s">
        <v>90</v>
      </c>
      <c r="N71" t="str">
        <f t="shared" si="7"/>
        <v>Яковлев Артем ИгоревичНиколаева Анна Михайловна</v>
      </c>
      <c r="O71" t="s">
        <v>21</v>
      </c>
      <c r="P71" t="s">
        <v>129</v>
      </c>
      <c r="Q71" t="s">
        <v>434</v>
      </c>
    </row>
    <row r="72" spans="4:17" x14ac:dyDescent="0.25">
      <c r="D72" t="s">
        <v>43</v>
      </c>
      <c r="E72" t="s">
        <v>9</v>
      </c>
      <c r="F72" t="str">
        <f t="shared" si="4"/>
        <v>2024-03-18</v>
      </c>
      <c r="G72" t="str">
        <f t="shared" si="5"/>
        <v>2024-03-18</v>
      </c>
      <c r="H72">
        <f t="shared" si="6"/>
        <v>0</v>
      </c>
      <c r="J72" t="str">
        <f>K72&amp;L72</f>
        <v>Сидорова Елена ВасильевнаСеменова Александра Егоровна</v>
      </c>
      <c r="K72" t="s">
        <v>8</v>
      </c>
      <c r="L72" t="s">
        <v>94</v>
      </c>
      <c r="M72" t="s">
        <v>95</v>
      </c>
      <c r="N72" t="str">
        <f t="shared" si="7"/>
        <v>Фролов Сергей ВикторовичПетров Константин Егорович</v>
      </c>
      <c r="O72" t="s">
        <v>38</v>
      </c>
      <c r="P72" t="s">
        <v>102</v>
      </c>
      <c r="Q72" t="s">
        <v>434</v>
      </c>
    </row>
    <row r="73" spans="4:17" x14ac:dyDescent="0.25">
      <c r="D73" t="s">
        <v>43</v>
      </c>
      <c r="E73" t="s">
        <v>74</v>
      </c>
      <c r="F73" t="str">
        <f t="shared" si="4"/>
        <v>2024-03-12</v>
      </c>
      <c r="G73" t="str">
        <f t="shared" si="5"/>
        <v>2024-03-12</v>
      </c>
      <c r="H73">
        <f t="shared" si="6"/>
        <v>0</v>
      </c>
      <c r="J73" t="str">
        <f>K73&amp;L73</f>
        <v>Сидорова Елена ВасильевнаАлексеева Валерия Викторовна</v>
      </c>
      <c r="K73" t="s">
        <v>8</v>
      </c>
      <c r="L73" t="s">
        <v>96</v>
      </c>
      <c r="M73" t="s">
        <v>95</v>
      </c>
      <c r="N73" t="str">
        <f t="shared" si="7"/>
        <v>Иванова Анна СергеевнаСидоров Кирилл Михайлович</v>
      </c>
      <c r="O73" t="s">
        <v>55</v>
      </c>
      <c r="P73" t="s">
        <v>59</v>
      </c>
      <c r="Q73" t="s">
        <v>434</v>
      </c>
    </row>
    <row r="74" spans="4:17" x14ac:dyDescent="0.25">
      <c r="D74" t="s">
        <v>43</v>
      </c>
      <c r="E74" t="s">
        <v>294</v>
      </c>
      <c r="F74" t="str">
        <f t="shared" si="4"/>
        <v>2024-06-12</v>
      </c>
      <c r="G74" t="str">
        <f t="shared" si="5"/>
        <v>2024-06-12</v>
      </c>
      <c r="H74">
        <f t="shared" si="6"/>
        <v>0</v>
      </c>
      <c r="J74" t="str">
        <f>K74&amp;L74</f>
        <v>Кузнецов Дмитрий ЛьвовичСмирнова Мария Артемовна</v>
      </c>
      <c r="K74" t="s">
        <v>11</v>
      </c>
      <c r="L74" t="s">
        <v>44</v>
      </c>
      <c r="M74" t="s">
        <v>95</v>
      </c>
      <c r="N74" t="str">
        <f t="shared" si="7"/>
        <v>Кузнецов Дмитрий ЛьвовичВасильев Матвей Кириллович</v>
      </c>
      <c r="O74" t="s">
        <v>11</v>
      </c>
      <c r="P74" t="s">
        <v>269</v>
      </c>
      <c r="Q74" t="s">
        <v>434</v>
      </c>
    </row>
    <row r="75" spans="4:17" x14ac:dyDescent="0.25">
      <c r="D75" t="s">
        <v>43</v>
      </c>
      <c r="E75" t="s">
        <v>139</v>
      </c>
      <c r="F75" t="str">
        <f t="shared" si="4"/>
        <v>2023-10-16</v>
      </c>
      <c r="G75" t="str">
        <f t="shared" si="5"/>
        <v>2024-06-10</v>
      </c>
      <c r="H75">
        <f t="shared" si="6"/>
        <v>238</v>
      </c>
      <c r="J75" t="str">
        <f>K75&amp;L75</f>
        <v>Орлов Павел ДенисовичФедоров Максим Андреевич</v>
      </c>
      <c r="K75" t="s">
        <v>13</v>
      </c>
      <c r="L75" t="s">
        <v>97</v>
      </c>
      <c r="M75" t="s">
        <v>95</v>
      </c>
      <c r="N75" t="str">
        <f t="shared" si="7"/>
        <v>Яковлев Артем ИгоревичСмирнова Екатерина Геннадьевна</v>
      </c>
      <c r="O75" t="s">
        <v>21</v>
      </c>
      <c r="P75" t="s">
        <v>169</v>
      </c>
      <c r="Q75" t="s">
        <v>434</v>
      </c>
    </row>
    <row r="76" spans="4:17" x14ac:dyDescent="0.25">
      <c r="D76" t="s">
        <v>43</v>
      </c>
      <c r="E76" t="s">
        <v>263</v>
      </c>
      <c r="F76" t="str">
        <f t="shared" si="4"/>
        <v>2024-04-01</v>
      </c>
      <c r="G76" t="str">
        <f t="shared" si="5"/>
        <v>2024-04-01</v>
      </c>
      <c r="H76">
        <f t="shared" si="6"/>
        <v>0</v>
      </c>
      <c r="J76" t="str">
        <f>K76&amp;L76</f>
        <v>Громова Мария ИльиничнаАлексеева Светлана Артемовна</v>
      </c>
      <c r="K76" t="s">
        <v>43</v>
      </c>
      <c r="L76" t="s">
        <v>98</v>
      </c>
      <c r="M76" t="s">
        <v>95</v>
      </c>
      <c r="N76" t="str">
        <f t="shared" si="7"/>
        <v>Орлов Павел ДенисовичОрлова Алиса Егоровна</v>
      </c>
      <c r="O76" t="s">
        <v>13</v>
      </c>
      <c r="P76" t="s">
        <v>197</v>
      </c>
      <c r="Q76" t="s">
        <v>434</v>
      </c>
    </row>
    <row r="77" spans="4:17" x14ac:dyDescent="0.25">
      <c r="D77" t="s">
        <v>43</v>
      </c>
      <c r="E77" t="s">
        <v>121</v>
      </c>
      <c r="F77" t="str">
        <f t="shared" si="4"/>
        <v>2024-04-16</v>
      </c>
      <c r="G77" t="str">
        <f t="shared" si="5"/>
        <v>2024-07-01</v>
      </c>
      <c r="H77">
        <f t="shared" si="6"/>
        <v>76</v>
      </c>
      <c r="J77" t="str">
        <f>K77&amp;L77</f>
        <v>Белов Алексей КонстантиновичСидоров Кирилл Михайлович</v>
      </c>
      <c r="K77" t="s">
        <v>5</v>
      </c>
      <c r="L77" t="s">
        <v>59</v>
      </c>
      <c r="M77" t="s">
        <v>99</v>
      </c>
      <c r="N77" t="str">
        <f t="shared" si="7"/>
        <v>Ткаченко Андрей ОлеговичАлексеев Никита Алексеевич</v>
      </c>
      <c r="O77" t="s">
        <v>26</v>
      </c>
      <c r="P77" t="s">
        <v>171</v>
      </c>
      <c r="Q77" t="s">
        <v>432</v>
      </c>
    </row>
    <row r="78" spans="4:17" x14ac:dyDescent="0.25">
      <c r="D78" t="s">
        <v>43</v>
      </c>
      <c r="E78" t="s">
        <v>370</v>
      </c>
      <c r="F78" t="str">
        <f t="shared" si="4"/>
        <v>2024-05-15</v>
      </c>
      <c r="G78" t="str">
        <f t="shared" si="5"/>
        <v>2024-05-15</v>
      </c>
      <c r="H78">
        <f t="shared" si="6"/>
        <v>0</v>
      </c>
      <c r="J78" t="str">
        <f>K78&amp;L78</f>
        <v>Иванова Анна СергеевнаОрлова Вероника Андреевна</v>
      </c>
      <c r="K78" t="s">
        <v>55</v>
      </c>
      <c r="L78" t="s">
        <v>100</v>
      </c>
      <c r="M78" t="s">
        <v>101</v>
      </c>
      <c r="N78" t="str">
        <f t="shared" si="7"/>
        <v>Иванова Анна СергеевнаФедоров Андрей Владимирович</v>
      </c>
      <c r="O78" t="s">
        <v>55</v>
      </c>
      <c r="P78" t="s">
        <v>79</v>
      </c>
      <c r="Q78" t="s">
        <v>432</v>
      </c>
    </row>
    <row r="79" spans="4:17" x14ac:dyDescent="0.25">
      <c r="D79" t="s">
        <v>43</v>
      </c>
      <c r="E79" t="s">
        <v>188</v>
      </c>
      <c r="F79" t="str">
        <f t="shared" si="4"/>
        <v>2024-07-24</v>
      </c>
      <c r="G79" t="str">
        <f t="shared" si="5"/>
        <v>2024-07-24</v>
      </c>
      <c r="H79">
        <f t="shared" si="6"/>
        <v>0</v>
      </c>
      <c r="J79" t="str">
        <f>K79&amp;L79</f>
        <v>Белов Алексей КонстантиновичПетров Константин Егорович</v>
      </c>
      <c r="K79" t="s">
        <v>5</v>
      </c>
      <c r="L79" t="s">
        <v>102</v>
      </c>
      <c r="M79" t="s">
        <v>103</v>
      </c>
      <c r="N79" t="str">
        <f t="shared" si="7"/>
        <v>Белов Алексей КонстантиновичВолков Павел Иванович</v>
      </c>
      <c r="O79" t="s">
        <v>5</v>
      </c>
      <c r="P79" t="s">
        <v>74</v>
      </c>
      <c r="Q79" t="s">
        <v>432</v>
      </c>
    </row>
    <row r="80" spans="4:17" x14ac:dyDescent="0.25">
      <c r="D80" t="s">
        <v>43</v>
      </c>
      <c r="E80" t="s">
        <v>264</v>
      </c>
      <c r="F80" t="str">
        <f t="shared" si="4"/>
        <v>2024-03-04</v>
      </c>
      <c r="G80" t="str">
        <f t="shared" si="5"/>
        <v>2024-04-01</v>
      </c>
      <c r="H80">
        <f t="shared" si="6"/>
        <v>28</v>
      </c>
      <c r="J80" t="str">
        <f>K80&amp;L80</f>
        <v>Фролов Сергей ВикторовичФедорова Татьяна Викторовна</v>
      </c>
      <c r="K80" t="s">
        <v>38</v>
      </c>
      <c r="L80" t="s">
        <v>104</v>
      </c>
      <c r="M80" t="s">
        <v>103</v>
      </c>
      <c r="N80" t="str">
        <f t="shared" si="7"/>
        <v>Громова Мария ИльиничнаКузнецова Ирина Павловна</v>
      </c>
      <c r="O80" t="s">
        <v>43</v>
      </c>
      <c r="P80" t="s">
        <v>116</v>
      </c>
      <c r="Q80" t="s">
        <v>432</v>
      </c>
    </row>
    <row r="81" spans="4:17" x14ac:dyDescent="0.25">
      <c r="D81" t="s">
        <v>43</v>
      </c>
      <c r="E81" t="s">
        <v>328</v>
      </c>
      <c r="F81" t="str">
        <f t="shared" si="4"/>
        <v>2024-06-03</v>
      </c>
      <c r="G81" t="str">
        <f t="shared" si="5"/>
        <v>2024-06-03</v>
      </c>
      <c r="H81">
        <f t="shared" si="6"/>
        <v>0</v>
      </c>
      <c r="J81" t="str">
        <f>K81&amp;L81</f>
        <v>Орлов Павел ДенисовичПавлов Алексей Юрьевич</v>
      </c>
      <c r="K81" t="s">
        <v>13</v>
      </c>
      <c r="L81" t="s">
        <v>105</v>
      </c>
      <c r="M81" t="s">
        <v>103</v>
      </c>
      <c r="N81" t="str">
        <f t="shared" si="7"/>
        <v>Белов Алексей КонстантиновичВолкова Светлана Ивановна</v>
      </c>
      <c r="O81" t="s">
        <v>5</v>
      </c>
      <c r="P81" t="s">
        <v>64</v>
      </c>
      <c r="Q81" t="s">
        <v>432</v>
      </c>
    </row>
    <row r="82" spans="4:17" x14ac:dyDescent="0.25">
      <c r="D82" t="s">
        <v>43</v>
      </c>
      <c r="E82" t="s">
        <v>131</v>
      </c>
      <c r="F82" t="str">
        <f t="shared" si="4"/>
        <v>2023-10-10</v>
      </c>
      <c r="G82" t="str">
        <f t="shared" si="5"/>
        <v>2023-10-10</v>
      </c>
      <c r="H82">
        <f t="shared" si="6"/>
        <v>0</v>
      </c>
      <c r="J82" t="str">
        <f>K82&amp;L82</f>
        <v>Новикова Ольга ПетровнаОрлов Владимир Александрович</v>
      </c>
      <c r="K82" t="s">
        <v>29</v>
      </c>
      <c r="L82" t="s">
        <v>106</v>
      </c>
      <c r="M82" t="s">
        <v>103</v>
      </c>
      <c r="N82" t="str">
        <f t="shared" si="7"/>
        <v>Ткаченко Андрей ОлеговичАлексеева Ольга Дмитриевна</v>
      </c>
      <c r="O82" t="s">
        <v>26</v>
      </c>
      <c r="P82" t="s">
        <v>289</v>
      </c>
      <c r="Q82" t="s">
        <v>432</v>
      </c>
    </row>
    <row r="83" spans="4:17" x14ac:dyDescent="0.25">
      <c r="D83" t="s">
        <v>43</v>
      </c>
      <c r="E83" t="s">
        <v>91</v>
      </c>
      <c r="F83" t="str">
        <f t="shared" si="4"/>
        <v>2024-02-19</v>
      </c>
      <c r="G83" t="str">
        <f t="shared" si="5"/>
        <v>2024-02-19</v>
      </c>
      <c r="H83">
        <f t="shared" si="6"/>
        <v>0</v>
      </c>
      <c r="J83" t="str">
        <f>K83&amp;L83</f>
        <v>Семенова Ирина ВалерьевнаЕгоров Алексей Михайлович</v>
      </c>
      <c r="K83" t="s">
        <v>16</v>
      </c>
      <c r="L83" t="s">
        <v>107</v>
      </c>
      <c r="M83" t="s">
        <v>103</v>
      </c>
      <c r="N83" t="str">
        <f t="shared" si="7"/>
        <v>Иванова Анна СергеевнаИванова Полина Дмитриевна</v>
      </c>
      <c r="O83" t="s">
        <v>55</v>
      </c>
      <c r="P83" t="s">
        <v>91</v>
      </c>
      <c r="Q83" t="s">
        <v>431</v>
      </c>
    </row>
    <row r="84" spans="4:17" x14ac:dyDescent="0.25">
      <c r="D84" t="s">
        <v>43</v>
      </c>
      <c r="E84" t="s">
        <v>153</v>
      </c>
      <c r="F84" t="str">
        <f t="shared" si="4"/>
        <v>2024-03-18</v>
      </c>
      <c r="G84" t="str">
        <f t="shared" si="5"/>
        <v>2024-05-17</v>
      </c>
      <c r="H84">
        <f t="shared" si="6"/>
        <v>60</v>
      </c>
      <c r="J84" t="str">
        <f>K84&amp;L84</f>
        <v>Иванова Анна СергеевнаВолкова Екатерина Егоровна</v>
      </c>
      <c r="K84" t="s">
        <v>55</v>
      </c>
      <c r="L84" t="s">
        <v>58</v>
      </c>
      <c r="M84" t="s">
        <v>108</v>
      </c>
      <c r="N84" t="str">
        <f t="shared" si="7"/>
        <v>Петров Владимир КирилловичСидорова София Артемовна</v>
      </c>
      <c r="O84" t="s">
        <v>19</v>
      </c>
      <c r="P84" t="s">
        <v>45</v>
      </c>
      <c r="Q84" t="s">
        <v>431</v>
      </c>
    </row>
    <row r="85" spans="4:17" x14ac:dyDescent="0.25">
      <c r="D85" t="s">
        <v>43</v>
      </c>
      <c r="E85" t="s">
        <v>134</v>
      </c>
      <c r="F85" t="str">
        <f t="shared" si="4"/>
        <v>2023-10-13</v>
      </c>
      <c r="G85" t="str">
        <f t="shared" si="5"/>
        <v>2023-10-13</v>
      </c>
      <c r="H85">
        <f t="shared" si="6"/>
        <v>0</v>
      </c>
      <c r="J85" t="str">
        <f>K85&amp;L85</f>
        <v>Кузнецов Дмитрий ЛьвовичЕгоров Сергей Андреевич</v>
      </c>
      <c r="K85" t="s">
        <v>11</v>
      </c>
      <c r="L85" t="s">
        <v>49</v>
      </c>
      <c r="M85" t="s">
        <v>108</v>
      </c>
      <c r="N85" t="str">
        <f t="shared" si="7"/>
        <v>Кузнецов Дмитрий ЛьвовичСтепанов Михаил Ильич</v>
      </c>
      <c r="O85" t="s">
        <v>11</v>
      </c>
      <c r="P85" t="s">
        <v>293</v>
      </c>
      <c r="Q85" t="s">
        <v>431</v>
      </c>
    </row>
    <row r="86" spans="4:17" x14ac:dyDescent="0.25">
      <c r="D86" t="s">
        <v>43</v>
      </c>
      <c r="E86" t="s">
        <v>216</v>
      </c>
      <c r="F86" t="str">
        <f t="shared" si="4"/>
        <v>2023-11-27</v>
      </c>
      <c r="G86" t="str">
        <f t="shared" si="5"/>
        <v>2023-11-27</v>
      </c>
      <c r="H86">
        <f t="shared" si="6"/>
        <v>0</v>
      </c>
      <c r="J86" t="str">
        <f>K86&amp;L86</f>
        <v>Яковлев Артем ИгоревичПетрова Алиса Егоровна</v>
      </c>
      <c r="K86" t="s">
        <v>21</v>
      </c>
      <c r="L86" t="s">
        <v>109</v>
      </c>
      <c r="M86" t="s">
        <v>108</v>
      </c>
      <c r="N86" t="str">
        <f t="shared" si="7"/>
        <v>Петров Владимир КирилловичСмирнова Валерия Станиславовна</v>
      </c>
      <c r="O86" t="s">
        <v>19</v>
      </c>
      <c r="P86" t="s">
        <v>12</v>
      </c>
      <c r="Q86" t="s">
        <v>430</v>
      </c>
    </row>
    <row r="87" spans="4:17" x14ac:dyDescent="0.25">
      <c r="D87" t="s">
        <v>43</v>
      </c>
      <c r="E87" t="s">
        <v>30</v>
      </c>
      <c r="F87" t="str">
        <f t="shared" si="4"/>
        <v>2024-07-01</v>
      </c>
      <c r="G87" t="str">
        <f t="shared" si="5"/>
        <v>2024-07-01</v>
      </c>
      <c r="H87">
        <f t="shared" si="6"/>
        <v>0</v>
      </c>
      <c r="J87" t="str">
        <f>K87&amp;L87</f>
        <v>Петров Владимир КирилловичЕгоров Илья Ильич</v>
      </c>
      <c r="K87" t="s">
        <v>19</v>
      </c>
      <c r="L87" t="s">
        <v>53</v>
      </c>
      <c r="M87" t="s">
        <v>110</v>
      </c>
      <c r="N87" t="str">
        <f t="shared" si="7"/>
        <v>Ткаченко Андрей ОлеговичВасильева Дарья Андреевна</v>
      </c>
      <c r="O87" t="s">
        <v>26</v>
      </c>
      <c r="P87" t="s">
        <v>57</v>
      </c>
      <c r="Q87" t="s">
        <v>430</v>
      </c>
    </row>
    <row r="88" spans="4:17" x14ac:dyDescent="0.25">
      <c r="D88" t="s">
        <v>43</v>
      </c>
      <c r="E88" t="s">
        <v>116</v>
      </c>
      <c r="F88" t="str">
        <f t="shared" si="4"/>
        <v>2024-08-02</v>
      </c>
      <c r="G88" t="str">
        <f t="shared" si="5"/>
        <v>2024-08-02</v>
      </c>
      <c r="H88">
        <f t="shared" si="6"/>
        <v>0</v>
      </c>
      <c r="J88" t="str">
        <f>K88&amp;L88</f>
        <v>Кузнецов Дмитрий ЛьвовичОрлов Андрей Никитич</v>
      </c>
      <c r="K88" t="s">
        <v>11</v>
      </c>
      <c r="L88" t="s">
        <v>111</v>
      </c>
      <c r="M88" t="s">
        <v>110</v>
      </c>
      <c r="N88" t="str">
        <f t="shared" si="7"/>
        <v>Громова Мария ИльиничнаПетрова Ольга Сергеевна</v>
      </c>
      <c r="O88" t="s">
        <v>43</v>
      </c>
      <c r="P88" t="s">
        <v>119</v>
      </c>
      <c r="Q88" t="s">
        <v>430</v>
      </c>
    </row>
    <row r="89" spans="4:17" x14ac:dyDescent="0.25">
      <c r="D89" t="s">
        <v>43</v>
      </c>
      <c r="E89" t="s">
        <v>239</v>
      </c>
      <c r="F89" t="str">
        <f t="shared" si="4"/>
        <v>2023-12-19</v>
      </c>
      <c r="G89" t="str">
        <f t="shared" si="5"/>
        <v>2023-12-19</v>
      </c>
      <c r="H89">
        <f t="shared" si="6"/>
        <v>0</v>
      </c>
      <c r="J89" t="str">
        <f>K89&amp;L89</f>
        <v>Фролов Сергей ВикторовичСеменов Михаил Сергеевич</v>
      </c>
      <c r="K89" t="s">
        <v>38</v>
      </c>
      <c r="L89" t="s">
        <v>20</v>
      </c>
      <c r="M89" t="s">
        <v>110</v>
      </c>
      <c r="N89" t="str">
        <f t="shared" si="7"/>
        <v>Орлов Павел ДенисовичПавлов Алексей Юрьевич</v>
      </c>
      <c r="O89" t="s">
        <v>13</v>
      </c>
      <c r="P89" t="s">
        <v>105</v>
      </c>
      <c r="Q89" t="s">
        <v>430</v>
      </c>
    </row>
    <row r="90" spans="4:17" x14ac:dyDescent="0.25">
      <c r="D90" t="s">
        <v>43</v>
      </c>
      <c r="E90" t="s">
        <v>362</v>
      </c>
      <c r="F90" t="str">
        <f t="shared" si="4"/>
        <v>2024-08-22</v>
      </c>
      <c r="G90" t="str">
        <f t="shared" si="5"/>
        <v>2024-08-22</v>
      </c>
      <c r="H90">
        <f t="shared" si="6"/>
        <v>0</v>
      </c>
      <c r="J90" t="str">
        <f>K90&amp;L90</f>
        <v>Яковлев Артем ИгоревичВолкова София Александровна</v>
      </c>
      <c r="K90" t="s">
        <v>21</v>
      </c>
      <c r="L90" t="s">
        <v>112</v>
      </c>
      <c r="M90" t="s">
        <v>110</v>
      </c>
      <c r="N90" t="str">
        <f t="shared" si="7"/>
        <v>Семенова Ирина ВалерьевнаКузнецов Павел Викторович</v>
      </c>
      <c r="O90" t="s">
        <v>16</v>
      </c>
      <c r="P90" t="s">
        <v>299</v>
      </c>
      <c r="Q90" t="s">
        <v>429</v>
      </c>
    </row>
    <row r="91" spans="4:17" x14ac:dyDescent="0.25">
      <c r="D91" t="s">
        <v>43</v>
      </c>
      <c r="E91" t="s">
        <v>177</v>
      </c>
      <c r="F91" t="str">
        <f t="shared" si="4"/>
        <v>2023-11-03</v>
      </c>
      <c r="G91" t="str">
        <f t="shared" si="5"/>
        <v>2023-11-03</v>
      </c>
      <c r="H91">
        <f t="shared" si="6"/>
        <v>0</v>
      </c>
      <c r="J91" t="str">
        <f>K91&amp;L91</f>
        <v>Орлов Павел ДенисовичВолкова Дарья Владимировна</v>
      </c>
      <c r="K91" t="s">
        <v>13</v>
      </c>
      <c r="L91" t="s">
        <v>113</v>
      </c>
      <c r="M91" t="s">
        <v>110</v>
      </c>
      <c r="N91" t="str">
        <f t="shared" si="7"/>
        <v>Иванова Анна СергеевнаФедорова Екатерина Владимировна</v>
      </c>
      <c r="O91" t="s">
        <v>55</v>
      </c>
      <c r="P91" t="s">
        <v>25</v>
      </c>
      <c r="Q91" t="s">
        <v>429</v>
      </c>
    </row>
    <row r="92" spans="4:17" x14ac:dyDescent="0.25">
      <c r="D92" t="s">
        <v>43</v>
      </c>
      <c r="E92" t="s">
        <v>411</v>
      </c>
      <c r="F92" t="str">
        <f t="shared" si="4"/>
        <v>2024-07-05</v>
      </c>
      <c r="G92" t="str">
        <f t="shared" si="5"/>
        <v>2024-07-05</v>
      </c>
      <c r="H92">
        <f t="shared" si="6"/>
        <v>0</v>
      </c>
      <c r="J92" t="str">
        <f>K92&amp;L92</f>
        <v>Иванова Анна СергеевнаМорозов Илья Станиславович</v>
      </c>
      <c r="K92" t="s">
        <v>55</v>
      </c>
      <c r="L92" t="s">
        <v>114</v>
      </c>
      <c r="M92" t="s">
        <v>110</v>
      </c>
      <c r="N92" t="str">
        <f t="shared" si="7"/>
        <v>Яковлев Артем ИгоревичВолков Алексей Никитич</v>
      </c>
      <c r="O92" t="s">
        <v>21</v>
      </c>
      <c r="P92" t="s">
        <v>187</v>
      </c>
      <c r="Q92" t="s">
        <v>429</v>
      </c>
    </row>
    <row r="93" spans="4:17" x14ac:dyDescent="0.25">
      <c r="D93" t="s">
        <v>43</v>
      </c>
      <c r="E93" t="s">
        <v>63</v>
      </c>
      <c r="F93" t="str">
        <f t="shared" si="4"/>
        <v>2024-04-26</v>
      </c>
      <c r="G93" t="str">
        <f t="shared" si="5"/>
        <v>2024-04-26</v>
      </c>
      <c r="H93">
        <f t="shared" si="6"/>
        <v>0</v>
      </c>
      <c r="J93" t="str">
        <f>K93&amp;L93</f>
        <v>Иванова Анна СергеевнаЛебедев Матвей Павлович</v>
      </c>
      <c r="K93" t="s">
        <v>55</v>
      </c>
      <c r="L93" t="s">
        <v>115</v>
      </c>
      <c r="M93" t="s">
        <v>110</v>
      </c>
      <c r="N93" t="str">
        <f t="shared" si="7"/>
        <v>Кузнецов Дмитрий ЛьвовичНовикова Ольга Викторовна</v>
      </c>
      <c r="O93" t="s">
        <v>11</v>
      </c>
      <c r="P93" t="s">
        <v>47</v>
      </c>
      <c r="Q93" t="s">
        <v>429</v>
      </c>
    </row>
    <row r="94" spans="4:17" x14ac:dyDescent="0.25">
      <c r="D94" t="s">
        <v>43</v>
      </c>
      <c r="E94" t="s">
        <v>253</v>
      </c>
      <c r="F94" t="str">
        <f t="shared" si="4"/>
        <v>2024-01-05</v>
      </c>
      <c r="G94" t="str">
        <f t="shared" si="5"/>
        <v>2024-01-05</v>
      </c>
      <c r="H94">
        <f t="shared" si="6"/>
        <v>0</v>
      </c>
      <c r="J94" t="str">
        <f>K94&amp;L94</f>
        <v>Яковлев Артем ИгоревичКузнецова Ирина Павловна</v>
      </c>
      <c r="K94" t="s">
        <v>21</v>
      </c>
      <c r="L94" t="s">
        <v>116</v>
      </c>
      <c r="M94" t="s">
        <v>117</v>
      </c>
      <c r="N94" t="str">
        <f t="shared" si="7"/>
        <v>Петров Владимир КирилловичПавлова Наталья Павловна</v>
      </c>
      <c r="O94" t="s">
        <v>19</v>
      </c>
      <c r="P94" t="s">
        <v>144</v>
      </c>
      <c r="Q94" t="s">
        <v>429</v>
      </c>
    </row>
    <row r="95" spans="4:17" x14ac:dyDescent="0.25">
      <c r="D95" t="s">
        <v>43</v>
      </c>
      <c r="E95" t="s">
        <v>123</v>
      </c>
      <c r="F95" t="str">
        <f t="shared" si="4"/>
        <v>2024-03-11</v>
      </c>
      <c r="G95" t="str">
        <f t="shared" si="5"/>
        <v>2024-03-11</v>
      </c>
      <c r="H95">
        <f t="shared" si="6"/>
        <v>0</v>
      </c>
      <c r="J95" t="str">
        <f>K95&amp;L95</f>
        <v>Громова Мария ИльиничнаСидорова София Александровна</v>
      </c>
      <c r="K95" t="s">
        <v>43</v>
      </c>
      <c r="L95" t="s">
        <v>118</v>
      </c>
      <c r="M95" t="s">
        <v>117</v>
      </c>
      <c r="N95" t="str">
        <f t="shared" si="7"/>
        <v>Орлов Павел ДенисовичСмирнова Екатерина Ивановна</v>
      </c>
      <c r="O95" t="s">
        <v>13</v>
      </c>
      <c r="P95" t="s">
        <v>28</v>
      </c>
      <c r="Q95" t="s">
        <v>429</v>
      </c>
    </row>
    <row r="96" spans="4:17" x14ac:dyDescent="0.25">
      <c r="D96" t="s">
        <v>43</v>
      </c>
      <c r="E96" t="s">
        <v>211</v>
      </c>
      <c r="F96" t="str">
        <f t="shared" si="4"/>
        <v>2024-07-24</v>
      </c>
      <c r="G96" t="str">
        <f t="shared" si="5"/>
        <v>2024-07-24</v>
      </c>
      <c r="H96">
        <f t="shared" si="6"/>
        <v>0</v>
      </c>
      <c r="J96" t="str">
        <f>K96&amp;L96</f>
        <v>Белов Алексей КонстантиновичПетрова Ольга Сергеевна</v>
      </c>
      <c r="K96" t="s">
        <v>5</v>
      </c>
      <c r="L96" t="s">
        <v>119</v>
      </c>
      <c r="M96" t="s">
        <v>120</v>
      </c>
      <c r="N96" t="str">
        <f t="shared" si="7"/>
        <v>Яковлев Артем ИгоревичАлексеев Артур Артемович</v>
      </c>
      <c r="O96" t="s">
        <v>21</v>
      </c>
      <c r="P96" t="s">
        <v>190</v>
      </c>
      <c r="Q96" t="s">
        <v>429</v>
      </c>
    </row>
    <row r="97" spans="4:17" x14ac:dyDescent="0.25">
      <c r="D97" t="s">
        <v>43</v>
      </c>
      <c r="E97" t="s">
        <v>424</v>
      </c>
      <c r="F97" t="str">
        <f t="shared" si="4"/>
        <v>2024-07-23</v>
      </c>
      <c r="G97" t="str">
        <f t="shared" si="5"/>
        <v>2024-07-23</v>
      </c>
      <c r="H97">
        <f t="shared" si="6"/>
        <v>0</v>
      </c>
      <c r="J97" t="str">
        <f>K97&amp;L97</f>
        <v>Петров Владимир КирилловичЕгоров Никита Олегович</v>
      </c>
      <c r="K97" t="s">
        <v>19</v>
      </c>
      <c r="L97" t="s">
        <v>121</v>
      </c>
      <c r="M97" t="s">
        <v>120</v>
      </c>
      <c r="N97" t="str">
        <f t="shared" si="7"/>
        <v>Петров Владимир КирилловичНиколаев Александр Ильич</v>
      </c>
      <c r="O97" t="s">
        <v>19</v>
      </c>
      <c r="P97" t="s">
        <v>89</v>
      </c>
      <c r="Q97" t="s">
        <v>428</v>
      </c>
    </row>
    <row r="98" spans="4:17" x14ac:dyDescent="0.25">
      <c r="D98" t="s">
        <v>43</v>
      </c>
      <c r="E98" t="s">
        <v>6</v>
      </c>
      <c r="F98" t="str">
        <f t="shared" si="4"/>
        <v>2024-02-14</v>
      </c>
      <c r="G98" t="str">
        <f t="shared" si="5"/>
        <v>2024-02-14</v>
      </c>
      <c r="H98">
        <f t="shared" si="6"/>
        <v>0</v>
      </c>
      <c r="J98" t="str">
        <f>K98&amp;L98</f>
        <v>Кузнецов Дмитрий ЛьвовичАлексеева Мария Олеговна</v>
      </c>
      <c r="K98" t="s">
        <v>11</v>
      </c>
      <c r="L98" t="s">
        <v>72</v>
      </c>
      <c r="M98" t="s">
        <v>122</v>
      </c>
      <c r="N98" t="str">
        <f t="shared" si="7"/>
        <v>Новикова Ольга ПетровнаПопова Полина Сергеевна</v>
      </c>
      <c r="O98" t="s">
        <v>29</v>
      </c>
      <c r="P98" t="s">
        <v>160</v>
      </c>
      <c r="Q98" t="s">
        <v>428</v>
      </c>
    </row>
    <row r="99" spans="4:17" x14ac:dyDescent="0.25">
      <c r="D99" t="s">
        <v>43</v>
      </c>
      <c r="E99" t="s">
        <v>33</v>
      </c>
      <c r="F99" t="str">
        <f t="shared" si="4"/>
        <v>2023-09-20</v>
      </c>
      <c r="G99" t="str">
        <f t="shared" si="5"/>
        <v>2024-05-02</v>
      </c>
      <c r="H99">
        <f t="shared" si="6"/>
        <v>225</v>
      </c>
      <c r="J99" t="str">
        <f>K99&amp;L99</f>
        <v>Семенова Ирина ВалерьевнаСидорова София Александровна</v>
      </c>
      <c r="K99" t="s">
        <v>16</v>
      </c>
      <c r="L99" t="s">
        <v>118</v>
      </c>
      <c r="M99" t="s">
        <v>122</v>
      </c>
      <c r="N99" t="str">
        <f t="shared" si="7"/>
        <v>Иванова Анна СергеевнаВасильев Матвей Кириллович</v>
      </c>
      <c r="O99" t="s">
        <v>55</v>
      </c>
      <c r="P99" t="s">
        <v>269</v>
      </c>
      <c r="Q99" t="s">
        <v>428</v>
      </c>
    </row>
    <row r="100" spans="4:17" x14ac:dyDescent="0.25">
      <c r="D100" t="s">
        <v>43</v>
      </c>
      <c r="E100" t="s">
        <v>111</v>
      </c>
      <c r="F100" t="str">
        <f t="shared" si="4"/>
        <v>2024-06-05</v>
      </c>
      <c r="G100" t="str">
        <f t="shared" si="5"/>
        <v>2024-06-05</v>
      </c>
      <c r="H100">
        <f t="shared" si="6"/>
        <v>0</v>
      </c>
      <c r="J100" t="str">
        <f>K100&amp;L100</f>
        <v>Кузнецов Дмитрий ЛьвовичНиколаева Анна Дмитриевна</v>
      </c>
      <c r="K100" t="s">
        <v>11</v>
      </c>
      <c r="L100" t="s">
        <v>123</v>
      </c>
      <c r="M100" t="s">
        <v>124</v>
      </c>
      <c r="N100" t="str">
        <f t="shared" si="7"/>
        <v>Новикова Ольга ПетровнаИванова Светлана Артемовна</v>
      </c>
      <c r="O100" t="s">
        <v>29</v>
      </c>
      <c r="P100" t="s">
        <v>127</v>
      </c>
      <c r="Q100" t="s">
        <v>428</v>
      </c>
    </row>
    <row r="101" spans="4:17" x14ac:dyDescent="0.25">
      <c r="D101" t="s">
        <v>43</v>
      </c>
      <c r="E101" t="s">
        <v>106</v>
      </c>
      <c r="F101" t="str">
        <f t="shared" si="4"/>
        <v>2024-03-29</v>
      </c>
      <c r="G101" t="str">
        <f t="shared" si="5"/>
        <v>2024-08-09</v>
      </c>
      <c r="H101">
        <f t="shared" si="6"/>
        <v>133</v>
      </c>
      <c r="J101" t="str">
        <f>K101&amp;L101</f>
        <v>Яковлев Артем ИгоревичСмирнов Роман Кириллович</v>
      </c>
      <c r="K101" t="s">
        <v>21</v>
      </c>
      <c r="L101" t="s">
        <v>125</v>
      </c>
      <c r="M101" t="s">
        <v>124</v>
      </c>
      <c r="N101" t="str">
        <f t="shared" si="7"/>
        <v>Петров Владимир КирилловичМорозов Андрей Алексеевич</v>
      </c>
      <c r="O101" t="s">
        <v>19</v>
      </c>
      <c r="P101" t="s">
        <v>278</v>
      </c>
      <c r="Q101" t="s">
        <v>427</v>
      </c>
    </row>
    <row r="102" spans="4:17" x14ac:dyDescent="0.25">
      <c r="D102" t="s">
        <v>43</v>
      </c>
      <c r="E102" t="s">
        <v>32</v>
      </c>
      <c r="F102" t="str">
        <f t="shared" si="4"/>
        <v>2023-10-16</v>
      </c>
      <c r="G102" t="str">
        <f t="shared" si="5"/>
        <v>2023-10-16</v>
      </c>
      <c r="H102">
        <f t="shared" si="6"/>
        <v>0</v>
      </c>
      <c r="J102" t="str">
        <f>K102&amp;L102</f>
        <v>Сидорова Елена ВасильевнаНовикова София Ивановна</v>
      </c>
      <c r="K102" t="s">
        <v>8</v>
      </c>
      <c r="L102" t="s">
        <v>33</v>
      </c>
      <c r="M102" t="s">
        <v>124</v>
      </c>
      <c r="N102" t="str">
        <f t="shared" si="7"/>
        <v>Ткаченко Андрей ОлеговичВолков Алексей Никитич</v>
      </c>
      <c r="O102" t="s">
        <v>26</v>
      </c>
      <c r="P102" t="s">
        <v>187</v>
      </c>
      <c r="Q102" t="s">
        <v>427</v>
      </c>
    </row>
    <row r="103" spans="4:17" x14ac:dyDescent="0.25">
      <c r="D103" t="s">
        <v>43</v>
      </c>
      <c r="E103" t="s">
        <v>100</v>
      </c>
      <c r="F103" t="str">
        <f t="shared" si="4"/>
        <v>2024-01-25</v>
      </c>
      <c r="G103" t="str">
        <f t="shared" si="5"/>
        <v>2024-01-25</v>
      </c>
      <c r="H103">
        <f t="shared" si="6"/>
        <v>0</v>
      </c>
      <c r="J103" t="str">
        <f>K103&amp;L103</f>
        <v>Ткаченко Андрей ОлеговичПавлова София Геннадьевна</v>
      </c>
      <c r="K103" t="s">
        <v>26</v>
      </c>
      <c r="L103" t="s">
        <v>126</v>
      </c>
      <c r="M103" t="s">
        <v>124</v>
      </c>
      <c r="N103" t="str">
        <f t="shared" si="7"/>
        <v>Белов Алексей КонстантиновичЛебедев Матвей Павлович</v>
      </c>
      <c r="O103" t="s">
        <v>5</v>
      </c>
      <c r="P103" t="s">
        <v>115</v>
      </c>
      <c r="Q103" t="s">
        <v>427</v>
      </c>
    </row>
    <row r="104" spans="4:17" x14ac:dyDescent="0.25">
      <c r="D104" t="s">
        <v>43</v>
      </c>
      <c r="E104" t="s">
        <v>144</v>
      </c>
      <c r="F104" t="str">
        <f t="shared" si="4"/>
        <v>2023-11-02</v>
      </c>
      <c r="G104" t="str">
        <f t="shared" si="5"/>
        <v>2023-11-02</v>
      </c>
      <c r="H104">
        <f t="shared" si="6"/>
        <v>0</v>
      </c>
      <c r="J104" t="str">
        <f>K104&amp;L104</f>
        <v>Фролов Сергей ВикторовичЛебедев Матвей Павлович</v>
      </c>
      <c r="K104" t="s">
        <v>38</v>
      </c>
      <c r="L104" t="s">
        <v>115</v>
      </c>
      <c r="M104" t="s">
        <v>124</v>
      </c>
      <c r="N104" t="str">
        <f t="shared" si="7"/>
        <v>Громова Мария ИльиничнаПопова Полина Сергеевна</v>
      </c>
      <c r="O104" t="s">
        <v>43</v>
      </c>
      <c r="P104" t="s">
        <v>160</v>
      </c>
      <c r="Q104" t="s">
        <v>427</v>
      </c>
    </row>
    <row r="105" spans="4:17" x14ac:dyDescent="0.25">
      <c r="D105" t="s">
        <v>43</v>
      </c>
      <c r="E105" t="s">
        <v>126</v>
      </c>
      <c r="F105" t="str">
        <f t="shared" si="4"/>
        <v>2023-10-11</v>
      </c>
      <c r="G105" t="str">
        <f t="shared" si="5"/>
        <v>2023-10-11</v>
      </c>
      <c r="H105">
        <f t="shared" si="6"/>
        <v>0</v>
      </c>
      <c r="J105" t="str">
        <f>K105&amp;L105</f>
        <v>Кузнецов Дмитрий ЛьвовичПетрова Ольга Сергеевна</v>
      </c>
      <c r="K105" t="s">
        <v>11</v>
      </c>
      <c r="L105" t="s">
        <v>119</v>
      </c>
      <c r="M105" t="s">
        <v>124</v>
      </c>
      <c r="N105" t="str">
        <f t="shared" si="7"/>
        <v>Фролов Сергей ВикторовичСмирнова Мария Сергеевна</v>
      </c>
      <c r="O105" t="s">
        <v>38</v>
      </c>
      <c r="P105" t="s">
        <v>303</v>
      </c>
      <c r="Q105" t="s">
        <v>426</v>
      </c>
    </row>
    <row r="106" spans="4:17" x14ac:dyDescent="0.25">
      <c r="D106" t="s">
        <v>43</v>
      </c>
      <c r="E106" t="s">
        <v>136</v>
      </c>
      <c r="F106" t="str">
        <f t="shared" si="4"/>
        <v>2023-12-05</v>
      </c>
      <c r="G106" t="str">
        <f t="shared" si="5"/>
        <v>2023-12-05</v>
      </c>
      <c r="H106">
        <f t="shared" si="6"/>
        <v>0</v>
      </c>
      <c r="J106" t="str">
        <f>K106&amp;L106</f>
        <v>Яковлев Артем ИгоревичИванова Светлана Артемовна</v>
      </c>
      <c r="K106" t="s">
        <v>21</v>
      </c>
      <c r="L106" t="s">
        <v>127</v>
      </c>
      <c r="M106" t="s">
        <v>128</v>
      </c>
      <c r="N106" t="str">
        <f t="shared" si="7"/>
        <v>Новикова Ольга ПетровнаВасильева Юлия Сергеевна</v>
      </c>
      <c r="O106" t="s">
        <v>29</v>
      </c>
      <c r="P106" t="s">
        <v>51</v>
      </c>
      <c r="Q106" t="s">
        <v>426</v>
      </c>
    </row>
    <row r="107" spans="4:17" x14ac:dyDescent="0.25">
      <c r="D107" t="s">
        <v>43</v>
      </c>
      <c r="E107" t="s">
        <v>102</v>
      </c>
      <c r="F107" t="str">
        <f t="shared" si="4"/>
        <v>2024-03-18</v>
      </c>
      <c r="G107" t="str">
        <f t="shared" si="5"/>
        <v>2024-03-18</v>
      </c>
      <c r="H107">
        <f t="shared" si="6"/>
        <v>0</v>
      </c>
      <c r="J107" t="str">
        <f>K107&amp;L107</f>
        <v>Кузнецов Дмитрий ЛьвовичНиколаева Анна Михайловна</v>
      </c>
      <c r="K107" t="s">
        <v>11</v>
      </c>
      <c r="L107" t="s">
        <v>129</v>
      </c>
      <c r="M107" t="s">
        <v>128</v>
      </c>
      <c r="N107" t="str">
        <f t="shared" si="7"/>
        <v>Кузнецов Дмитрий ЛьвовичФедорова Людмила Сергеевна</v>
      </c>
      <c r="O107" t="s">
        <v>11</v>
      </c>
      <c r="P107" t="s">
        <v>305</v>
      </c>
      <c r="Q107" t="s">
        <v>425</v>
      </c>
    </row>
    <row r="108" spans="4:17" x14ac:dyDescent="0.25">
      <c r="D108" t="s">
        <v>43</v>
      </c>
      <c r="E108" t="s">
        <v>119</v>
      </c>
      <c r="F108" t="str">
        <f t="shared" si="4"/>
        <v>2023-12-18</v>
      </c>
      <c r="G108" t="str">
        <f t="shared" si="5"/>
        <v>2024-07-31</v>
      </c>
      <c r="H108">
        <f t="shared" si="6"/>
        <v>226</v>
      </c>
      <c r="J108" t="str">
        <f>K108&amp;L108</f>
        <v>Сидорова Елена ВасильевнаПетров Дмитрий Никитич</v>
      </c>
      <c r="K108" t="s">
        <v>8</v>
      </c>
      <c r="L108" t="s">
        <v>130</v>
      </c>
      <c r="M108" t="s">
        <v>128</v>
      </c>
      <c r="N108" t="str">
        <f t="shared" si="7"/>
        <v>Сидорова Елена ВасильевнаАлексеев Михаил Алексеевич</v>
      </c>
      <c r="O108" t="s">
        <v>8</v>
      </c>
      <c r="P108" t="s">
        <v>85</v>
      </c>
      <c r="Q108" t="s">
        <v>425</v>
      </c>
    </row>
    <row r="109" spans="4:17" x14ac:dyDescent="0.25">
      <c r="D109" t="s">
        <v>43</v>
      </c>
      <c r="E109" t="s">
        <v>61</v>
      </c>
      <c r="F109" t="str">
        <f t="shared" si="4"/>
        <v>2023-09-18</v>
      </c>
      <c r="G109" t="str">
        <f t="shared" si="5"/>
        <v>2023-09-18</v>
      </c>
      <c r="H109">
        <f t="shared" si="6"/>
        <v>0</v>
      </c>
      <c r="J109" t="str">
        <f>K109&amp;L109</f>
        <v>Громова Мария ИльиничнаИванова Ольга Дмитриевна</v>
      </c>
      <c r="K109" t="s">
        <v>43</v>
      </c>
      <c r="L109" t="s">
        <v>131</v>
      </c>
      <c r="M109" t="s">
        <v>128</v>
      </c>
      <c r="N109" t="str">
        <f t="shared" si="7"/>
        <v>Громова Мария ИльиничнаЕгорова Татьяна Ильинична</v>
      </c>
      <c r="O109" t="s">
        <v>43</v>
      </c>
      <c r="P109" t="s">
        <v>188</v>
      </c>
      <c r="Q109" t="s">
        <v>425</v>
      </c>
    </row>
    <row r="110" spans="4:17" x14ac:dyDescent="0.25">
      <c r="D110" t="s">
        <v>43</v>
      </c>
      <c r="E110" t="s">
        <v>165</v>
      </c>
      <c r="F110" t="str">
        <f t="shared" si="4"/>
        <v>2023-11-27</v>
      </c>
      <c r="G110" t="str">
        <f t="shared" si="5"/>
        <v>2024-01-30</v>
      </c>
      <c r="H110">
        <f t="shared" si="6"/>
        <v>64</v>
      </c>
      <c r="J110" t="str">
        <f>K110&amp;L110</f>
        <v>Фролов Сергей ВикторовичНовикова София Ивановна</v>
      </c>
      <c r="K110" t="s">
        <v>38</v>
      </c>
      <c r="L110" t="s">
        <v>33</v>
      </c>
      <c r="M110" t="s">
        <v>128</v>
      </c>
      <c r="N110" t="str">
        <f t="shared" si="7"/>
        <v>Ткаченко Андрей ОлеговичЕгоров Сергей Андреевич</v>
      </c>
      <c r="O110" t="s">
        <v>26</v>
      </c>
      <c r="P110" t="s">
        <v>49</v>
      </c>
      <c r="Q110" t="s">
        <v>425</v>
      </c>
    </row>
    <row r="111" spans="4:17" x14ac:dyDescent="0.25">
      <c r="D111" t="s">
        <v>43</v>
      </c>
      <c r="E111" t="s">
        <v>158</v>
      </c>
      <c r="F111" t="str">
        <f t="shared" si="4"/>
        <v>2023-12-05</v>
      </c>
      <c r="G111" t="str">
        <f t="shared" si="5"/>
        <v>2023-12-05</v>
      </c>
      <c r="H111">
        <f t="shared" si="6"/>
        <v>0</v>
      </c>
      <c r="J111" t="str">
        <f>K111&amp;L111</f>
        <v>Орлов Павел ДенисовичОрлов Иван Викторович</v>
      </c>
      <c r="K111" t="s">
        <v>13</v>
      </c>
      <c r="L111" t="s">
        <v>37</v>
      </c>
      <c r="M111" t="s">
        <v>132</v>
      </c>
      <c r="N111" t="str">
        <f t="shared" si="7"/>
        <v>Громова Мария ИльиничнаНиколаева Мария Никитична</v>
      </c>
      <c r="O111" t="s">
        <v>43</v>
      </c>
      <c r="P111" t="s">
        <v>211</v>
      </c>
      <c r="Q111" t="s">
        <v>425</v>
      </c>
    </row>
    <row r="112" spans="4:17" x14ac:dyDescent="0.25">
      <c r="D112" t="s">
        <v>43</v>
      </c>
      <c r="E112" t="s">
        <v>174</v>
      </c>
      <c r="F112" t="str">
        <f t="shared" si="4"/>
        <v>2024-05-10</v>
      </c>
      <c r="G112" t="str">
        <f t="shared" si="5"/>
        <v>2024-05-10</v>
      </c>
      <c r="H112">
        <f t="shared" si="6"/>
        <v>0</v>
      </c>
      <c r="J112" t="str">
        <f>K112&amp;L112</f>
        <v>Громова Мария ИльиничнаПавлова София Геннадьевна</v>
      </c>
      <c r="K112" t="s">
        <v>43</v>
      </c>
      <c r="L112" t="s">
        <v>126</v>
      </c>
      <c r="M112" t="s">
        <v>132</v>
      </c>
      <c r="N112" t="str">
        <f t="shared" si="7"/>
        <v>Иванова Анна СергеевнаФедоров Владимир Артемович</v>
      </c>
      <c r="O112" t="s">
        <v>55</v>
      </c>
      <c r="P112" t="s">
        <v>217</v>
      </c>
      <c r="Q112" t="s">
        <v>425</v>
      </c>
    </row>
    <row r="113" spans="4:17" x14ac:dyDescent="0.25">
      <c r="D113" t="s">
        <v>43</v>
      </c>
      <c r="E113" t="s">
        <v>160</v>
      </c>
      <c r="F113" t="str">
        <f t="shared" si="4"/>
        <v>2023-10-24</v>
      </c>
      <c r="G113" t="str">
        <f t="shared" si="5"/>
        <v>2024-07-26</v>
      </c>
      <c r="H113">
        <f t="shared" si="6"/>
        <v>276</v>
      </c>
      <c r="J113" t="str">
        <f>K113&amp;L113</f>
        <v>Ткаченко Андрей ОлеговичОрлов Андрей Никитич</v>
      </c>
      <c r="K113" t="s">
        <v>26</v>
      </c>
      <c r="L113" t="s">
        <v>111</v>
      </c>
      <c r="M113" t="s">
        <v>132</v>
      </c>
      <c r="N113" t="str">
        <f t="shared" si="7"/>
        <v>Новикова Ольга ПетровнаФедоров Максим Андреевич</v>
      </c>
      <c r="O113" t="s">
        <v>29</v>
      </c>
      <c r="P113" t="s">
        <v>97</v>
      </c>
      <c r="Q113" t="s">
        <v>423</v>
      </c>
    </row>
    <row r="114" spans="4:17" x14ac:dyDescent="0.25">
      <c r="D114" t="s">
        <v>43</v>
      </c>
      <c r="E114" t="s">
        <v>18</v>
      </c>
      <c r="F114" t="str">
        <f t="shared" si="4"/>
        <v>2024-02-21</v>
      </c>
      <c r="G114" t="str">
        <f t="shared" si="5"/>
        <v>2024-02-21</v>
      </c>
      <c r="H114">
        <f t="shared" si="6"/>
        <v>0</v>
      </c>
      <c r="J114" t="str">
        <f>K114&amp;L114</f>
        <v>Белов Алексей КонстантиновичСидорова София Александровна</v>
      </c>
      <c r="K114" t="s">
        <v>5</v>
      </c>
      <c r="L114" t="s">
        <v>118</v>
      </c>
      <c r="M114" t="s">
        <v>133</v>
      </c>
      <c r="N114" t="str">
        <f t="shared" si="7"/>
        <v>Петров Владимир КирилловичИванова Елена Артемовна</v>
      </c>
      <c r="O114" t="s">
        <v>19</v>
      </c>
      <c r="P114" t="s">
        <v>164</v>
      </c>
      <c r="Q114" t="s">
        <v>423</v>
      </c>
    </row>
    <row r="115" spans="4:17" x14ac:dyDescent="0.25">
      <c r="D115" t="s">
        <v>43</v>
      </c>
      <c r="E115" t="s">
        <v>94</v>
      </c>
      <c r="F115" t="str">
        <f t="shared" si="4"/>
        <v>2024-03-04</v>
      </c>
      <c r="G115" t="str">
        <f t="shared" si="5"/>
        <v>2024-03-04</v>
      </c>
      <c r="H115">
        <f t="shared" si="6"/>
        <v>0</v>
      </c>
      <c r="J115" t="str">
        <f>K115&amp;L115</f>
        <v>Громова Мария ИльиничнаКозлов Роман Егорович</v>
      </c>
      <c r="K115" t="s">
        <v>43</v>
      </c>
      <c r="L115" t="s">
        <v>134</v>
      </c>
      <c r="M115" t="s">
        <v>133</v>
      </c>
      <c r="N115" t="str">
        <f t="shared" si="7"/>
        <v>Громова Мария ИльиничнаНовикова Ирина Дмитриевна</v>
      </c>
      <c r="O115" t="s">
        <v>43</v>
      </c>
      <c r="P115" t="s">
        <v>424</v>
      </c>
      <c r="Q115" t="s">
        <v>423</v>
      </c>
    </row>
    <row r="116" spans="4:17" x14ac:dyDescent="0.25">
      <c r="D116" t="s">
        <v>43</v>
      </c>
      <c r="E116" t="s">
        <v>347</v>
      </c>
      <c r="F116" t="str">
        <f t="shared" si="4"/>
        <v>2024-04-17</v>
      </c>
      <c r="G116" t="str">
        <f t="shared" si="5"/>
        <v>2024-04-17</v>
      </c>
      <c r="H116">
        <f t="shared" si="6"/>
        <v>0</v>
      </c>
      <c r="J116" t="str">
        <f>K116&amp;L116</f>
        <v>Иванова Анна СергеевнаСтепанова Алиса Ильинична</v>
      </c>
      <c r="K116" t="s">
        <v>55</v>
      </c>
      <c r="L116" t="s">
        <v>135</v>
      </c>
      <c r="M116" t="s">
        <v>133</v>
      </c>
      <c r="N116" t="str">
        <f t="shared" si="7"/>
        <v>Иванова Анна СергеевнаСмирнов Илья Андреевич</v>
      </c>
      <c r="O116" t="s">
        <v>55</v>
      </c>
      <c r="P116" t="s">
        <v>258</v>
      </c>
      <c r="Q116" t="s">
        <v>422</v>
      </c>
    </row>
    <row r="117" spans="4:17" x14ac:dyDescent="0.25">
      <c r="D117" t="s">
        <v>43</v>
      </c>
      <c r="E117" t="s">
        <v>118</v>
      </c>
      <c r="F117" t="str">
        <f t="shared" si="4"/>
        <v>2023-10-03</v>
      </c>
      <c r="G117" t="str">
        <f t="shared" si="5"/>
        <v>2024-07-03</v>
      </c>
      <c r="H117">
        <f t="shared" si="6"/>
        <v>274</v>
      </c>
      <c r="J117" t="str">
        <f>K117&amp;L117</f>
        <v>Кузнецов Дмитрий ЛьвовичПетров Артем Егорович</v>
      </c>
      <c r="K117" t="s">
        <v>11</v>
      </c>
      <c r="L117" t="s">
        <v>136</v>
      </c>
      <c r="M117" t="s">
        <v>137</v>
      </c>
      <c r="N117" t="str">
        <f t="shared" si="7"/>
        <v>Фролов Сергей ВикторовичСеменова Полина Сергеевна</v>
      </c>
      <c r="O117" t="s">
        <v>38</v>
      </c>
      <c r="P117" t="s">
        <v>183</v>
      </c>
      <c r="Q117" t="s">
        <v>422</v>
      </c>
    </row>
    <row r="118" spans="4:17" x14ac:dyDescent="0.25">
      <c r="D118" t="s">
        <v>43</v>
      </c>
      <c r="E118" t="s">
        <v>258</v>
      </c>
      <c r="F118" t="str">
        <f t="shared" si="4"/>
        <v>2024-01-29</v>
      </c>
      <c r="G118" t="str">
        <f t="shared" si="5"/>
        <v>2024-03-21</v>
      </c>
      <c r="H118">
        <f t="shared" si="6"/>
        <v>52</v>
      </c>
      <c r="J118" t="str">
        <f>K118&amp;L118</f>
        <v>Яковлев Артем ИгоревичПопов Матвей Иванович</v>
      </c>
      <c r="K118" t="s">
        <v>21</v>
      </c>
      <c r="L118" t="s">
        <v>138</v>
      </c>
      <c r="M118" t="s">
        <v>137</v>
      </c>
      <c r="N118" t="str">
        <f t="shared" si="7"/>
        <v>Фролов Сергей ВикторовичПавлов Михаил Андреевич</v>
      </c>
      <c r="O118" t="s">
        <v>38</v>
      </c>
      <c r="P118" t="s">
        <v>39</v>
      </c>
      <c r="Q118" t="s">
        <v>422</v>
      </c>
    </row>
    <row r="119" spans="4:17" x14ac:dyDescent="0.25">
      <c r="D119" t="s">
        <v>43</v>
      </c>
      <c r="E119" t="s">
        <v>125</v>
      </c>
      <c r="F119" t="str">
        <f t="shared" si="4"/>
        <v>2024-06-11</v>
      </c>
      <c r="G119" t="str">
        <f t="shared" si="5"/>
        <v>2024-06-11</v>
      </c>
      <c r="H119">
        <f t="shared" si="6"/>
        <v>0</v>
      </c>
      <c r="J119" t="str">
        <f>K119&amp;L119</f>
        <v>Громова Мария ИльиничнаВолкова Людмила Кирилловна</v>
      </c>
      <c r="K119" t="s">
        <v>43</v>
      </c>
      <c r="L119" t="s">
        <v>139</v>
      </c>
      <c r="M119" t="s">
        <v>137</v>
      </c>
      <c r="N119" t="str">
        <f t="shared" si="7"/>
        <v>Орлов Павел ДенисовичСмирнова Екатерина Ивановна</v>
      </c>
      <c r="O119" t="s">
        <v>13</v>
      </c>
      <c r="P119" t="s">
        <v>28</v>
      </c>
      <c r="Q119" t="s">
        <v>422</v>
      </c>
    </row>
    <row r="120" spans="4:17" x14ac:dyDescent="0.25">
      <c r="D120" t="s">
        <v>43</v>
      </c>
      <c r="E120" t="s">
        <v>12</v>
      </c>
      <c r="F120" t="str">
        <f t="shared" si="4"/>
        <v>2023-11-06</v>
      </c>
      <c r="G120" t="str">
        <f t="shared" si="5"/>
        <v>2024-03-04</v>
      </c>
      <c r="H120">
        <f t="shared" si="6"/>
        <v>119</v>
      </c>
      <c r="J120" t="str">
        <f>K120&amp;L120</f>
        <v>Громова Мария ИльиничнаОрлов Владимир Никитич</v>
      </c>
      <c r="K120" t="s">
        <v>43</v>
      </c>
      <c r="L120" t="s">
        <v>32</v>
      </c>
      <c r="M120" t="s">
        <v>137</v>
      </c>
      <c r="N120" t="str">
        <f t="shared" si="7"/>
        <v>Громова Мария ИльиничнаАлексеев Егор Юрьевич</v>
      </c>
      <c r="O120" t="s">
        <v>43</v>
      </c>
      <c r="P120" t="s">
        <v>193</v>
      </c>
      <c r="Q120" t="s">
        <v>422</v>
      </c>
    </row>
    <row r="121" spans="4:17" x14ac:dyDescent="0.25">
      <c r="D121" t="s">
        <v>43</v>
      </c>
      <c r="E121" t="s">
        <v>22</v>
      </c>
      <c r="F121" t="str">
        <f t="shared" si="4"/>
        <v>2024-08-08</v>
      </c>
      <c r="G121" t="str">
        <f t="shared" si="5"/>
        <v>2024-08-08</v>
      </c>
      <c r="H121">
        <f t="shared" si="6"/>
        <v>0</v>
      </c>
      <c r="J121" t="str">
        <f>K121&amp;L121</f>
        <v>Фролов Сергей ВикторовичСмирнов Роман Кириллович</v>
      </c>
      <c r="K121" t="s">
        <v>38</v>
      </c>
      <c r="L121" t="s">
        <v>125</v>
      </c>
      <c r="M121" t="s">
        <v>140</v>
      </c>
      <c r="N121" t="str">
        <f t="shared" si="7"/>
        <v>Семенова Ирина ВалерьевнаФедоров Максим Андреевич</v>
      </c>
      <c r="O121" t="s">
        <v>16</v>
      </c>
      <c r="P121" t="s">
        <v>97</v>
      </c>
      <c r="Q121" t="s">
        <v>422</v>
      </c>
    </row>
    <row r="122" spans="4:17" x14ac:dyDescent="0.25">
      <c r="D122" t="s">
        <v>43</v>
      </c>
      <c r="E122" t="s">
        <v>44</v>
      </c>
      <c r="F122" t="str">
        <f t="shared" si="4"/>
        <v>2023-09-08</v>
      </c>
      <c r="G122" t="str">
        <f t="shared" si="5"/>
        <v>2023-11-02</v>
      </c>
      <c r="H122">
        <f t="shared" si="6"/>
        <v>55</v>
      </c>
      <c r="J122" t="str">
        <f>K122&amp;L122</f>
        <v>Иванова Анна СергеевнаСидоров Кирилл Михайлович</v>
      </c>
      <c r="K122" t="s">
        <v>55</v>
      </c>
      <c r="L122" t="s">
        <v>59</v>
      </c>
      <c r="M122" t="s">
        <v>140</v>
      </c>
      <c r="N122" t="str">
        <f t="shared" si="7"/>
        <v>Новикова Ольга ПетровнаВасильев Андрей Павлович</v>
      </c>
      <c r="O122" t="s">
        <v>29</v>
      </c>
      <c r="P122" t="s">
        <v>151</v>
      </c>
      <c r="Q122" t="s">
        <v>422</v>
      </c>
    </row>
    <row r="123" spans="4:17" x14ac:dyDescent="0.25">
      <c r="D123" t="s">
        <v>43</v>
      </c>
      <c r="E123" t="s">
        <v>303</v>
      </c>
      <c r="F123" t="str">
        <f t="shared" si="4"/>
        <v>2024-02-22</v>
      </c>
      <c r="G123" t="str">
        <f t="shared" si="5"/>
        <v>2024-02-22</v>
      </c>
      <c r="H123">
        <f t="shared" si="6"/>
        <v>0</v>
      </c>
      <c r="J123" t="str">
        <f>K123&amp;L123</f>
        <v>Ткаченко Андрей ОлеговичМорозов Владимир Станиславович</v>
      </c>
      <c r="K123" t="s">
        <v>26</v>
      </c>
      <c r="L123" t="s">
        <v>141</v>
      </c>
      <c r="M123" t="s">
        <v>142</v>
      </c>
      <c r="N123" t="str">
        <f t="shared" si="7"/>
        <v>Сидорова Елена ВасильевнаВолкова Виктория Павловна</v>
      </c>
      <c r="O123" t="s">
        <v>8</v>
      </c>
      <c r="P123" t="s">
        <v>294</v>
      </c>
      <c r="Q123" t="s">
        <v>422</v>
      </c>
    </row>
    <row r="124" spans="4:17" x14ac:dyDescent="0.25">
      <c r="D124" t="s">
        <v>43</v>
      </c>
      <c r="E124" t="s">
        <v>200</v>
      </c>
      <c r="F124" t="str">
        <f t="shared" si="4"/>
        <v>2023-11-13</v>
      </c>
      <c r="G124" t="str">
        <f t="shared" si="5"/>
        <v>2023-11-13</v>
      </c>
      <c r="H124">
        <f t="shared" si="6"/>
        <v>0</v>
      </c>
      <c r="J124" t="str">
        <f>K124&amp;L124</f>
        <v>Новикова Ольга ПетровнаСеменов Алексей Юрьевич</v>
      </c>
      <c r="K124" t="s">
        <v>29</v>
      </c>
      <c r="L124" t="s">
        <v>143</v>
      </c>
      <c r="M124" t="s">
        <v>142</v>
      </c>
      <c r="N124" t="str">
        <f t="shared" si="7"/>
        <v>Яковлев Артем ИгоревичПавлова Наталья Павловна</v>
      </c>
      <c r="O124" t="s">
        <v>21</v>
      </c>
      <c r="P124" t="s">
        <v>144</v>
      </c>
      <c r="Q124" t="s">
        <v>422</v>
      </c>
    </row>
    <row r="125" spans="4:17" x14ac:dyDescent="0.25">
      <c r="D125" t="s">
        <v>43</v>
      </c>
      <c r="E125" t="s">
        <v>25</v>
      </c>
      <c r="F125" t="str">
        <f t="shared" si="4"/>
        <v>2023-12-01</v>
      </c>
      <c r="G125" t="str">
        <f t="shared" si="5"/>
        <v>2023-12-01</v>
      </c>
      <c r="H125">
        <f t="shared" si="6"/>
        <v>0</v>
      </c>
      <c r="J125" t="str">
        <f>K125&amp;L125</f>
        <v>Фролов Сергей ВикторовичПавлова Наталья Павловна</v>
      </c>
      <c r="K125" t="s">
        <v>38</v>
      </c>
      <c r="L125" t="s">
        <v>144</v>
      </c>
      <c r="M125" t="s">
        <v>142</v>
      </c>
      <c r="N125" t="str">
        <f t="shared" si="7"/>
        <v>Сидорова Елена ВасильевнаПопов Роман Владимирович</v>
      </c>
      <c r="O125" t="s">
        <v>8</v>
      </c>
      <c r="P125" t="s">
        <v>88</v>
      </c>
      <c r="Q125" t="s">
        <v>422</v>
      </c>
    </row>
    <row r="126" spans="4:17" x14ac:dyDescent="0.25">
      <c r="D126" t="s">
        <v>43</v>
      </c>
      <c r="E126" t="s">
        <v>104</v>
      </c>
      <c r="F126" t="str">
        <f t="shared" si="4"/>
        <v>2023-12-11</v>
      </c>
      <c r="G126" t="str">
        <f t="shared" si="5"/>
        <v>2024-03-26</v>
      </c>
      <c r="H126">
        <f t="shared" si="6"/>
        <v>106</v>
      </c>
      <c r="J126" t="str">
        <f>K126&amp;L126</f>
        <v>Петров Владимир КирилловичПопова Светлана Геннадьевна</v>
      </c>
      <c r="K126" t="s">
        <v>19</v>
      </c>
      <c r="L126" t="s">
        <v>18</v>
      </c>
      <c r="M126" t="s">
        <v>142</v>
      </c>
      <c r="N126" t="str">
        <f t="shared" si="7"/>
        <v>Яковлев Артем ИгоревичСтепанова Анна Романовна</v>
      </c>
      <c r="O126" t="s">
        <v>21</v>
      </c>
      <c r="P126" t="s">
        <v>234</v>
      </c>
      <c r="Q126" t="s">
        <v>422</v>
      </c>
    </row>
    <row r="127" spans="4:17" x14ac:dyDescent="0.25">
      <c r="D127" t="s">
        <v>55</v>
      </c>
      <c r="E127" t="s">
        <v>72</v>
      </c>
      <c r="F127" t="str">
        <f t="shared" si="4"/>
        <v>2023-09-18</v>
      </c>
      <c r="G127" t="str">
        <f t="shared" si="5"/>
        <v>2023-09-18</v>
      </c>
      <c r="H127">
        <f t="shared" si="6"/>
        <v>0</v>
      </c>
      <c r="J127" t="str">
        <f>K127&amp;L127</f>
        <v>Иванова Анна СергеевнаВолков Павел Иванович</v>
      </c>
      <c r="K127" t="s">
        <v>55</v>
      </c>
      <c r="L127" t="s">
        <v>74</v>
      </c>
      <c r="M127" t="s">
        <v>142</v>
      </c>
      <c r="N127" t="str">
        <f t="shared" si="7"/>
        <v>Ткаченко Андрей ОлеговичКозлов Александр Павлович</v>
      </c>
      <c r="O127" t="s">
        <v>26</v>
      </c>
      <c r="P127" t="s">
        <v>60</v>
      </c>
      <c r="Q127" t="s">
        <v>421</v>
      </c>
    </row>
    <row r="128" spans="4:17" x14ac:dyDescent="0.25">
      <c r="D128" t="s">
        <v>55</v>
      </c>
      <c r="E128" t="s">
        <v>172</v>
      </c>
      <c r="F128" t="str">
        <f t="shared" si="4"/>
        <v>2023-11-21</v>
      </c>
      <c r="G128" t="str">
        <f t="shared" si="5"/>
        <v>2023-11-21</v>
      </c>
      <c r="H128">
        <f t="shared" si="6"/>
        <v>0</v>
      </c>
      <c r="J128" t="str">
        <f>K128&amp;L128</f>
        <v>Петров Владимир КирилловичНовиков Павел Сергеевич</v>
      </c>
      <c r="K128" t="s">
        <v>19</v>
      </c>
      <c r="L128" t="s">
        <v>145</v>
      </c>
      <c r="M128" t="s">
        <v>142</v>
      </c>
      <c r="N128" t="str">
        <f t="shared" si="7"/>
        <v>Ткаченко Андрей ОлеговичСмирнов Дмитрий Егорович</v>
      </c>
      <c r="O128" t="s">
        <v>26</v>
      </c>
      <c r="P128" t="s">
        <v>250</v>
      </c>
      <c r="Q128" t="s">
        <v>421</v>
      </c>
    </row>
    <row r="129" spans="4:17" x14ac:dyDescent="0.25">
      <c r="D129" t="s">
        <v>55</v>
      </c>
      <c r="E129" t="s">
        <v>151</v>
      </c>
      <c r="F129" t="str">
        <f t="shared" si="4"/>
        <v>2023-10-20</v>
      </c>
      <c r="G129" t="str">
        <f t="shared" si="5"/>
        <v>2023-10-20</v>
      </c>
      <c r="H129">
        <f t="shared" si="6"/>
        <v>0</v>
      </c>
      <c r="J129" t="str">
        <f>K129&amp;L129</f>
        <v>Орлов Павел ДенисовичИванов Артем Павлович</v>
      </c>
      <c r="K129" t="s">
        <v>13</v>
      </c>
      <c r="L129" t="s">
        <v>146</v>
      </c>
      <c r="M129" t="s">
        <v>147</v>
      </c>
      <c r="N129" t="str">
        <f t="shared" si="7"/>
        <v>Фролов Сергей ВикторовичОрлов Андрей Александрович</v>
      </c>
      <c r="O129" t="s">
        <v>38</v>
      </c>
      <c r="P129" t="s">
        <v>283</v>
      </c>
      <c r="Q129" t="s">
        <v>421</v>
      </c>
    </row>
    <row r="130" spans="4:17" x14ac:dyDescent="0.25">
      <c r="D130" t="s">
        <v>55</v>
      </c>
      <c r="E130" t="s">
        <v>269</v>
      </c>
      <c r="F130" t="str">
        <f t="shared" si="4"/>
        <v>2024-07-29</v>
      </c>
      <c r="G130" t="str">
        <f t="shared" si="5"/>
        <v>2024-07-29</v>
      </c>
      <c r="H130">
        <f t="shared" si="6"/>
        <v>0</v>
      </c>
      <c r="J130" t="str">
        <f>K130&amp;L130</f>
        <v>Семенова Ирина ВалерьевнаПопов Георгий Ильич</v>
      </c>
      <c r="K130" t="s">
        <v>16</v>
      </c>
      <c r="L130" t="s">
        <v>148</v>
      </c>
      <c r="M130" t="s">
        <v>147</v>
      </c>
      <c r="N130" t="str">
        <f t="shared" si="7"/>
        <v>Кузнецов Дмитрий ЛьвовичКозлов Михаил Андреевич</v>
      </c>
      <c r="O130" t="s">
        <v>11</v>
      </c>
      <c r="P130" t="s">
        <v>354</v>
      </c>
      <c r="Q130" t="s">
        <v>421</v>
      </c>
    </row>
    <row r="131" spans="4:17" x14ac:dyDescent="0.25">
      <c r="D131" t="s">
        <v>55</v>
      </c>
      <c r="E131" t="s">
        <v>74</v>
      </c>
      <c r="F131" t="str">
        <f t="shared" ref="F131:F194" si="8">VLOOKUP(D131&amp;E131,J:M,4,0)</f>
        <v>2023-10-18</v>
      </c>
      <c r="G131" t="str">
        <f t="shared" ref="G131:G194" si="9">VLOOKUP(D131&amp;E131,N:Q,4,0)</f>
        <v>2024-02-22</v>
      </c>
      <c r="H131">
        <f t="shared" ref="H131:H194" si="10">G131-F131</f>
        <v>127</v>
      </c>
      <c r="J131" t="str">
        <f>K131&amp;L131</f>
        <v>Орлов Павел ДенисовичИванов Георгий Павлович</v>
      </c>
      <c r="K131" t="s">
        <v>13</v>
      </c>
      <c r="L131" t="s">
        <v>149</v>
      </c>
      <c r="M131" t="s">
        <v>147</v>
      </c>
      <c r="N131" t="str">
        <f t="shared" ref="N131:N194" si="11">O131&amp;P131</f>
        <v>Яковлев Артем ИгоревичПавлова Полина Юрьевна</v>
      </c>
      <c r="O131" t="s">
        <v>21</v>
      </c>
      <c r="P131" t="s">
        <v>419</v>
      </c>
      <c r="Q131" t="s">
        <v>420</v>
      </c>
    </row>
    <row r="132" spans="4:17" x14ac:dyDescent="0.25">
      <c r="D132" t="s">
        <v>55</v>
      </c>
      <c r="E132" t="s">
        <v>54</v>
      </c>
      <c r="F132" t="str">
        <f t="shared" si="8"/>
        <v>2024-01-05</v>
      </c>
      <c r="G132" t="str">
        <f t="shared" si="9"/>
        <v>2024-01-05</v>
      </c>
      <c r="H132">
        <f t="shared" si="10"/>
        <v>0</v>
      </c>
      <c r="J132" t="str">
        <f>K132&amp;L132</f>
        <v>Кузнецов Дмитрий ЛьвовичНовикова Екатерина Павловна</v>
      </c>
      <c r="K132" t="s">
        <v>11</v>
      </c>
      <c r="L132" t="s">
        <v>76</v>
      </c>
      <c r="M132" t="s">
        <v>150</v>
      </c>
      <c r="N132" t="str">
        <f t="shared" si="11"/>
        <v>Белов Алексей КонстантиновичЕгорова Юлия Никитична</v>
      </c>
      <c r="O132" t="s">
        <v>5</v>
      </c>
      <c r="P132" t="s">
        <v>264</v>
      </c>
      <c r="Q132" t="s">
        <v>418</v>
      </c>
    </row>
    <row r="133" spans="4:17" x14ac:dyDescent="0.25">
      <c r="D133" t="s">
        <v>55</v>
      </c>
      <c r="E133" t="s">
        <v>159</v>
      </c>
      <c r="F133" t="str">
        <f t="shared" si="8"/>
        <v>2023-11-27</v>
      </c>
      <c r="G133" t="str">
        <f t="shared" si="9"/>
        <v>2023-11-27</v>
      </c>
      <c r="H133">
        <f t="shared" si="10"/>
        <v>0</v>
      </c>
      <c r="J133" t="str">
        <f>K133&amp;L133</f>
        <v>Кузнецов Дмитрий ЛьвовичПетрова Ольга Сергеевна</v>
      </c>
      <c r="K133" t="s">
        <v>11</v>
      </c>
      <c r="L133" t="s">
        <v>119</v>
      </c>
      <c r="M133" t="s">
        <v>150</v>
      </c>
      <c r="N133" t="str">
        <f t="shared" si="11"/>
        <v>Сидорова Елена ВасильевнаПавлова София Геннадьевна</v>
      </c>
      <c r="O133" t="s">
        <v>8</v>
      </c>
      <c r="P133" t="s">
        <v>126</v>
      </c>
      <c r="Q133" t="s">
        <v>418</v>
      </c>
    </row>
    <row r="134" spans="4:17" x14ac:dyDescent="0.25">
      <c r="D134" t="s">
        <v>55</v>
      </c>
      <c r="E134" t="s">
        <v>294</v>
      </c>
      <c r="F134" t="str">
        <f t="shared" si="8"/>
        <v>2024-02-12</v>
      </c>
      <c r="G134" t="str">
        <f t="shared" si="9"/>
        <v>2024-02-12</v>
      </c>
      <c r="H134">
        <f t="shared" si="10"/>
        <v>0</v>
      </c>
      <c r="J134" t="str">
        <f>K134&amp;L134</f>
        <v>Иванова Анна СергеевнаВасильев Андрей Павлович</v>
      </c>
      <c r="K134" t="s">
        <v>55</v>
      </c>
      <c r="L134" t="s">
        <v>151</v>
      </c>
      <c r="M134" t="s">
        <v>150</v>
      </c>
      <c r="N134" t="str">
        <f t="shared" si="11"/>
        <v>Белов Алексей КонстантиновичЕгорова Юлия Никитична</v>
      </c>
      <c r="O134" t="s">
        <v>5</v>
      </c>
      <c r="P134" t="s">
        <v>264</v>
      </c>
      <c r="Q134" t="s">
        <v>418</v>
      </c>
    </row>
    <row r="135" spans="4:17" x14ac:dyDescent="0.25">
      <c r="D135" t="s">
        <v>55</v>
      </c>
      <c r="E135" t="s">
        <v>58</v>
      </c>
      <c r="F135" t="str">
        <f t="shared" si="8"/>
        <v>2023-09-29</v>
      </c>
      <c r="G135" t="str">
        <f t="shared" si="9"/>
        <v>2023-09-29</v>
      </c>
      <c r="H135">
        <f t="shared" si="10"/>
        <v>0</v>
      </c>
      <c r="J135" t="str">
        <f>K135&amp;L135</f>
        <v>Белов Алексей КонстантиновичВасильева Елена Андреевна</v>
      </c>
      <c r="K135" t="s">
        <v>5</v>
      </c>
      <c r="L135" t="s">
        <v>27</v>
      </c>
      <c r="M135" t="s">
        <v>152</v>
      </c>
      <c r="N135" t="str">
        <f t="shared" si="11"/>
        <v>Белов Алексей КонстантиновичКозлова Наталья Романовна</v>
      </c>
      <c r="O135" t="s">
        <v>5</v>
      </c>
      <c r="P135" t="s">
        <v>342</v>
      </c>
      <c r="Q135" t="s">
        <v>418</v>
      </c>
    </row>
    <row r="136" spans="4:17" x14ac:dyDescent="0.25">
      <c r="D136" t="s">
        <v>55</v>
      </c>
      <c r="E136" t="s">
        <v>139</v>
      </c>
      <c r="F136" t="str">
        <f t="shared" si="8"/>
        <v>2024-04-05</v>
      </c>
      <c r="G136" t="str">
        <f t="shared" si="9"/>
        <v>2024-04-05</v>
      </c>
      <c r="H136">
        <f t="shared" si="10"/>
        <v>0</v>
      </c>
      <c r="J136" t="str">
        <f>K136&amp;L136</f>
        <v>Яковлев Артем ИгоревичКузнецова Ирина Павловна</v>
      </c>
      <c r="K136" t="s">
        <v>21</v>
      </c>
      <c r="L136" t="s">
        <v>116</v>
      </c>
      <c r="M136" t="s">
        <v>152</v>
      </c>
      <c r="N136" t="str">
        <f t="shared" si="11"/>
        <v>Новикова Ольга ПетровнаПетров Константин Егорович</v>
      </c>
      <c r="O136" t="s">
        <v>29</v>
      </c>
      <c r="P136" t="s">
        <v>102</v>
      </c>
      <c r="Q136" t="s">
        <v>417</v>
      </c>
    </row>
    <row r="137" spans="4:17" x14ac:dyDescent="0.25">
      <c r="D137" t="s">
        <v>55</v>
      </c>
      <c r="E137" t="s">
        <v>264</v>
      </c>
      <c r="F137" t="str">
        <f t="shared" si="8"/>
        <v>2024-01-15</v>
      </c>
      <c r="G137" t="str">
        <f t="shared" si="9"/>
        <v>2024-01-15</v>
      </c>
      <c r="H137">
        <f t="shared" si="10"/>
        <v>0</v>
      </c>
      <c r="J137" t="str">
        <f>K137&amp;L137</f>
        <v>Иванова Анна СергеевнаКозлов Илья Геннадьевич</v>
      </c>
      <c r="K137" t="s">
        <v>55</v>
      </c>
      <c r="L137" t="s">
        <v>153</v>
      </c>
      <c r="M137" t="s">
        <v>152</v>
      </c>
      <c r="N137" t="str">
        <f t="shared" si="11"/>
        <v>Ткаченко Андрей ОлеговичСеменов Матвей Михайлович</v>
      </c>
      <c r="O137" t="s">
        <v>26</v>
      </c>
      <c r="P137" t="s">
        <v>311</v>
      </c>
      <c r="Q137" t="s">
        <v>417</v>
      </c>
    </row>
    <row r="138" spans="4:17" x14ac:dyDescent="0.25">
      <c r="D138" t="s">
        <v>55</v>
      </c>
      <c r="E138" t="s">
        <v>328</v>
      </c>
      <c r="F138" t="str">
        <f t="shared" si="8"/>
        <v>2024-07-12</v>
      </c>
      <c r="G138" t="str">
        <f t="shared" si="9"/>
        <v>2024-07-12</v>
      </c>
      <c r="H138">
        <f t="shared" si="10"/>
        <v>0</v>
      </c>
      <c r="J138" t="str">
        <f>K138&amp;L138</f>
        <v>Фролов Сергей ВикторовичОрлов Андрей Никитич</v>
      </c>
      <c r="K138" t="s">
        <v>38</v>
      </c>
      <c r="L138" t="s">
        <v>111</v>
      </c>
      <c r="M138" t="s">
        <v>152</v>
      </c>
      <c r="N138" t="str">
        <f t="shared" si="11"/>
        <v>Сидорова Елена ВасильевнаНовиков Иван Павлович</v>
      </c>
      <c r="O138" t="s">
        <v>8</v>
      </c>
      <c r="P138" t="s">
        <v>36</v>
      </c>
      <c r="Q138" t="s">
        <v>417</v>
      </c>
    </row>
    <row r="139" spans="4:17" x14ac:dyDescent="0.25">
      <c r="D139" t="s">
        <v>55</v>
      </c>
      <c r="E139" t="s">
        <v>146</v>
      </c>
      <c r="F139" t="str">
        <f t="shared" si="8"/>
        <v>2024-02-15</v>
      </c>
      <c r="G139" t="str">
        <f t="shared" si="9"/>
        <v>2024-02-15</v>
      </c>
      <c r="H139">
        <f t="shared" si="10"/>
        <v>0</v>
      </c>
      <c r="J139" t="str">
        <f>K139&amp;L139</f>
        <v>Кузнецов Дмитрий ЛьвовичИванов Никита Романович</v>
      </c>
      <c r="K139" t="s">
        <v>11</v>
      </c>
      <c r="L139" t="s">
        <v>154</v>
      </c>
      <c r="M139" t="s">
        <v>152</v>
      </c>
      <c r="N139" t="str">
        <f t="shared" si="11"/>
        <v>Кузнецов Дмитрий ЛьвовичКозлов Матвей Владимирович</v>
      </c>
      <c r="O139" t="s">
        <v>11</v>
      </c>
      <c r="P139" t="s">
        <v>52</v>
      </c>
      <c r="Q139" t="s">
        <v>417</v>
      </c>
    </row>
    <row r="140" spans="4:17" x14ac:dyDescent="0.25">
      <c r="D140" t="s">
        <v>55</v>
      </c>
      <c r="E140" t="s">
        <v>164</v>
      </c>
      <c r="F140" t="str">
        <f t="shared" si="8"/>
        <v>2023-10-26</v>
      </c>
      <c r="G140" t="str">
        <f t="shared" si="9"/>
        <v>2023-10-26</v>
      </c>
      <c r="H140">
        <f t="shared" si="10"/>
        <v>0</v>
      </c>
      <c r="J140" t="str">
        <f>K140&amp;L140</f>
        <v>Орлов Павел ДенисовичВолкова Екатерина Егоровна</v>
      </c>
      <c r="K140" t="s">
        <v>13</v>
      </c>
      <c r="L140" t="s">
        <v>58</v>
      </c>
      <c r="M140" t="s">
        <v>152</v>
      </c>
      <c r="N140" t="str">
        <f t="shared" si="11"/>
        <v>Семенова Ирина ВалерьевнаПопов Иван Егорович</v>
      </c>
      <c r="O140" t="s">
        <v>16</v>
      </c>
      <c r="P140" t="s">
        <v>82</v>
      </c>
      <c r="Q140" t="s">
        <v>417</v>
      </c>
    </row>
    <row r="141" spans="4:17" x14ac:dyDescent="0.25">
      <c r="D141" t="s">
        <v>55</v>
      </c>
      <c r="E141" t="s">
        <v>91</v>
      </c>
      <c r="F141" t="str">
        <f t="shared" si="8"/>
        <v>2024-05-06</v>
      </c>
      <c r="G141" t="str">
        <f t="shared" si="9"/>
        <v>2024-08-01</v>
      </c>
      <c r="H141">
        <f t="shared" si="10"/>
        <v>87</v>
      </c>
      <c r="J141" t="str">
        <f>K141&amp;L141</f>
        <v>Ткаченко Андрей ОлеговичЛебедев Михаил Викторович</v>
      </c>
      <c r="K141" t="s">
        <v>26</v>
      </c>
      <c r="L141" t="s">
        <v>155</v>
      </c>
      <c r="M141" t="s">
        <v>152</v>
      </c>
      <c r="N141" t="str">
        <f t="shared" si="11"/>
        <v>Иванова Анна СергеевнаКузнецова Ирина Павловна</v>
      </c>
      <c r="O141" t="s">
        <v>55</v>
      </c>
      <c r="P141" t="s">
        <v>116</v>
      </c>
      <c r="Q141" t="s">
        <v>417</v>
      </c>
    </row>
    <row r="142" spans="4:17" x14ac:dyDescent="0.25">
      <c r="D142" t="s">
        <v>55</v>
      </c>
      <c r="E142" t="s">
        <v>215</v>
      </c>
      <c r="F142" t="str">
        <f t="shared" si="8"/>
        <v>2024-01-03</v>
      </c>
      <c r="G142" t="str">
        <f t="shared" si="9"/>
        <v>2024-01-03</v>
      </c>
      <c r="H142">
        <f t="shared" si="10"/>
        <v>0</v>
      </c>
      <c r="J142" t="str">
        <f>K142&amp;L142</f>
        <v>Фролов Сергей ВикторовичАлексеева Полина Викторовна</v>
      </c>
      <c r="K142" t="s">
        <v>38</v>
      </c>
      <c r="L142" t="s">
        <v>14</v>
      </c>
      <c r="M142" t="s">
        <v>152</v>
      </c>
      <c r="N142" t="str">
        <f t="shared" si="11"/>
        <v>Семенова Ирина ВалерьевнаВолкова Анна Викторовна</v>
      </c>
      <c r="O142" t="s">
        <v>16</v>
      </c>
      <c r="P142" t="s">
        <v>42</v>
      </c>
      <c r="Q142" t="s">
        <v>417</v>
      </c>
    </row>
    <row r="143" spans="4:17" x14ac:dyDescent="0.25">
      <c r="D143" t="s">
        <v>55</v>
      </c>
      <c r="E143" t="s">
        <v>153</v>
      </c>
      <c r="F143" t="str">
        <f t="shared" si="8"/>
        <v>2023-10-23</v>
      </c>
      <c r="G143" t="str">
        <f t="shared" si="9"/>
        <v>2023-10-23</v>
      </c>
      <c r="H143">
        <f t="shared" si="10"/>
        <v>0</v>
      </c>
      <c r="J143" t="str">
        <f>K143&amp;L143</f>
        <v>Сидорова Елена ВасильевнаСмирнов Константин Дмитриевич</v>
      </c>
      <c r="K143" t="s">
        <v>8</v>
      </c>
      <c r="L143" t="s">
        <v>156</v>
      </c>
      <c r="M143" t="s">
        <v>157</v>
      </c>
      <c r="N143" t="str">
        <f t="shared" si="11"/>
        <v>Фролов Сергей ВикторовичКозлова Полина Михайловна</v>
      </c>
      <c r="O143" t="s">
        <v>38</v>
      </c>
      <c r="P143" t="s">
        <v>87</v>
      </c>
      <c r="Q143" t="s">
        <v>416</v>
      </c>
    </row>
    <row r="144" spans="4:17" x14ac:dyDescent="0.25">
      <c r="D144" t="s">
        <v>55</v>
      </c>
      <c r="E144" t="s">
        <v>52</v>
      </c>
      <c r="F144" t="str">
        <f t="shared" si="8"/>
        <v>2023-09-12</v>
      </c>
      <c r="G144" t="str">
        <f t="shared" si="9"/>
        <v>2023-09-12</v>
      </c>
      <c r="H144">
        <f t="shared" si="10"/>
        <v>0</v>
      </c>
      <c r="J144" t="str">
        <f>K144&amp;L144</f>
        <v>Семенова Ирина ВалерьевнаПопов Павел Артемович</v>
      </c>
      <c r="K144" t="s">
        <v>16</v>
      </c>
      <c r="L144" t="s">
        <v>158</v>
      </c>
      <c r="M144" t="s">
        <v>157</v>
      </c>
      <c r="N144" t="str">
        <f t="shared" si="11"/>
        <v>Белов Алексей КонстантиновичПопов Павел Артемович</v>
      </c>
      <c r="O144" t="s">
        <v>5</v>
      </c>
      <c r="P144" t="s">
        <v>158</v>
      </c>
      <c r="Q144" t="s">
        <v>416</v>
      </c>
    </row>
    <row r="145" spans="4:17" x14ac:dyDescent="0.25">
      <c r="D145" t="s">
        <v>55</v>
      </c>
      <c r="E145" t="s">
        <v>342</v>
      </c>
      <c r="F145" t="str">
        <f t="shared" si="8"/>
        <v>2024-04-09</v>
      </c>
      <c r="G145" t="str">
        <f t="shared" si="9"/>
        <v>2024-04-09</v>
      </c>
      <c r="H145">
        <f t="shared" si="10"/>
        <v>0</v>
      </c>
      <c r="J145" t="str">
        <f>K145&amp;L145</f>
        <v>Петров Владимир КирилловичВолкова Виктория Артемовна</v>
      </c>
      <c r="K145" t="s">
        <v>19</v>
      </c>
      <c r="L145" t="s">
        <v>159</v>
      </c>
      <c r="M145" t="s">
        <v>157</v>
      </c>
      <c r="N145" t="str">
        <f t="shared" si="11"/>
        <v>Петров Владимир КирилловичЕгоров Илья Ильич</v>
      </c>
      <c r="O145" t="s">
        <v>19</v>
      </c>
      <c r="P145" t="s">
        <v>53</v>
      </c>
      <c r="Q145" t="s">
        <v>416</v>
      </c>
    </row>
    <row r="146" spans="4:17" x14ac:dyDescent="0.25">
      <c r="D146" t="s">
        <v>55</v>
      </c>
      <c r="E146" t="s">
        <v>87</v>
      </c>
      <c r="F146" t="str">
        <f t="shared" si="8"/>
        <v>2024-05-10</v>
      </c>
      <c r="G146" t="str">
        <f t="shared" si="9"/>
        <v>2024-05-10</v>
      </c>
      <c r="H146">
        <f t="shared" si="10"/>
        <v>0</v>
      </c>
      <c r="J146" t="str">
        <f>K146&amp;L146</f>
        <v>Белов Алексей КонстантиновичНовикова Екатерина Павловна</v>
      </c>
      <c r="K146" t="s">
        <v>5</v>
      </c>
      <c r="L146" t="s">
        <v>76</v>
      </c>
      <c r="M146" t="s">
        <v>157</v>
      </c>
      <c r="N146" t="str">
        <f t="shared" si="11"/>
        <v>Сидорова Елена ВасильевнаМорозов Андрей Алексеевич</v>
      </c>
      <c r="O146" t="s">
        <v>8</v>
      </c>
      <c r="P146" t="s">
        <v>278</v>
      </c>
      <c r="Q146" t="s">
        <v>416</v>
      </c>
    </row>
    <row r="147" spans="4:17" x14ac:dyDescent="0.25">
      <c r="D147" t="s">
        <v>55</v>
      </c>
      <c r="E147" t="s">
        <v>116</v>
      </c>
      <c r="F147" t="str">
        <f t="shared" si="8"/>
        <v>2024-07-16</v>
      </c>
      <c r="G147" t="str">
        <f t="shared" si="9"/>
        <v>2024-07-16</v>
      </c>
      <c r="H147">
        <f t="shared" si="10"/>
        <v>0</v>
      </c>
      <c r="J147" t="str">
        <f>K147&amp;L147</f>
        <v>Громова Мария ИльиничнаПопова Полина Сергеевна</v>
      </c>
      <c r="K147" t="s">
        <v>43</v>
      </c>
      <c r="L147" t="s">
        <v>160</v>
      </c>
      <c r="M147" t="s">
        <v>157</v>
      </c>
      <c r="N147" t="str">
        <f t="shared" si="11"/>
        <v>Петров Владимир КирилловичСеменов Никита Александрович</v>
      </c>
      <c r="O147" t="s">
        <v>19</v>
      </c>
      <c r="P147" t="s">
        <v>73</v>
      </c>
      <c r="Q147" t="s">
        <v>415</v>
      </c>
    </row>
    <row r="148" spans="4:17" x14ac:dyDescent="0.25">
      <c r="D148" t="s">
        <v>55</v>
      </c>
      <c r="E148" t="s">
        <v>115</v>
      </c>
      <c r="F148" t="str">
        <f t="shared" si="8"/>
        <v>2023-10-02</v>
      </c>
      <c r="G148" t="str">
        <f t="shared" si="9"/>
        <v>2023-11-01</v>
      </c>
      <c r="H148">
        <f t="shared" si="10"/>
        <v>30</v>
      </c>
      <c r="J148" t="str">
        <f>K148&amp;L148</f>
        <v>Ткаченко Андрей ОлеговичПетров Константин Егорович</v>
      </c>
      <c r="K148" t="s">
        <v>26</v>
      </c>
      <c r="L148" t="s">
        <v>102</v>
      </c>
      <c r="M148" t="s">
        <v>157</v>
      </c>
      <c r="N148" t="str">
        <f t="shared" si="11"/>
        <v>Ткаченко Андрей ОлеговичВолкова Анна Викторовна</v>
      </c>
      <c r="O148" t="s">
        <v>26</v>
      </c>
      <c r="P148" t="s">
        <v>42</v>
      </c>
      <c r="Q148" t="s">
        <v>415</v>
      </c>
    </row>
    <row r="149" spans="4:17" x14ac:dyDescent="0.25">
      <c r="D149" t="s">
        <v>55</v>
      </c>
      <c r="E149" t="s">
        <v>40</v>
      </c>
      <c r="F149" t="str">
        <f t="shared" si="8"/>
        <v>2023-11-20</v>
      </c>
      <c r="G149" t="str">
        <f t="shared" si="9"/>
        <v>2023-11-20</v>
      </c>
      <c r="H149">
        <f t="shared" si="10"/>
        <v>0</v>
      </c>
      <c r="J149" t="str">
        <f>K149&amp;L149</f>
        <v>Сидорова Елена ВасильевнаИванова София Михайловна</v>
      </c>
      <c r="K149" t="s">
        <v>8</v>
      </c>
      <c r="L149" t="s">
        <v>161</v>
      </c>
      <c r="M149" t="s">
        <v>162</v>
      </c>
      <c r="N149" t="str">
        <f t="shared" si="11"/>
        <v>Иванова Анна СергеевнаИванов Андрей Дмитриевич</v>
      </c>
      <c r="O149" t="s">
        <v>55</v>
      </c>
      <c r="P149" t="s">
        <v>328</v>
      </c>
      <c r="Q149" t="s">
        <v>415</v>
      </c>
    </row>
    <row r="150" spans="4:17" x14ac:dyDescent="0.25">
      <c r="D150" t="s">
        <v>55</v>
      </c>
      <c r="E150" t="s">
        <v>362</v>
      </c>
      <c r="F150" t="str">
        <f t="shared" si="8"/>
        <v>2024-05-02</v>
      </c>
      <c r="G150" t="str">
        <f t="shared" si="9"/>
        <v>2024-05-02</v>
      </c>
      <c r="H150">
        <f t="shared" si="10"/>
        <v>0</v>
      </c>
      <c r="J150" t="str">
        <f>K150&amp;L150</f>
        <v>Петров Владимир КирилловичПетров Дмитрий Сергеевич</v>
      </c>
      <c r="K150" t="s">
        <v>19</v>
      </c>
      <c r="L150" t="s">
        <v>84</v>
      </c>
      <c r="M150" t="s">
        <v>163</v>
      </c>
      <c r="N150" t="str">
        <f t="shared" si="11"/>
        <v>Иванова Анна СергеевнаСтепанова Александра Дмитриевна</v>
      </c>
      <c r="O150" t="s">
        <v>55</v>
      </c>
      <c r="P150" t="s">
        <v>46</v>
      </c>
      <c r="Q150" t="s">
        <v>414</v>
      </c>
    </row>
    <row r="151" spans="4:17" x14ac:dyDescent="0.25">
      <c r="D151" t="s">
        <v>55</v>
      </c>
      <c r="E151" t="s">
        <v>177</v>
      </c>
      <c r="F151" t="str">
        <f t="shared" si="8"/>
        <v>2023-11-28</v>
      </c>
      <c r="G151" t="str">
        <f t="shared" si="9"/>
        <v>2023-11-28</v>
      </c>
      <c r="H151">
        <f t="shared" si="10"/>
        <v>0</v>
      </c>
      <c r="J151" t="str">
        <f>K151&amp;L151</f>
        <v>Иванова Анна СергеевнаИванова Елена Артемовна</v>
      </c>
      <c r="K151" t="s">
        <v>55</v>
      </c>
      <c r="L151" t="s">
        <v>164</v>
      </c>
      <c r="M151" t="s">
        <v>163</v>
      </c>
      <c r="N151" t="str">
        <f t="shared" si="11"/>
        <v>Орлов Павел ДенисовичПавлова Наталья Павловна</v>
      </c>
      <c r="O151" t="s">
        <v>13</v>
      </c>
      <c r="P151" t="s">
        <v>144</v>
      </c>
      <c r="Q151" t="s">
        <v>413</v>
      </c>
    </row>
    <row r="152" spans="4:17" x14ac:dyDescent="0.25">
      <c r="D152" t="s">
        <v>55</v>
      </c>
      <c r="E152" t="s">
        <v>176</v>
      </c>
      <c r="F152" t="str">
        <f t="shared" si="8"/>
        <v>2023-10-31</v>
      </c>
      <c r="G152" t="str">
        <f t="shared" si="9"/>
        <v>2023-10-31</v>
      </c>
      <c r="H152">
        <f t="shared" si="10"/>
        <v>0</v>
      </c>
      <c r="J152" t="str">
        <f>K152&amp;L152</f>
        <v>Семенова Ирина ВалерьевнаПопов Никита Андреевич</v>
      </c>
      <c r="K152" t="s">
        <v>16</v>
      </c>
      <c r="L152" t="s">
        <v>165</v>
      </c>
      <c r="M152" t="s">
        <v>163</v>
      </c>
      <c r="N152" t="str">
        <f t="shared" si="11"/>
        <v>Петров Владимир КирилловичСмирнова Екатерина Геннадьевна</v>
      </c>
      <c r="O152" t="s">
        <v>19</v>
      </c>
      <c r="P152" t="s">
        <v>169</v>
      </c>
      <c r="Q152" t="s">
        <v>413</v>
      </c>
    </row>
    <row r="153" spans="4:17" x14ac:dyDescent="0.25">
      <c r="D153" t="s">
        <v>55</v>
      </c>
      <c r="E153" t="s">
        <v>340</v>
      </c>
      <c r="F153" t="str">
        <f t="shared" si="8"/>
        <v>2024-04-09</v>
      </c>
      <c r="G153" t="str">
        <f t="shared" si="9"/>
        <v>2024-04-09</v>
      </c>
      <c r="H153">
        <f t="shared" si="10"/>
        <v>0</v>
      </c>
      <c r="J153" t="str">
        <f>K153&amp;L153</f>
        <v>Новикова Ольга ПетровнаИванов Георгий Павлович</v>
      </c>
      <c r="K153" t="s">
        <v>29</v>
      </c>
      <c r="L153" t="s">
        <v>149</v>
      </c>
      <c r="M153" t="s">
        <v>166</v>
      </c>
      <c r="N153" t="str">
        <f t="shared" si="11"/>
        <v>Новикова Ольга ПетровнаПетрова Ольга Сергеевна</v>
      </c>
      <c r="O153" t="s">
        <v>29</v>
      </c>
      <c r="P153" t="s">
        <v>119</v>
      </c>
      <c r="Q153" t="s">
        <v>412</v>
      </c>
    </row>
    <row r="154" spans="4:17" x14ac:dyDescent="0.25">
      <c r="D154" t="s">
        <v>55</v>
      </c>
      <c r="E154" t="s">
        <v>114</v>
      </c>
      <c r="F154" t="str">
        <f t="shared" si="8"/>
        <v>2023-10-02</v>
      </c>
      <c r="G154" t="str">
        <f t="shared" si="9"/>
        <v>2023-10-02</v>
      </c>
      <c r="H154">
        <f t="shared" si="10"/>
        <v>0</v>
      </c>
      <c r="J154" t="str">
        <f>K154&amp;L154</f>
        <v>Новикова Ольга ПетровнаКузнецов Кирилл Павлович</v>
      </c>
      <c r="K154" t="s">
        <v>29</v>
      </c>
      <c r="L154" t="s">
        <v>167</v>
      </c>
      <c r="M154" t="s">
        <v>166</v>
      </c>
      <c r="N154" t="str">
        <f t="shared" si="11"/>
        <v>Белов Алексей КонстантиновичЕгоров Илья Андреевич</v>
      </c>
      <c r="O154" t="s">
        <v>5</v>
      </c>
      <c r="P154" t="s">
        <v>221</v>
      </c>
      <c r="Q154" t="s">
        <v>412</v>
      </c>
    </row>
    <row r="155" spans="4:17" x14ac:dyDescent="0.25">
      <c r="D155" t="s">
        <v>55</v>
      </c>
      <c r="E155" t="s">
        <v>63</v>
      </c>
      <c r="F155" t="str">
        <f t="shared" si="8"/>
        <v>2024-04-22</v>
      </c>
      <c r="G155" t="str">
        <f t="shared" si="9"/>
        <v>2024-04-22</v>
      </c>
      <c r="H155">
        <f t="shared" si="10"/>
        <v>0</v>
      </c>
      <c r="J155" t="str">
        <f>K155&amp;L155</f>
        <v>Ткаченко Андрей ОлеговичКузнецов Егор Андреевич</v>
      </c>
      <c r="K155" t="s">
        <v>26</v>
      </c>
      <c r="L155" t="s">
        <v>30</v>
      </c>
      <c r="M155" t="s">
        <v>166</v>
      </c>
      <c r="N155" t="str">
        <f t="shared" si="11"/>
        <v>Фролов Сергей ВикторовичВолкова Анна Станиславовна</v>
      </c>
      <c r="O155" t="s">
        <v>38</v>
      </c>
      <c r="P155" t="s">
        <v>54</v>
      </c>
      <c r="Q155" t="s">
        <v>412</v>
      </c>
    </row>
    <row r="156" spans="4:17" x14ac:dyDescent="0.25">
      <c r="D156" t="s">
        <v>55</v>
      </c>
      <c r="E156" t="s">
        <v>67</v>
      </c>
      <c r="F156" t="str">
        <f t="shared" si="8"/>
        <v>2024-04-29</v>
      </c>
      <c r="G156" t="str">
        <f t="shared" si="9"/>
        <v>2024-04-29</v>
      </c>
      <c r="H156">
        <f t="shared" si="10"/>
        <v>0</v>
      </c>
      <c r="J156" t="str">
        <f>K156&amp;L156</f>
        <v>Новикова Ольга ПетровнаКузнецова Мария Сергеевна</v>
      </c>
      <c r="K156" t="s">
        <v>29</v>
      </c>
      <c r="L156" t="s">
        <v>168</v>
      </c>
      <c r="M156" t="s">
        <v>166</v>
      </c>
      <c r="N156" t="str">
        <f t="shared" si="11"/>
        <v>Семенова Ирина ВалерьевнаСидорова София Александровна</v>
      </c>
      <c r="O156" t="s">
        <v>16</v>
      </c>
      <c r="P156" t="s">
        <v>118</v>
      </c>
      <c r="Q156" t="s">
        <v>412</v>
      </c>
    </row>
    <row r="157" spans="4:17" x14ac:dyDescent="0.25">
      <c r="D157" t="s">
        <v>55</v>
      </c>
      <c r="E157" t="s">
        <v>211</v>
      </c>
      <c r="F157" t="str">
        <f t="shared" si="8"/>
        <v>2024-03-28</v>
      </c>
      <c r="G157" t="str">
        <f t="shared" si="9"/>
        <v>2024-03-28</v>
      </c>
      <c r="H157">
        <f t="shared" si="10"/>
        <v>0</v>
      </c>
      <c r="J157" t="str">
        <f>K157&amp;L157</f>
        <v>Семенова Ирина ВалерьевнаСмирнова Екатерина Геннадьевна</v>
      </c>
      <c r="K157" t="s">
        <v>16</v>
      </c>
      <c r="L157" t="s">
        <v>169</v>
      </c>
      <c r="M157" t="s">
        <v>170</v>
      </c>
      <c r="N157" t="str">
        <f t="shared" si="11"/>
        <v>Семенова Ирина ВалерьевнаПетров Дмитрий Сергеевич</v>
      </c>
      <c r="O157" t="s">
        <v>16</v>
      </c>
      <c r="P157" t="s">
        <v>84</v>
      </c>
      <c r="Q157" t="s">
        <v>412</v>
      </c>
    </row>
    <row r="158" spans="4:17" x14ac:dyDescent="0.25">
      <c r="D158" t="s">
        <v>55</v>
      </c>
      <c r="E158" t="s">
        <v>76</v>
      </c>
      <c r="F158" t="str">
        <f t="shared" si="8"/>
        <v>2024-08-12</v>
      </c>
      <c r="G158" t="str">
        <f t="shared" si="9"/>
        <v>2024-08-12</v>
      </c>
      <c r="H158">
        <f t="shared" si="10"/>
        <v>0</v>
      </c>
      <c r="J158" t="str">
        <f>K158&amp;L158</f>
        <v>Сидорова Елена ВасильевнаКозлов Илья Геннадьевич</v>
      </c>
      <c r="K158" t="s">
        <v>8</v>
      </c>
      <c r="L158" t="s">
        <v>153</v>
      </c>
      <c r="M158" t="s">
        <v>170</v>
      </c>
      <c r="N158" t="str">
        <f t="shared" si="11"/>
        <v>Яковлев Артем ИгоревичСтепанова Людмила Ивановна</v>
      </c>
      <c r="O158" t="s">
        <v>21</v>
      </c>
      <c r="P158" t="s">
        <v>24</v>
      </c>
      <c r="Q158" t="s">
        <v>412</v>
      </c>
    </row>
    <row r="159" spans="4:17" x14ac:dyDescent="0.25">
      <c r="D159" t="s">
        <v>55</v>
      </c>
      <c r="E159" t="s">
        <v>33</v>
      </c>
      <c r="F159" t="str">
        <f t="shared" si="8"/>
        <v>2024-01-03</v>
      </c>
      <c r="G159" t="str">
        <f t="shared" si="9"/>
        <v>2024-05-20</v>
      </c>
      <c r="H159">
        <f t="shared" si="10"/>
        <v>138</v>
      </c>
      <c r="J159" t="str">
        <f>K159&amp;L159</f>
        <v>Новикова Ольга ПетровнаПопов Иван Егорович</v>
      </c>
      <c r="K159" t="s">
        <v>29</v>
      </c>
      <c r="L159" t="s">
        <v>82</v>
      </c>
      <c r="M159" t="s">
        <v>170</v>
      </c>
      <c r="N159" t="str">
        <f t="shared" si="11"/>
        <v>Петров Владимир КирилловичПопов Георгий Ильич</v>
      </c>
      <c r="O159" t="s">
        <v>19</v>
      </c>
      <c r="P159" t="s">
        <v>148</v>
      </c>
      <c r="Q159" t="s">
        <v>412</v>
      </c>
    </row>
    <row r="160" spans="4:17" x14ac:dyDescent="0.25">
      <c r="D160" t="s">
        <v>55</v>
      </c>
      <c r="E160" t="s">
        <v>283</v>
      </c>
      <c r="F160" t="str">
        <f t="shared" si="8"/>
        <v>2024-01-29</v>
      </c>
      <c r="G160" t="str">
        <f t="shared" si="9"/>
        <v>2024-01-29</v>
      </c>
      <c r="H160">
        <f t="shared" si="10"/>
        <v>0</v>
      </c>
      <c r="J160" t="str">
        <f>K160&amp;L160</f>
        <v>Семенова Ирина ВалерьевнаАлексеев Никита Алексеевич</v>
      </c>
      <c r="K160" t="s">
        <v>16</v>
      </c>
      <c r="L160" t="s">
        <v>171</v>
      </c>
      <c r="M160" t="s">
        <v>170</v>
      </c>
      <c r="N160" t="str">
        <f t="shared" si="11"/>
        <v>Петров Владимир КирилловичСтепанова Анна Романовна</v>
      </c>
      <c r="O160" t="s">
        <v>19</v>
      </c>
      <c r="P160" t="s">
        <v>234</v>
      </c>
      <c r="Q160" t="s">
        <v>412</v>
      </c>
    </row>
    <row r="161" spans="4:17" x14ac:dyDescent="0.25">
      <c r="D161" t="s">
        <v>55</v>
      </c>
      <c r="E161" t="s">
        <v>100</v>
      </c>
      <c r="F161" t="str">
        <f t="shared" si="8"/>
        <v>2023-09-27</v>
      </c>
      <c r="G161" t="str">
        <f t="shared" si="9"/>
        <v>2024-01-08</v>
      </c>
      <c r="H161">
        <f t="shared" si="10"/>
        <v>103</v>
      </c>
      <c r="J161" t="str">
        <f>K161&amp;L161</f>
        <v>Белов Алексей КонстантиновичСмирнова Екатерина Ивановна</v>
      </c>
      <c r="K161" t="s">
        <v>5</v>
      </c>
      <c r="L161" t="s">
        <v>28</v>
      </c>
      <c r="M161" t="s">
        <v>170</v>
      </c>
      <c r="N161" t="str">
        <f t="shared" si="11"/>
        <v>Семенова Ирина ВалерьевнаОрлов Андрей Никитич</v>
      </c>
      <c r="O161" t="s">
        <v>16</v>
      </c>
      <c r="P161" t="s">
        <v>111</v>
      </c>
      <c r="Q161" t="s">
        <v>409</v>
      </c>
    </row>
    <row r="162" spans="4:17" x14ac:dyDescent="0.25">
      <c r="D162" t="s">
        <v>55</v>
      </c>
      <c r="E162" t="s">
        <v>105</v>
      </c>
      <c r="F162" t="str">
        <f t="shared" si="8"/>
        <v>2024-07-02</v>
      </c>
      <c r="G162" t="str">
        <f t="shared" si="9"/>
        <v>2024-07-02</v>
      </c>
      <c r="H162">
        <f t="shared" si="10"/>
        <v>0</v>
      </c>
      <c r="J162" t="str">
        <f>K162&amp;L162</f>
        <v>Сидорова Елена ВасильевнаВасильев Андрей Дмитриевич</v>
      </c>
      <c r="K162" t="s">
        <v>8</v>
      </c>
      <c r="L162" t="s">
        <v>172</v>
      </c>
      <c r="M162" t="s">
        <v>170</v>
      </c>
      <c r="N162" t="str">
        <f t="shared" si="11"/>
        <v>Новикова Ольга ПетровнаКузнецов Иван Ильич</v>
      </c>
      <c r="O162" t="s">
        <v>29</v>
      </c>
      <c r="P162" t="s">
        <v>410</v>
      </c>
      <c r="Q162" t="s">
        <v>409</v>
      </c>
    </row>
    <row r="163" spans="4:17" x14ac:dyDescent="0.25">
      <c r="D163" t="s">
        <v>55</v>
      </c>
      <c r="E163" t="s">
        <v>319</v>
      </c>
      <c r="F163" t="str">
        <f t="shared" si="8"/>
        <v>2024-08-05</v>
      </c>
      <c r="G163" t="str">
        <f t="shared" si="9"/>
        <v>2024-08-05</v>
      </c>
      <c r="H163">
        <f t="shared" si="10"/>
        <v>0</v>
      </c>
      <c r="J163" t="str">
        <f>K163&amp;L163</f>
        <v>Ткаченко Андрей ОлеговичНиколаев Андрей Ильич</v>
      </c>
      <c r="K163" t="s">
        <v>26</v>
      </c>
      <c r="L163" t="s">
        <v>63</v>
      </c>
      <c r="M163" t="s">
        <v>170</v>
      </c>
      <c r="N163" t="str">
        <f t="shared" si="11"/>
        <v>Фролов Сергей ВикторовичНиколаев Никита Викторович</v>
      </c>
      <c r="O163" t="s">
        <v>38</v>
      </c>
      <c r="P163" t="s">
        <v>253</v>
      </c>
      <c r="Q163" t="s">
        <v>409</v>
      </c>
    </row>
    <row r="164" spans="4:17" x14ac:dyDescent="0.25">
      <c r="D164" t="s">
        <v>55</v>
      </c>
      <c r="E164" t="s">
        <v>102</v>
      </c>
      <c r="F164" t="str">
        <f t="shared" si="8"/>
        <v>2023-12-13</v>
      </c>
      <c r="G164" t="str">
        <f t="shared" si="9"/>
        <v>2024-05-13</v>
      </c>
      <c r="H164">
        <f t="shared" si="10"/>
        <v>152</v>
      </c>
      <c r="J164" t="str">
        <f>K164&amp;L164</f>
        <v>Иванова Анна СергеевнаСидоров Егор Павлович</v>
      </c>
      <c r="K164" t="s">
        <v>55</v>
      </c>
      <c r="L164" t="s">
        <v>173</v>
      </c>
      <c r="M164" t="s">
        <v>170</v>
      </c>
      <c r="N164" t="str">
        <f t="shared" si="11"/>
        <v>Громова Мария ИльиничнаЛебедева Юлия Алексеевна</v>
      </c>
      <c r="O164" t="s">
        <v>43</v>
      </c>
      <c r="P164" t="s">
        <v>411</v>
      </c>
      <c r="Q164" t="s">
        <v>409</v>
      </c>
    </row>
    <row r="165" spans="4:17" x14ac:dyDescent="0.25">
      <c r="D165" t="s">
        <v>55</v>
      </c>
      <c r="E165" t="s">
        <v>15</v>
      </c>
      <c r="F165" t="str">
        <f t="shared" si="8"/>
        <v>2024-06-10</v>
      </c>
      <c r="G165" t="str">
        <f t="shared" si="9"/>
        <v>2024-06-10</v>
      </c>
      <c r="H165">
        <f t="shared" si="10"/>
        <v>0</v>
      </c>
      <c r="J165" t="str">
        <f>K165&amp;L165</f>
        <v>Белов Алексей КонстантиновичПопов Сергей Артемович</v>
      </c>
      <c r="K165" t="s">
        <v>5</v>
      </c>
      <c r="L165" t="s">
        <v>174</v>
      </c>
      <c r="M165" t="s">
        <v>170</v>
      </c>
      <c r="N165" t="str">
        <f t="shared" si="11"/>
        <v>Яковлев Артем ИгоревичПавлова София Геннадьевна</v>
      </c>
      <c r="O165" t="s">
        <v>21</v>
      </c>
      <c r="P165" t="s">
        <v>126</v>
      </c>
      <c r="Q165" t="s">
        <v>409</v>
      </c>
    </row>
    <row r="166" spans="4:17" x14ac:dyDescent="0.25">
      <c r="D166" t="s">
        <v>55</v>
      </c>
      <c r="E166" t="s">
        <v>206</v>
      </c>
      <c r="F166" t="str">
        <f t="shared" si="8"/>
        <v>2023-11-20</v>
      </c>
      <c r="G166" t="str">
        <f t="shared" si="9"/>
        <v>2023-11-20</v>
      </c>
      <c r="H166">
        <f t="shared" si="10"/>
        <v>0</v>
      </c>
      <c r="J166" t="str">
        <f>K166&amp;L166</f>
        <v>Петров Владимир КирилловичПетрова Виктория Юрьевна</v>
      </c>
      <c r="K166" t="s">
        <v>19</v>
      </c>
      <c r="L166" t="s">
        <v>71</v>
      </c>
      <c r="M166" t="s">
        <v>170</v>
      </c>
      <c r="N166" t="str">
        <f t="shared" si="11"/>
        <v>Новикова Ольга ПетровнаКозлова Екатерина Викторовна</v>
      </c>
      <c r="O166" t="s">
        <v>29</v>
      </c>
      <c r="P166" t="s">
        <v>202</v>
      </c>
      <c r="Q166" t="s">
        <v>409</v>
      </c>
    </row>
    <row r="167" spans="4:17" x14ac:dyDescent="0.25">
      <c r="D167" t="s">
        <v>55</v>
      </c>
      <c r="E167" t="s">
        <v>184</v>
      </c>
      <c r="F167" t="str">
        <f t="shared" si="8"/>
        <v>2023-11-03</v>
      </c>
      <c r="G167" t="str">
        <f t="shared" si="9"/>
        <v>2024-02-26</v>
      </c>
      <c r="H167">
        <f t="shared" si="10"/>
        <v>115</v>
      </c>
      <c r="J167" t="str">
        <f>K167&amp;L167</f>
        <v>Белов Алексей КонстантиновичПопова Светлана Геннадьевна</v>
      </c>
      <c r="K167" t="s">
        <v>5</v>
      </c>
      <c r="L167" t="s">
        <v>18</v>
      </c>
      <c r="M167" t="s">
        <v>170</v>
      </c>
      <c r="N167" t="str">
        <f t="shared" si="11"/>
        <v>Орлов Павел ДенисовичКузнецова Ирина Павловна</v>
      </c>
      <c r="O167" t="s">
        <v>13</v>
      </c>
      <c r="P167" t="s">
        <v>116</v>
      </c>
      <c r="Q167" t="s">
        <v>409</v>
      </c>
    </row>
    <row r="168" spans="4:17" x14ac:dyDescent="0.25">
      <c r="D168" t="s">
        <v>55</v>
      </c>
      <c r="E168" t="s">
        <v>119</v>
      </c>
      <c r="F168" t="str">
        <f t="shared" si="8"/>
        <v>2024-02-21</v>
      </c>
      <c r="G168" t="str">
        <f t="shared" si="9"/>
        <v>2024-02-21</v>
      </c>
      <c r="H168">
        <f t="shared" si="10"/>
        <v>0</v>
      </c>
      <c r="J168" t="str">
        <f>K168&amp;L168</f>
        <v>Иванова Анна СергеевнаПопов Роман Владимирович</v>
      </c>
      <c r="K168" t="s">
        <v>55</v>
      </c>
      <c r="L168" t="s">
        <v>88</v>
      </c>
      <c r="M168" t="s">
        <v>175</v>
      </c>
      <c r="N168" t="str">
        <f t="shared" si="11"/>
        <v>Новикова Ольга ПетровнаСмирнова Мария Артемовна</v>
      </c>
      <c r="O168" t="s">
        <v>29</v>
      </c>
      <c r="P168" t="s">
        <v>44</v>
      </c>
      <c r="Q168" t="s">
        <v>409</v>
      </c>
    </row>
    <row r="169" spans="4:17" x14ac:dyDescent="0.25">
      <c r="D169" t="s">
        <v>55</v>
      </c>
      <c r="E169" t="s">
        <v>88</v>
      </c>
      <c r="F169" t="str">
        <f t="shared" si="8"/>
        <v>2023-10-31</v>
      </c>
      <c r="G169" t="str">
        <f t="shared" si="9"/>
        <v>2023-10-31</v>
      </c>
      <c r="H169">
        <f t="shared" si="10"/>
        <v>0</v>
      </c>
      <c r="J169" t="str">
        <f>K169&amp;L169</f>
        <v>Иванова Анна СергеевнаЛебедева Светлана Андреевна</v>
      </c>
      <c r="K169" t="s">
        <v>55</v>
      </c>
      <c r="L169" t="s">
        <v>176</v>
      </c>
      <c r="M169" t="s">
        <v>175</v>
      </c>
      <c r="N169" t="str">
        <f t="shared" si="11"/>
        <v>Яковлев Артем ИгоревичПавлов Сергей Олегович</v>
      </c>
      <c r="O169" t="s">
        <v>21</v>
      </c>
      <c r="P169" t="s">
        <v>209</v>
      </c>
      <c r="Q169" t="s">
        <v>409</v>
      </c>
    </row>
    <row r="170" spans="4:17" x14ac:dyDescent="0.25">
      <c r="D170" t="s">
        <v>55</v>
      </c>
      <c r="E170" t="s">
        <v>174</v>
      </c>
      <c r="F170" t="str">
        <f t="shared" si="8"/>
        <v>2023-12-18</v>
      </c>
      <c r="G170" t="str">
        <f t="shared" si="9"/>
        <v>2023-12-18</v>
      </c>
      <c r="H170">
        <f t="shared" si="10"/>
        <v>0</v>
      </c>
      <c r="J170" t="str">
        <f>K170&amp;L170</f>
        <v>Семенова Ирина ВалерьевнаЛебедева Валерия Геннадьевна</v>
      </c>
      <c r="K170" t="s">
        <v>16</v>
      </c>
      <c r="L170" t="s">
        <v>177</v>
      </c>
      <c r="M170" t="s">
        <v>175</v>
      </c>
      <c r="N170" t="str">
        <f t="shared" si="11"/>
        <v>Фролов Сергей ВикторовичАлексеева Валерия Викторовна</v>
      </c>
      <c r="O170" t="s">
        <v>38</v>
      </c>
      <c r="P170" t="s">
        <v>96</v>
      </c>
      <c r="Q170" t="s">
        <v>408</v>
      </c>
    </row>
    <row r="171" spans="4:17" x14ac:dyDescent="0.25">
      <c r="D171" t="s">
        <v>55</v>
      </c>
      <c r="E171" t="s">
        <v>178</v>
      </c>
      <c r="F171" t="str">
        <f t="shared" si="8"/>
        <v>2024-05-29</v>
      </c>
      <c r="G171" t="str">
        <f t="shared" si="9"/>
        <v>2024-08-29</v>
      </c>
      <c r="H171">
        <f t="shared" si="10"/>
        <v>92</v>
      </c>
      <c r="J171" t="str">
        <f>K171&amp;L171</f>
        <v>Сидорова Елена ВасильевнаСмирнова Елена Олеговна</v>
      </c>
      <c r="K171" t="s">
        <v>8</v>
      </c>
      <c r="L171" t="s">
        <v>22</v>
      </c>
      <c r="M171" t="s">
        <v>175</v>
      </c>
      <c r="N171" t="str">
        <f t="shared" si="11"/>
        <v>Орлов Павел ДенисовичСтепанова Анна Романовна</v>
      </c>
      <c r="O171" t="s">
        <v>13</v>
      </c>
      <c r="P171" t="s">
        <v>234</v>
      </c>
      <c r="Q171" t="s">
        <v>408</v>
      </c>
    </row>
    <row r="172" spans="4:17" x14ac:dyDescent="0.25">
      <c r="D172" t="s">
        <v>55</v>
      </c>
      <c r="E172" t="s">
        <v>160</v>
      </c>
      <c r="F172" t="str">
        <f t="shared" si="8"/>
        <v>2024-06-27</v>
      </c>
      <c r="G172" t="str">
        <f t="shared" si="9"/>
        <v>2024-06-27</v>
      </c>
      <c r="H172">
        <f t="shared" si="10"/>
        <v>0</v>
      </c>
      <c r="J172" t="str">
        <f>K172&amp;L172</f>
        <v>Яковлев Артем ИгоревичПопова Наталья Станиславовна</v>
      </c>
      <c r="K172" t="s">
        <v>21</v>
      </c>
      <c r="L172" t="s">
        <v>178</v>
      </c>
      <c r="M172" t="s">
        <v>179</v>
      </c>
      <c r="N172" t="str">
        <f t="shared" si="11"/>
        <v>Семенова Ирина ВалерьевнаВасильев Илья Алексеевич</v>
      </c>
      <c r="O172" t="s">
        <v>16</v>
      </c>
      <c r="P172" t="s">
        <v>232</v>
      </c>
      <c r="Q172" t="s">
        <v>407</v>
      </c>
    </row>
    <row r="173" spans="4:17" x14ac:dyDescent="0.25">
      <c r="D173" t="s">
        <v>55</v>
      </c>
      <c r="E173" t="s">
        <v>248</v>
      </c>
      <c r="F173" t="str">
        <f t="shared" si="8"/>
        <v>2024-01-01</v>
      </c>
      <c r="G173" t="str">
        <f t="shared" si="9"/>
        <v>2024-01-01</v>
      </c>
      <c r="H173">
        <f t="shared" si="10"/>
        <v>0</v>
      </c>
      <c r="J173" t="str">
        <f>K173&amp;L173</f>
        <v>Иванова Анна СергеевнаЛебедев Матвей Павлович</v>
      </c>
      <c r="K173" t="s">
        <v>55</v>
      </c>
      <c r="L173" t="s">
        <v>115</v>
      </c>
      <c r="M173" t="s">
        <v>179</v>
      </c>
      <c r="N173" t="str">
        <f t="shared" si="11"/>
        <v>Семенова Ирина ВалерьевнаПопов Роман Владимирович</v>
      </c>
      <c r="O173" t="s">
        <v>16</v>
      </c>
      <c r="P173" t="s">
        <v>88</v>
      </c>
      <c r="Q173" t="s">
        <v>407</v>
      </c>
    </row>
    <row r="174" spans="4:17" x14ac:dyDescent="0.25">
      <c r="D174" t="s">
        <v>55</v>
      </c>
      <c r="E174" t="s">
        <v>73</v>
      </c>
      <c r="F174" t="str">
        <f t="shared" si="8"/>
        <v>2024-02-05</v>
      </c>
      <c r="G174" t="str">
        <f t="shared" si="9"/>
        <v>2024-02-05</v>
      </c>
      <c r="H174">
        <f t="shared" si="10"/>
        <v>0</v>
      </c>
      <c r="J174" t="str">
        <f>K174&amp;L174</f>
        <v>Сидорова Елена ВасильевнаПопов Георгий Егорович</v>
      </c>
      <c r="K174" t="s">
        <v>8</v>
      </c>
      <c r="L174" t="s">
        <v>61</v>
      </c>
      <c r="M174" t="s">
        <v>179</v>
      </c>
      <c r="N174" t="str">
        <f t="shared" si="11"/>
        <v>Громова Мария ИльиничнаСидорова София Александровна</v>
      </c>
      <c r="O174" t="s">
        <v>43</v>
      </c>
      <c r="P174" t="s">
        <v>118</v>
      </c>
      <c r="Q174" t="s">
        <v>407</v>
      </c>
    </row>
    <row r="175" spans="4:17" x14ac:dyDescent="0.25">
      <c r="D175" t="s">
        <v>55</v>
      </c>
      <c r="E175" t="s">
        <v>94</v>
      </c>
      <c r="F175" t="str">
        <f t="shared" si="8"/>
        <v>2023-11-27</v>
      </c>
      <c r="G175" t="str">
        <f t="shared" si="9"/>
        <v>2023-11-27</v>
      </c>
      <c r="H175">
        <f t="shared" si="10"/>
        <v>0</v>
      </c>
      <c r="J175" t="str">
        <f>K175&amp;L175</f>
        <v>Громова Мария ИльиничнаСмирнова Мария Артемовна</v>
      </c>
      <c r="K175" t="s">
        <v>43</v>
      </c>
      <c r="L175" t="s">
        <v>44</v>
      </c>
      <c r="M175" t="s">
        <v>180</v>
      </c>
      <c r="N175" t="str">
        <f t="shared" si="11"/>
        <v>Белов Алексей КонстантиновичПетрова Алиса Егоровна</v>
      </c>
      <c r="O175" t="s">
        <v>5</v>
      </c>
      <c r="P175" t="s">
        <v>109</v>
      </c>
      <c r="Q175" t="s">
        <v>407</v>
      </c>
    </row>
    <row r="176" spans="4:17" x14ac:dyDescent="0.25">
      <c r="D176" t="s">
        <v>55</v>
      </c>
      <c r="E176" t="s">
        <v>173</v>
      </c>
      <c r="F176" t="str">
        <f t="shared" si="8"/>
        <v>2023-10-30</v>
      </c>
      <c r="G176" t="str">
        <f t="shared" si="9"/>
        <v>2023-12-25</v>
      </c>
      <c r="H176">
        <f t="shared" si="10"/>
        <v>56</v>
      </c>
      <c r="J176" t="str">
        <f>K176&amp;L176</f>
        <v>Громова Мария ИльиничнаПавлова Наталья Павловна</v>
      </c>
      <c r="K176" t="s">
        <v>43</v>
      </c>
      <c r="L176" t="s">
        <v>144</v>
      </c>
      <c r="M176" t="s">
        <v>180</v>
      </c>
      <c r="N176" t="str">
        <f t="shared" si="11"/>
        <v>Иванова Анна СергеевнаПавлов Алексей Юрьевич</v>
      </c>
      <c r="O176" t="s">
        <v>55</v>
      </c>
      <c r="P176" t="s">
        <v>105</v>
      </c>
      <c r="Q176" t="s">
        <v>406</v>
      </c>
    </row>
    <row r="177" spans="4:17" x14ac:dyDescent="0.25">
      <c r="D177" t="s">
        <v>55</v>
      </c>
      <c r="E177" t="s">
        <v>59</v>
      </c>
      <c r="F177" t="str">
        <f t="shared" si="8"/>
        <v>2023-10-17</v>
      </c>
      <c r="G177" t="str">
        <f t="shared" si="9"/>
        <v>2024-08-05</v>
      </c>
      <c r="H177">
        <f t="shared" si="10"/>
        <v>293</v>
      </c>
      <c r="J177" t="str">
        <f>K177&amp;L177</f>
        <v>Новикова Ольга ПетровнаЕгоров Андрей Егорович</v>
      </c>
      <c r="K177" t="s">
        <v>29</v>
      </c>
      <c r="L177" t="s">
        <v>181</v>
      </c>
      <c r="M177" t="s">
        <v>180</v>
      </c>
      <c r="N177" t="str">
        <f t="shared" si="11"/>
        <v>Петров Владимир КирилловичАлексеев Егор Юрьевич</v>
      </c>
      <c r="O177" t="s">
        <v>19</v>
      </c>
      <c r="P177" t="s">
        <v>193</v>
      </c>
      <c r="Q177" t="s">
        <v>404</v>
      </c>
    </row>
    <row r="178" spans="4:17" x14ac:dyDescent="0.25">
      <c r="D178" t="s">
        <v>55</v>
      </c>
      <c r="E178" t="s">
        <v>258</v>
      </c>
      <c r="F178" t="str">
        <f t="shared" si="8"/>
        <v>2024-07-22</v>
      </c>
      <c r="G178" t="str">
        <f t="shared" si="9"/>
        <v>2024-07-22</v>
      </c>
      <c r="H178">
        <f t="shared" si="10"/>
        <v>0</v>
      </c>
      <c r="J178" t="str">
        <f>K178&amp;L178</f>
        <v>Громова Мария ИльиничнаЛебедева Валерия Геннадьевна</v>
      </c>
      <c r="K178" t="s">
        <v>43</v>
      </c>
      <c r="L178" t="s">
        <v>177</v>
      </c>
      <c r="M178" t="s">
        <v>182</v>
      </c>
      <c r="N178" t="str">
        <f t="shared" si="11"/>
        <v>Семенова Ирина ВалерьевнаАлексеев Егор Юрьевич</v>
      </c>
      <c r="O178" t="s">
        <v>16</v>
      </c>
      <c r="P178" t="s">
        <v>193</v>
      </c>
      <c r="Q178" t="s">
        <v>404</v>
      </c>
    </row>
    <row r="179" spans="4:17" x14ac:dyDescent="0.25">
      <c r="D179" t="s">
        <v>55</v>
      </c>
      <c r="E179" t="s">
        <v>125</v>
      </c>
      <c r="F179" t="str">
        <f t="shared" si="8"/>
        <v>2024-02-05</v>
      </c>
      <c r="G179" t="str">
        <f t="shared" si="9"/>
        <v>2024-06-10</v>
      </c>
      <c r="H179">
        <f t="shared" si="10"/>
        <v>126</v>
      </c>
      <c r="J179" t="str">
        <f>K179&amp;L179</f>
        <v>Белов Алексей КонстантиновичВолков Владимир Артемович</v>
      </c>
      <c r="K179" t="s">
        <v>5</v>
      </c>
      <c r="L179" t="s">
        <v>9</v>
      </c>
      <c r="M179" t="s">
        <v>182</v>
      </c>
      <c r="N179" t="str">
        <f t="shared" si="11"/>
        <v>Кузнецов Дмитрий ЛьвовичНиколаева Мария Никитична</v>
      </c>
      <c r="O179" t="s">
        <v>11</v>
      </c>
      <c r="P179" t="s">
        <v>211</v>
      </c>
      <c r="Q179" t="s">
        <v>404</v>
      </c>
    </row>
    <row r="180" spans="4:17" x14ac:dyDescent="0.25">
      <c r="D180" t="s">
        <v>55</v>
      </c>
      <c r="E180" t="s">
        <v>12</v>
      </c>
      <c r="F180" t="str">
        <f t="shared" si="8"/>
        <v>2024-05-31</v>
      </c>
      <c r="G180" t="str">
        <f t="shared" si="9"/>
        <v>2024-05-31</v>
      </c>
      <c r="H180">
        <f t="shared" si="10"/>
        <v>0</v>
      </c>
      <c r="J180" t="str">
        <f>K180&amp;L180</f>
        <v>Белов Алексей КонстантиновичНовикова Ольга Викторовна</v>
      </c>
      <c r="K180" t="s">
        <v>5</v>
      </c>
      <c r="L180" t="s">
        <v>47</v>
      </c>
      <c r="M180" t="s">
        <v>182</v>
      </c>
      <c r="N180" t="str">
        <f t="shared" si="11"/>
        <v>Громова Мария ИльиничнаКузнецов Егор Андреевич</v>
      </c>
      <c r="O180" t="s">
        <v>43</v>
      </c>
      <c r="P180" t="s">
        <v>30</v>
      </c>
      <c r="Q180" t="s">
        <v>404</v>
      </c>
    </row>
    <row r="181" spans="4:17" x14ac:dyDescent="0.25">
      <c r="D181" t="s">
        <v>55</v>
      </c>
      <c r="E181" t="s">
        <v>169</v>
      </c>
      <c r="F181" t="str">
        <f t="shared" si="8"/>
        <v>2024-08-26</v>
      </c>
      <c r="G181" t="str">
        <f t="shared" si="9"/>
        <v>2024-08-26</v>
      </c>
      <c r="H181">
        <f t="shared" si="10"/>
        <v>0</v>
      </c>
      <c r="J181" t="str">
        <f>K181&amp;L181</f>
        <v>Белов Алексей КонстантиновичСеменова Полина Сергеевна</v>
      </c>
      <c r="K181" t="s">
        <v>5</v>
      </c>
      <c r="L181" t="s">
        <v>183</v>
      </c>
      <c r="M181" t="s">
        <v>182</v>
      </c>
      <c r="N181" t="str">
        <f t="shared" si="11"/>
        <v>Орлов Павел ДенисовичПавлова Юлия Андреевна</v>
      </c>
      <c r="O181" t="s">
        <v>13</v>
      </c>
      <c r="P181" t="s">
        <v>405</v>
      </c>
      <c r="Q181" t="s">
        <v>404</v>
      </c>
    </row>
    <row r="182" spans="4:17" x14ac:dyDescent="0.25">
      <c r="D182" t="s">
        <v>55</v>
      </c>
      <c r="E182" t="s">
        <v>22</v>
      </c>
      <c r="F182" t="str">
        <f t="shared" si="8"/>
        <v>2024-04-09</v>
      </c>
      <c r="G182" t="str">
        <f t="shared" si="9"/>
        <v>2024-06-18</v>
      </c>
      <c r="H182">
        <f t="shared" si="10"/>
        <v>70</v>
      </c>
      <c r="J182" t="str">
        <f>K182&amp;L182</f>
        <v>Иванова Анна СергеевнаПетрова Ольга Геннадьевна</v>
      </c>
      <c r="K182" t="s">
        <v>55</v>
      </c>
      <c r="L182" t="s">
        <v>184</v>
      </c>
      <c r="M182" t="s">
        <v>182</v>
      </c>
      <c r="N182" t="str">
        <f t="shared" si="11"/>
        <v>Кузнецов Дмитрий ЛьвовичЛебедева Светлана Андреевна</v>
      </c>
      <c r="O182" t="s">
        <v>11</v>
      </c>
      <c r="P182" t="s">
        <v>176</v>
      </c>
      <c r="Q182" t="s">
        <v>404</v>
      </c>
    </row>
    <row r="183" spans="4:17" x14ac:dyDescent="0.25">
      <c r="D183" t="s">
        <v>55</v>
      </c>
      <c r="E183" t="s">
        <v>200</v>
      </c>
      <c r="F183" t="str">
        <f t="shared" si="8"/>
        <v>2024-05-01</v>
      </c>
      <c r="G183" t="str">
        <f t="shared" si="9"/>
        <v>2024-05-01</v>
      </c>
      <c r="H183">
        <f t="shared" si="10"/>
        <v>0</v>
      </c>
      <c r="J183" t="str">
        <f>K183&amp;L183</f>
        <v>Громова Мария ИльиничнаСмирнова Валерия Станиславовна</v>
      </c>
      <c r="K183" t="s">
        <v>43</v>
      </c>
      <c r="L183" t="s">
        <v>12</v>
      </c>
      <c r="M183" t="s">
        <v>185</v>
      </c>
      <c r="N183" t="str">
        <f t="shared" si="11"/>
        <v>Семенова Ирина ВалерьевнаМорозов Иван Геннадьевич</v>
      </c>
      <c r="O183" t="s">
        <v>16</v>
      </c>
      <c r="P183" t="s">
        <v>257</v>
      </c>
      <c r="Q183" t="s">
        <v>404</v>
      </c>
    </row>
    <row r="184" spans="4:17" x14ac:dyDescent="0.25">
      <c r="D184" t="s">
        <v>55</v>
      </c>
      <c r="E184" t="s">
        <v>46</v>
      </c>
      <c r="F184" t="str">
        <f t="shared" si="8"/>
        <v>2024-07-11</v>
      </c>
      <c r="G184" t="str">
        <f t="shared" si="9"/>
        <v>2024-07-11</v>
      </c>
      <c r="H184">
        <f t="shared" si="10"/>
        <v>0</v>
      </c>
      <c r="J184" t="str">
        <f>K184&amp;L184</f>
        <v>Сидорова Елена ВасильевнаЕгоров Иван Андреевич</v>
      </c>
      <c r="K184" t="s">
        <v>8</v>
      </c>
      <c r="L184" t="s">
        <v>186</v>
      </c>
      <c r="M184" t="s">
        <v>185</v>
      </c>
      <c r="N184" t="str">
        <f t="shared" si="11"/>
        <v>Громова Мария ИльиничнаЕгоров Никита Олегович</v>
      </c>
      <c r="O184" t="s">
        <v>43</v>
      </c>
      <c r="P184" t="s">
        <v>121</v>
      </c>
      <c r="Q184" t="s">
        <v>404</v>
      </c>
    </row>
    <row r="185" spans="4:17" x14ac:dyDescent="0.25">
      <c r="D185" t="s">
        <v>55</v>
      </c>
      <c r="E185" t="s">
        <v>135</v>
      </c>
      <c r="F185" t="str">
        <f t="shared" si="8"/>
        <v>2023-10-13</v>
      </c>
      <c r="G185" t="str">
        <f t="shared" si="9"/>
        <v>2023-10-13</v>
      </c>
      <c r="H185">
        <f t="shared" si="10"/>
        <v>0</v>
      </c>
      <c r="J185" t="str">
        <f>K185&amp;L185</f>
        <v>Семенова Ирина ВалерьевнаВолков Алексей Никитич</v>
      </c>
      <c r="K185" t="s">
        <v>16</v>
      </c>
      <c r="L185" t="s">
        <v>187</v>
      </c>
      <c r="M185" t="s">
        <v>185</v>
      </c>
      <c r="N185" t="str">
        <f t="shared" si="11"/>
        <v>Орлов Павел ДенисовичОрлова Вероника Андреевна</v>
      </c>
      <c r="O185" t="s">
        <v>13</v>
      </c>
      <c r="P185" t="s">
        <v>100</v>
      </c>
      <c r="Q185" t="s">
        <v>404</v>
      </c>
    </row>
    <row r="186" spans="4:17" x14ac:dyDescent="0.25">
      <c r="D186" t="s">
        <v>55</v>
      </c>
      <c r="E186" t="s">
        <v>79</v>
      </c>
      <c r="F186" t="str">
        <f t="shared" si="8"/>
        <v>2024-08-02</v>
      </c>
      <c r="G186" t="str">
        <f t="shared" si="9"/>
        <v>2024-08-02</v>
      </c>
      <c r="H186">
        <f t="shared" si="10"/>
        <v>0</v>
      </c>
      <c r="J186" t="str">
        <f>K186&amp;L186</f>
        <v>Белов Алексей КонстантиновичНовиков Павел Сергеевич</v>
      </c>
      <c r="K186" t="s">
        <v>5</v>
      </c>
      <c r="L186" t="s">
        <v>145</v>
      </c>
      <c r="M186" t="s">
        <v>185</v>
      </c>
      <c r="N186" t="str">
        <f t="shared" si="11"/>
        <v>Белов Алексей КонстантиновичЕгоров Никита Олегович</v>
      </c>
      <c r="O186" t="s">
        <v>5</v>
      </c>
      <c r="P186" t="s">
        <v>121</v>
      </c>
      <c r="Q186" t="s">
        <v>404</v>
      </c>
    </row>
    <row r="187" spans="4:17" x14ac:dyDescent="0.25">
      <c r="D187" t="s">
        <v>55</v>
      </c>
      <c r="E187" t="s">
        <v>217</v>
      </c>
      <c r="F187" t="str">
        <f t="shared" si="8"/>
        <v>2024-05-13</v>
      </c>
      <c r="G187" t="str">
        <f t="shared" si="9"/>
        <v>2024-07-24</v>
      </c>
      <c r="H187">
        <f t="shared" si="10"/>
        <v>72</v>
      </c>
      <c r="J187" t="str">
        <f>K187&amp;L187</f>
        <v>Петров Владимир КирилловичНовикова Екатерина Павловна</v>
      </c>
      <c r="K187" t="s">
        <v>19</v>
      </c>
      <c r="L187" t="s">
        <v>76</v>
      </c>
      <c r="M187" t="s">
        <v>185</v>
      </c>
      <c r="N187" t="str">
        <f t="shared" si="11"/>
        <v>Орлов Павел ДенисовичСеменов Матвей Михайлович</v>
      </c>
      <c r="O187" t="s">
        <v>13</v>
      </c>
      <c r="P187" t="s">
        <v>311</v>
      </c>
      <c r="Q187" t="s">
        <v>404</v>
      </c>
    </row>
    <row r="188" spans="4:17" x14ac:dyDescent="0.25">
      <c r="D188" t="s">
        <v>55</v>
      </c>
      <c r="E188" t="s">
        <v>25</v>
      </c>
      <c r="F188" t="str">
        <f t="shared" si="8"/>
        <v>2024-07-30</v>
      </c>
      <c r="G188" t="str">
        <f t="shared" si="9"/>
        <v>2024-07-30</v>
      </c>
      <c r="H188">
        <f t="shared" si="10"/>
        <v>0</v>
      </c>
      <c r="J188" t="str">
        <f>K188&amp;L188</f>
        <v>Фролов Сергей ВикторовичЕгорова Татьяна Ильинична</v>
      </c>
      <c r="K188" t="s">
        <v>38</v>
      </c>
      <c r="L188" t="s">
        <v>188</v>
      </c>
      <c r="M188" t="s">
        <v>185</v>
      </c>
      <c r="N188" t="str">
        <f t="shared" si="11"/>
        <v>Кузнецов Дмитрий ЛьвовичПопов Никита Андреевич</v>
      </c>
      <c r="O188" t="s">
        <v>11</v>
      </c>
      <c r="P188" t="s">
        <v>165</v>
      </c>
      <c r="Q188" t="s">
        <v>404</v>
      </c>
    </row>
    <row r="189" spans="4:17" x14ac:dyDescent="0.25">
      <c r="D189" t="s">
        <v>55</v>
      </c>
      <c r="E189" t="s">
        <v>104</v>
      </c>
      <c r="F189" t="str">
        <f t="shared" si="8"/>
        <v>2024-05-02</v>
      </c>
      <c r="G189" t="str">
        <f t="shared" si="9"/>
        <v>2024-05-02</v>
      </c>
      <c r="H189">
        <f t="shared" si="10"/>
        <v>0</v>
      </c>
      <c r="J189" t="str">
        <f>K189&amp;L189</f>
        <v>Новикова Ольга ПетровнаСеменов Никита Александрович</v>
      </c>
      <c r="K189" t="s">
        <v>29</v>
      </c>
      <c r="L189" t="s">
        <v>73</v>
      </c>
      <c r="M189" t="s">
        <v>185</v>
      </c>
      <c r="N189" t="str">
        <f t="shared" si="11"/>
        <v>Кузнецов Дмитрий ЛьвовичАлексеева Светлана Артемовна</v>
      </c>
      <c r="O189" t="s">
        <v>11</v>
      </c>
      <c r="P189" t="s">
        <v>98</v>
      </c>
      <c r="Q189" t="s">
        <v>404</v>
      </c>
    </row>
    <row r="190" spans="4:17" x14ac:dyDescent="0.25">
      <c r="D190" t="s">
        <v>11</v>
      </c>
      <c r="E190" t="s">
        <v>193</v>
      </c>
      <c r="F190" t="str">
        <f t="shared" si="8"/>
        <v>2023-12-28</v>
      </c>
      <c r="G190" t="str">
        <f t="shared" si="9"/>
        <v>2023-12-28</v>
      </c>
      <c r="H190">
        <f t="shared" si="10"/>
        <v>0</v>
      </c>
      <c r="J190" t="str">
        <f>K190&amp;L190</f>
        <v>Новикова Ольга ПетровнаСеменова Александра Егоровна</v>
      </c>
      <c r="K190" t="s">
        <v>29</v>
      </c>
      <c r="L190" t="s">
        <v>94</v>
      </c>
      <c r="M190" t="s">
        <v>185</v>
      </c>
      <c r="N190" t="str">
        <f t="shared" si="11"/>
        <v>Белов Алексей КонстантиновичПетров Константин Егорович</v>
      </c>
      <c r="O190" t="s">
        <v>5</v>
      </c>
      <c r="P190" t="s">
        <v>102</v>
      </c>
      <c r="Q190" t="s">
        <v>403</v>
      </c>
    </row>
    <row r="191" spans="4:17" x14ac:dyDescent="0.25">
      <c r="D191" t="s">
        <v>11</v>
      </c>
      <c r="E191" t="s">
        <v>85</v>
      </c>
      <c r="F191" t="str">
        <f t="shared" si="8"/>
        <v>2023-09-21</v>
      </c>
      <c r="G191" t="str">
        <f t="shared" si="9"/>
        <v>2023-09-21</v>
      </c>
      <c r="H191">
        <f t="shared" si="10"/>
        <v>0</v>
      </c>
      <c r="J191" t="str">
        <f>K191&amp;L191</f>
        <v>Петров Владимир КирилловичВолкова Екатерина Егоровна</v>
      </c>
      <c r="K191" t="s">
        <v>19</v>
      </c>
      <c r="L191" t="s">
        <v>58</v>
      </c>
      <c r="M191" t="s">
        <v>185</v>
      </c>
      <c r="N191" t="str">
        <f t="shared" si="11"/>
        <v>Кузнецов Дмитрий ЛьвовичАлексеева Светлана Артемовна</v>
      </c>
      <c r="O191" t="s">
        <v>11</v>
      </c>
      <c r="P191" t="s">
        <v>98</v>
      </c>
      <c r="Q191" t="s">
        <v>403</v>
      </c>
    </row>
    <row r="192" spans="4:17" x14ac:dyDescent="0.25">
      <c r="D192" t="s">
        <v>11</v>
      </c>
      <c r="E192" t="s">
        <v>96</v>
      </c>
      <c r="F192" t="str">
        <f t="shared" si="8"/>
        <v>2024-01-26</v>
      </c>
      <c r="G192" t="str">
        <f t="shared" si="9"/>
        <v>2024-01-26</v>
      </c>
      <c r="H192">
        <f t="shared" si="10"/>
        <v>0</v>
      </c>
      <c r="J192" t="str">
        <f>K192&amp;L192</f>
        <v>Ткаченко Андрей ОлеговичВолкова Светлана Ивановна</v>
      </c>
      <c r="K192" t="s">
        <v>26</v>
      </c>
      <c r="L192" t="s">
        <v>64</v>
      </c>
      <c r="M192" t="s">
        <v>189</v>
      </c>
      <c r="N192" t="str">
        <f t="shared" si="11"/>
        <v>Яковлев Артем ИгоревичЕгорова Наталья Станиславовна</v>
      </c>
      <c r="O192" t="s">
        <v>21</v>
      </c>
      <c r="P192" t="s">
        <v>400</v>
      </c>
      <c r="Q192" t="s">
        <v>403</v>
      </c>
    </row>
    <row r="193" spans="4:17" x14ac:dyDescent="0.25">
      <c r="D193" t="s">
        <v>11</v>
      </c>
      <c r="E193" t="s">
        <v>72</v>
      </c>
      <c r="F193" t="str">
        <f t="shared" si="8"/>
        <v>2023-10-06</v>
      </c>
      <c r="G193" t="str">
        <f t="shared" si="9"/>
        <v>2024-02-05</v>
      </c>
      <c r="H193">
        <f t="shared" si="10"/>
        <v>122</v>
      </c>
      <c r="J193" t="str">
        <f>K193&amp;L193</f>
        <v>Петров Владимир КирилловичАлексеев Артур Артемович</v>
      </c>
      <c r="K193" t="s">
        <v>19</v>
      </c>
      <c r="L193" t="s">
        <v>190</v>
      </c>
      <c r="M193" t="s">
        <v>189</v>
      </c>
      <c r="N193" t="str">
        <f t="shared" si="11"/>
        <v>Яковлев Артем ИгоревичПопов Матвей Иванович</v>
      </c>
      <c r="O193" t="s">
        <v>21</v>
      </c>
      <c r="P193" t="s">
        <v>138</v>
      </c>
      <c r="Q193" t="s">
        <v>403</v>
      </c>
    </row>
    <row r="194" spans="4:17" x14ac:dyDescent="0.25">
      <c r="D194" t="s">
        <v>11</v>
      </c>
      <c r="E194" t="s">
        <v>98</v>
      </c>
      <c r="F194" t="str">
        <f t="shared" si="8"/>
        <v>2024-06-28</v>
      </c>
      <c r="G194" t="str">
        <f t="shared" si="9"/>
        <v>2024-07-01</v>
      </c>
      <c r="H194">
        <f t="shared" si="10"/>
        <v>3</v>
      </c>
      <c r="J194" t="str">
        <f>K194&amp;L194</f>
        <v>Семенова Ирина ВалерьевнаПетров Константин Егорович</v>
      </c>
      <c r="K194" t="s">
        <v>16</v>
      </c>
      <c r="L194" t="s">
        <v>102</v>
      </c>
      <c r="M194" t="s">
        <v>191</v>
      </c>
      <c r="N194" t="str">
        <f t="shared" si="11"/>
        <v>Иванова Анна СергеевнаПопова Полина Сергеевна</v>
      </c>
      <c r="O194" t="s">
        <v>55</v>
      </c>
      <c r="P194" t="s">
        <v>160</v>
      </c>
      <c r="Q194" t="s">
        <v>402</v>
      </c>
    </row>
    <row r="195" spans="4:17" x14ac:dyDescent="0.25">
      <c r="D195" t="s">
        <v>11</v>
      </c>
      <c r="E195" t="s">
        <v>172</v>
      </c>
      <c r="F195" t="str">
        <f t="shared" ref="F195:F258" si="12">VLOOKUP(D195&amp;E195,J:M,4,0)</f>
        <v>2024-04-12</v>
      </c>
      <c r="G195" t="str">
        <f t="shared" ref="G195:G258" si="13">VLOOKUP(D195&amp;E195,N:Q,4,0)</f>
        <v>2024-08-12</v>
      </c>
      <c r="H195">
        <f t="shared" ref="H195:H258" si="14">G195-F195</f>
        <v>122</v>
      </c>
      <c r="J195" t="str">
        <f>K195&amp;L195</f>
        <v>Кузнецов Дмитрий ЛьвовичВолкова Анна Викторовна</v>
      </c>
      <c r="K195" t="s">
        <v>11</v>
      </c>
      <c r="L195" t="s">
        <v>42</v>
      </c>
      <c r="M195" t="s">
        <v>191</v>
      </c>
      <c r="N195" t="str">
        <f t="shared" ref="N195:N258" si="15">O195&amp;P195</f>
        <v>Орлов Павел ДенисовичПавлова Наталья Павловна</v>
      </c>
      <c r="O195" t="s">
        <v>13</v>
      </c>
      <c r="P195" t="s">
        <v>144</v>
      </c>
      <c r="Q195" t="s">
        <v>401</v>
      </c>
    </row>
    <row r="196" spans="4:17" x14ac:dyDescent="0.25">
      <c r="D196" t="s">
        <v>11</v>
      </c>
      <c r="E196" t="s">
        <v>68</v>
      </c>
      <c r="F196" t="str">
        <f t="shared" si="12"/>
        <v>2023-09-15</v>
      </c>
      <c r="G196" t="str">
        <f t="shared" si="13"/>
        <v>2023-09-15</v>
      </c>
      <c r="H196">
        <f t="shared" si="14"/>
        <v>0</v>
      </c>
      <c r="J196" t="str">
        <f>K196&amp;L196</f>
        <v>Яковлев Артем ИгоревичВасильева Елена Андреевна</v>
      </c>
      <c r="K196" t="s">
        <v>21</v>
      </c>
      <c r="L196" t="s">
        <v>27</v>
      </c>
      <c r="M196" t="s">
        <v>191</v>
      </c>
      <c r="N196" t="str">
        <f t="shared" si="15"/>
        <v>Сидорова Елена ВасильевнаСмирнов Матвей Юрьевич</v>
      </c>
      <c r="O196" t="s">
        <v>8</v>
      </c>
      <c r="P196" t="s">
        <v>272</v>
      </c>
      <c r="Q196" t="s">
        <v>401</v>
      </c>
    </row>
    <row r="197" spans="4:17" x14ac:dyDescent="0.25">
      <c r="D197" t="s">
        <v>11</v>
      </c>
      <c r="E197" t="s">
        <v>65</v>
      </c>
      <c r="F197" t="str">
        <f t="shared" si="12"/>
        <v>2023-09-14</v>
      </c>
      <c r="G197" t="str">
        <f t="shared" si="13"/>
        <v>2023-09-14</v>
      </c>
      <c r="H197">
        <f t="shared" si="14"/>
        <v>0</v>
      </c>
      <c r="J197" t="str">
        <f>K197&amp;L197</f>
        <v>Орлов Павел ДенисовичНовикова Ольга Викторовна</v>
      </c>
      <c r="K197" t="s">
        <v>13</v>
      </c>
      <c r="L197" t="s">
        <v>47</v>
      </c>
      <c r="M197" t="s">
        <v>192</v>
      </c>
      <c r="N197" t="str">
        <f t="shared" si="15"/>
        <v>Кузнецов Дмитрий ЛьвовичПетрова Наталья Владимировна</v>
      </c>
      <c r="O197" t="s">
        <v>11</v>
      </c>
      <c r="P197" t="s">
        <v>246</v>
      </c>
      <c r="Q197" t="s">
        <v>401</v>
      </c>
    </row>
    <row r="198" spans="4:17" x14ac:dyDescent="0.25">
      <c r="D198" t="s">
        <v>11</v>
      </c>
      <c r="E198" t="s">
        <v>269</v>
      </c>
      <c r="F198" t="str">
        <f t="shared" si="12"/>
        <v>2024-08-05</v>
      </c>
      <c r="G198" t="str">
        <f t="shared" si="13"/>
        <v>2024-08-05</v>
      </c>
      <c r="H198">
        <f t="shared" si="14"/>
        <v>0</v>
      </c>
      <c r="J198" t="str">
        <f>K198&amp;L198</f>
        <v>Ткаченко Андрей ОлеговичАлексеев Егор Юрьевич</v>
      </c>
      <c r="K198" t="s">
        <v>26</v>
      </c>
      <c r="L198" t="s">
        <v>193</v>
      </c>
      <c r="M198" t="s">
        <v>192</v>
      </c>
      <c r="N198" t="str">
        <f t="shared" si="15"/>
        <v>Ткаченко Андрей ОлеговичЕгоров Никита Олегович</v>
      </c>
      <c r="O198" t="s">
        <v>26</v>
      </c>
      <c r="P198" t="s">
        <v>121</v>
      </c>
      <c r="Q198" t="s">
        <v>399</v>
      </c>
    </row>
    <row r="199" spans="4:17" x14ac:dyDescent="0.25">
      <c r="D199" t="s">
        <v>11</v>
      </c>
      <c r="E199" t="s">
        <v>57</v>
      </c>
      <c r="F199" t="str">
        <f t="shared" si="12"/>
        <v>2023-09-12</v>
      </c>
      <c r="G199" t="str">
        <f t="shared" si="13"/>
        <v>2024-05-27</v>
      </c>
      <c r="H199">
        <f t="shared" si="14"/>
        <v>258</v>
      </c>
      <c r="J199" t="str">
        <f>K199&amp;L199</f>
        <v>Белов Алексей КонстантиновичСидорова Екатерина Станиславовна</v>
      </c>
      <c r="K199" t="s">
        <v>5</v>
      </c>
      <c r="L199" t="s">
        <v>194</v>
      </c>
      <c r="M199" t="s">
        <v>192</v>
      </c>
      <c r="N199" t="str">
        <f t="shared" si="15"/>
        <v>Фролов Сергей ВикторовичЕгорова Наталья Станиславовна</v>
      </c>
      <c r="O199" t="s">
        <v>38</v>
      </c>
      <c r="P199" t="s">
        <v>400</v>
      </c>
      <c r="Q199" t="s">
        <v>399</v>
      </c>
    </row>
    <row r="200" spans="4:17" x14ac:dyDescent="0.25">
      <c r="D200" t="s">
        <v>11</v>
      </c>
      <c r="E200" t="s">
        <v>27</v>
      </c>
      <c r="F200" t="str">
        <f t="shared" si="12"/>
        <v>2024-01-16</v>
      </c>
      <c r="G200" t="str">
        <f t="shared" si="13"/>
        <v>2024-01-16</v>
      </c>
      <c r="H200">
        <f t="shared" si="14"/>
        <v>0</v>
      </c>
      <c r="J200" t="str">
        <f>K200&amp;L200</f>
        <v>Петров Владимир КирилловичВолкова Анна Викторовна</v>
      </c>
      <c r="K200" t="s">
        <v>19</v>
      </c>
      <c r="L200" t="s">
        <v>42</v>
      </c>
      <c r="M200" t="s">
        <v>195</v>
      </c>
      <c r="N200" t="str">
        <f t="shared" si="15"/>
        <v>Петров Владимир КирилловичПопов Роман Владимирович</v>
      </c>
      <c r="O200" t="s">
        <v>19</v>
      </c>
      <c r="P200" t="s">
        <v>88</v>
      </c>
      <c r="Q200" t="s">
        <v>399</v>
      </c>
    </row>
    <row r="201" spans="4:17" x14ac:dyDescent="0.25">
      <c r="D201" t="s">
        <v>11</v>
      </c>
      <c r="E201" t="s">
        <v>187</v>
      </c>
      <c r="F201" t="str">
        <f t="shared" si="12"/>
        <v>2024-03-12</v>
      </c>
      <c r="G201" t="str">
        <f t="shared" si="13"/>
        <v>2024-03-12</v>
      </c>
      <c r="H201">
        <f t="shared" si="14"/>
        <v>0</v>
      </c>
      <c r="J201" t="str">
        <f>K201&amp;L201</f>
        <v>Орлов Павел ДенисовичСтепанов Михаил Егорович</v>
      </c>
      <c r="K201" t="s">
        <v>13</v>
      </c>
      <c r="L201" t="s">
        <v>196</v>
      </c>
      <c r="M201" t="s">
        <v>195</v>
      </c>
      <c r="N201" t="str">
        <f t="shared" si="15"/>
        <v>Яковлев Артем ИгоревичЕгорова Татьяна Ильинична</v>
      </c>
      <c r="O201" t="s">
        <v>21</v>
      </c>
      <c r="P201" t="s">
        <v>188</v>
      </c>
      <c r="Q201" t="s">
        <v>398</v>
      </c>
    </row>
    <row r="202" spans="4:17" x14ac:dyDescent="0.25">
      <c r="D202" t="s">
        <v>11</v>
      </c>
      <c r="E202" t="s">
        <v>74</v>
      </c>
      <c r="F202" t="str">
        <f t="shared" si="12"/>
        <v>2023-11-17</v>
      </c>
      <c r="G202" t="str">
        <f t="shared" si="13"/>
        <v>2023-11-17</v>
      </c>
      <c r="H202">
        <f t="shared" si="14"/>
        <v>0</v>
      </c>
      <c r="J202" t="str">
        <f>K202&amp;L202</f>
        <v>Семенова Ирина ВалерьевнаОрлова Алиса Егоровна</v>
      </c>
      <c r="K202" t="s">
        <v>16</v>
      </c>
      <c r="L202" t="s">
        <v>197</v>
      </c>
      <c r="M202" t="s">
        <v>198</v>
      </c>
      <c r="N202" t="str">
        <f t="shared" si="15"/>
        <v>Петров Владимир КирилловичПопова Полина Сергеевна</v>
      </c>
      <c r="O202" t="s">
        <v>19</v>
      </c>
      <c r="P202" t="s">
        <v>160</v>
      </c>
      <c r="Q202" t="s">
        <v>398</v>
      </c>
    </row>
    <row r="203" spans="4:17" x14ac:dyDescent="0.25">
      <c r="D203" t="s">
        <v>11</v>
      </c>
      <c r="E203" t="s">
        <v>42</v>
      </c>
      <c r="F203" t="str">
        <f t="shared" si="12"/>
        <v>2023-11-08</v>
      </c>
      <c r="G203" t="str">
        <f t="shared" si="13"/>
        <v>2023-11-08</v>
      </c>
      <c r="H203">
        <f t="shared" si="14"/>
        <v>0</v>
      </c>
      <c r="J203" t="str">
        <f>K203&amp;L203</f>
        <v>Ткаченко Андрей ОлеговичКозлов Илья Геннадьевич</v>
      </c>
      <c r="K203" t="s">
        <v>26</v>
      </c>
      <c r="L203" t="s">
        <v>153</v>
      </c>
      <c r="M203" t="s">
        <v>198</v>
      </c>
      <c r="N203" t="str">
        <f t="shared" si="15"/>
        <v>Сидорова Елена ВасильевнаКузнецов Кирилл Александрович</v>
      </c>
      <c r="O203" t="s">
        <v>8</v>
      </c>
      <c r="P203" t="s">
        <v>92</v>
      </c>
      <c r="Q203" t="s">
        <v>397</v>
      </c>
    </row>
    <row r="204" spans="4:17" x14ac:dyDescent="0.25">
      <c r="D204" t="s">
        <v>11</v>
      </c>
      <c r="E204" t="s">
        <v>58</v>
      </c>
      <c r="F204" t="str">
        <f t="shared" si="12"/>
        <v>2024-04-26</v>
      </c>
      <c r="G204" t="str">
        <f t="shared" si="13"/>
        <v>2024-04-26</v>
      </c>
      <c r="H204">
        <f t="shared" si="14"/>
        <v>0</v>
      </c>
      <c r="J204" t="str">
        <f>K204&amp;L204</f>
        <v>Ткаченко Андрей ОлеговичСеменова Полина Сергеевна</v>
      </c>
      <c r="K204" t="s">
        <v>26</v>
      </c>
      <c r="L204" t="s">
        <v>183</v>
      </c>
      <c r="M204" t="s">
        <v>198</v>
      </c>
      <c r="N204" t="str">
        <f t="shared" si="15"/>
        <v>Петров Владимир КирилловичВасильев Андрей Дмитриевич</v>
      </c>
      <c r="O204" t="s">
        <v>19</v>
      </c>
      <c r="P204" t="s">
        <v>172</v>
      </c>
      <c r="Q204" t="s">
        <v>397</v>
      </c>
    </row>
    <row r="205" spans="4:17" x14ac:dyDescent="0.25">
      <c r="D205" t="s">
        <v>11</v>
      </c>
      <c r="E205" t="s">
        <v>139</v>
      </c>
      <c r="F205" t="str">
        <f t="shared" si="12"/>
        <v>2024-01-02</v>
      </c>
      <c r="G205" t="str">
        <f t="shared" si="13"/>
        <v>2024-01-02</v>
      </c>
      <c r="H205">
        <f t="shared" si="14"/>
        <v>0</v>
      </c>
      <c r="J205" t="str">
        <f>K205&amp;L205</f>
        <v>Орлов Павел ДенисовичИванов Георгий Павлович</v>
      </c>
      <c r="K205" t="s">
        <v>13</v>
      </c>
      <c r="L205" t="s">
        <v>149</v>
      </c>
      <c r="M205" t="s">
        <v>198</v>
      </c>
      <c r="N205" t="str">
        <f t="shared" si="15"/>
        <v>Белов Алексей КонстантиновичКузнецов Алексей Олегович</v>
      </c>
      <c r="O205" t="s">
        <v>5</v>
      </c>
      <c r="P205" t="s">
        <v>216</v>
      </c>
      <c r="Q205" t="s">
        <v>397</v>
      </c>
    </row>
    <row r="206" spans="4:17" x14ac:dyDescent="0.25">
      <c r="D206" t="s">
        <v>11</v>
      </c>
      <c r="E206" t="s">
        <v>186</v>
      </c>
      <c r="F206" t="str">
        <f t="shared" si="12"/>
        <v>2024-03-18</v>
      </c>
      <c r="G206" t="str">
        <f t="shared" si="13"/>
        <v>2024-03-18</v>
      </c>
      <c r="H206">
        <f t="shared" si="14"/>
        <v>0</v>
      </c>
      <c r="J206" t="str">
        <f>K206&amp;L206</f>
        <v>Яковлев Артем ИгоревичПавлов Андрей Владимирович</v>
      </c>
      <c r="K206" t="s">
        <v>21</v>
      </c>
      <c r="L206" t="s">
        <v>199</v>
      </c>
      <c r="M206" t="s">
        <v>198</v>
      </c>
      <c r="N206" t="str">
        <f t="shared" si="15"/>
        <v>Орлов Павел ДенисовичВолкова Екатерина Егоровна</v>
      </c>
      <c r="O206" t="s">
        <v>13</v>
      </c>
      <c r="P206" t="s">
        <v>58</v>
      </c>
      <c r="Q206" t="s">
        <v>397</v>
      </c>
    </row>
    <row r="207" spans="4:17" x14ac:dyDescent="0.25">
      <c r="D207" t="s">
        <v>11</v>
      </c>
      <c r="E207" t="s">
        <v>121</v>
      </c>
      <c r="F207" t="str">
        <f t="shared" si="12"/>
        <v>2024-02-08</v>
      </c>
      <c r="G207" t="str">
        <f t="shared" si="13"/>
        <v>2024-04-15</v>
      </c>
      <c r="H207">
        <f t="shared" si="14"/>
        <v>67</v>
      </c>
      <c r="J207" t="str">
        <f>K207&amp;L207</f>
        <v>Громова Мария ИльиничнаСтепанов Кирилл Алексеевич</v>
      </c>
      <c r="K207" t="s">
        <v>43</v>
      </c>
      <c r="L207" t="s">
        <v>200</v>
      </c>
      <c r="M207" t="s">
        <v>198</v>
      </c>
      <c r="N207" t="str">
        <f t="shared" si="15"/>
        <v>Петров Владимир КирилловичКузнецов Егор Андреевич</v>
      </c>
      <c r="O207" t="s">
        <v>19</v>
      </c>
      <c r="P207" t="s">
        <v>30</v>
      </c>
      <c r="Q207" t="s">
        <v>397</v>
      </c>
    </row>
    <row r="208" spans="4:17" x14ac:dyDescent="0.25">
      <c r="D208" t="s">
        <v>11</v>
      </c>
      <c r="E208" t="s">
        <v>49</v>
      </c>
      <c r="F208" t="str">
        <f t="shared" si="12"/>
        <v>2023-09-29</v>
      </c>
      <c r="G208" t="str">
        <f t="shared" si="13"/>
        <v>2023-09-29</v>
      </c>
      <c r="H208">
        <f t="shared" si="14"/>
        <v>0</v>
      </c>
      <c r="J208" t="str">
        <f>K208&amp;L208</f>
        <v>Ткаченко Андрей ОлеговичПопов Роман Владимирович</v>
      </c>
      <c r="K208" t="s">
        <v>26</v>
      </c>
      <c r="L208" t="s">
        <v>88</v>
      </c>
      <c r="M208" t="s">
        <v>198</v>
      </c>
      <c r="N208" t="str">
        <f t="shared" si="15"/>
        <v>Семенова Ирина ВалерьевнаИванов Георгий Павлович</v>
      </c>
      <c r="O208" t="s">
        <v>16</v>
      </c>
      <c r="P208" t="s">
        <v>149</v>
      </c>
      <c r="Q208" t="s">
        <v>396</v>
      </c>
    </row>
    <row r="209" spans="4:17" x14ac:dyDescent="0.25">
      <c r="D209" t="s">
        <v>11</v>
      </c>
      <c r="E209" t="s">
        <v>188</v>
      </c>
      <c r="F209" t="str">
        <f t="shared" si="12"/>
        <v>2024-05-20</v>
      </c>
      <c r="G209" t="str">
        <f t="shared" si="13"/>
        <v>2024-05-20</v>
      </c>
      <c r="H209">
        <f t="shared" si="14"/>
        <v>0</v>
      </c>
      <c r="J209" t="str">
        <f>K209&amp;L209</f>
        <v>Кузнецов Дмитрий ЛьвовичПопов Георгий Егорович</v>
      </c>
      <c r="K209" t="s">
        <v>11</v>
      </c>
      <c r="L209" t="s">
        <v>61</v>
      </c>
      <c r="M209" t="s">
        <v>201</v>
      </c>
      <c r="N209" t="str">
        <f t="shared" si="15"/>
        <v>Новикова Ольга ПетровнаПопов Роман Владимирович</v>
      </c>
      <c r="O209" t="s">
        <v>29</v>
      </c>
      <c r="P209" t="s">
        <v>88</v>
      </c>
      <c r="Q209" t="s">
        <v>395</v>
      </c>
    </row>
    <row r="210" spans="4:17" x14ac:dyDescent="0.25">
      <c r="D210" t="s">
        <v>11</v>
      </c>
      <c r="E210" t="s">
        <v>154</v>
      </c>
      <c r="F210" t="str">
        <f t="shared" si="12"/>
        <v>2023-10-23</v>
      </c>
      <c r="G210" t="str">
        <f t="shared" si="13"/>
        <v>2023-10-23</v>
      </c>
      <c r="H210">
        <f t="shared" si="14"/>
        <v>0</v>
      </c>
      <c r="J210" t="str">
        <f>K210&amp;L210</f>
        <v>Петров Владимир КирилловичАлексеева Мария Олеговна</v>
      </c>
      <c r="K210" t="s">
        <v>19</v>
      </c>
      <c r="L210" t="s">
        <v>72</v>
      </c>
      <c r="M210" t="s">
        <v>201</v>
      </c>
      <c r="N210" t="str">
        <f t="shared" si="15"/>
        <v>Сидорова Елена ВасильевнаНовикова София Ивановна</v>
      </c>
      <c r="O210" t="s">
        <v>8</v>
      </c>
      <c r="P210" t="s">
        <v>33</v>
      </c>
      <c r="Q210" t="s">
        <v>395</v>
      </c>
    </row>
    <row r="211" spans="4:17" x14ac:dyDescent="0.25">
      <c r="D211" t="s">
        <v>11</v>
      </c>
      <c r="E211" t="s">
        <v>161</v>
      </c>
      <c r="F211" t="str">
        <f t="shared" si="12"/>
        <v>2024-01-08</v>
      </c>
      <c r="G211" t="str">
        <f t="shared" si="13"/>
        <v>2024-01-08</v>
      </c>
      <c r="H211">
        <f t="shared" si="14"/>
        <v>0</v>
      </c>
      <c r="J211" t="str">
        <f>K211&amp;L211</f>
        <v>Новикова Ольга ПетровнаПетров Михаил Павлович</v>
      </c>
      <c r="K211" t="s">
        <v>29</v>
      </c>
      <c r="L211" t="s">
        <v>15</v>
      </c>
      <c r="M211" t="s">
        <v>201</v>
      </c>
      <c r="N211" t="str">
        <f t="shared" si="15"/>
        <v>Яковлев Артем ИгоревичСмирнова Екатерина Геннадьевна</v>
      </c>
      <c r="O211" t="s">
        <v>21</v>
      </c>
      <c r="P211" t="s">
        <v>169</v>
      </c>
      <c r="Q211" t="s">
        <v>395</v>
      </c>
    </row>
    <row r="212" spans="4:17" x14ac:dyDescent="0.25">
      <c r="D212" t="s">
        <v>11</v>
      </c>
      <c r="E212" t="s">
        <v>60</v>
      </c>
      <c r="F212" t="str">
        <f t="shared" si="12"/>
        <v>2023-09-12</v>
      </c>
      <c r="G212" t="str">
        <f t="shared" si="13"/>
        <v>2023-09-12</v>
      </c>
      <c r="H212">
        <f t="shared" si="14"/>
        <v>0</v>
      </c>
      <c r="J212" t="str">
        <f>K212&amp;L212</f>
        <v>Яковлев Артем ИгоревичКозлова Екатерина Викторовна</v>
      </c>
      <c r="K212" t="s">
        <v>21</v>
      </c>
      <c r="L212" t="s">
        <v>202</v>
      </c>
      <c r="M212" t="s">
        <v>201</v>
      </c>
      <c r="N212" t="str">
        <f t="shared" si="15"/>
        <v>Сидорова Елена ВасильевнаПетров Павел Юрьевич</v>
      </c>
      <c r="O212" t="s">
        <v>8</v>
      </c>
      <c r="P212" t="s">
        <v>206</v>
      </c>
      <c r="Q212" t="s">
        <v>395</v>
      </c>
    </row>
    <row r="213" spans="4:17" x14ac:dyDescent="0.25">
      <c r="D213" t="s">
        <v>11</v>
      </c>
      <c r="E213" t="s">
        <v>153</v>
      </c>
      <c r="F213" t="str">
        <f t="shared" si="12"/>
        <v>2024-03-04</v>
      </c>
      <c r="G213" t="str">
        <f t="shared" si="13"/>
        <v>2024-03-04</v>
      </c>
      <c r="H213">
        <f t="shared" si="14"/>
        <v>0</v>
      </c>
      <c r="J213" t="str">
        <f>K213&amp;L213</f>
        <v>Фролов Сергей ВикторовичВасильев Егор Павлович</v>
      </c>
      <c r="K213" t="s">
        <v>38</v>
      </c>
      <c r="L213" t="s">
        <v>65</v>
      </c>
      <c r="M213" t="s">
        <v>203</v>
      </c>
      <c r="N213" t="str">
        <f t="shared" si="15"/>
        <v>Иванова Анна СергеевнаСмирнова Елена Олеговна</v>
      </c>
      <c r="O213" t="s">
        <v>55</v>
      </c>
      <c r="P213" t="s">
        <v>22</v>
      </c>
      <c r="Q213" t="s">
        <v>395</v>
      </c>
    </row>
    <row r="214" spans="4:17" x14ac:dyDescent="0.25">
      <c r="D214" t="s">
        <v>11</v>
      </c>
      <c r="E214" t="s">
        <v>52</v>
      </c>
      <c r="F214" t="str">
        <f t="shared" si="12"/>
        <v>2024-07-16</v>
      </c>
      <c r="G214" t="str">
        <f t="shared" si="13"/>
        <v>2024-07-16</v>
      </c>
      <c r="H214">
        <f t="shared" si="14"/>
        <v>0</v>
      </c>
      <c r="J214" t="str">
        <f>K214&amp;L214</f>
        <v>Сидорова Елена ВасильевнаИванова Ольга Дмитриевна</v>
      </c>
      <c r="K214" t="s">
        <v>8</v>
      </c>
      <c r="L214" t="s">
        <v>131</v>
      </c>
      <c r="M214" t="s">
        <v>203</v>
      </c>
      <c r="N214" t="str">
        <f t="shared" si="15"/>
        <v>Сидорова Елена ВасильевнаПавлова София Геннадьевна</v>
      </c>
      <c r="O214" t="s">
        <v>8</v>
      </c>
      <c r="P214" t="s">
        <v>126</v>
      </c>
      <c r="Q214" t="s">
        <v>394</v>
      </c>
    </row>
    <row r="215" spans="4:17" x14ac:dyDescent="0.25">
      <c r="D215" t="s">
        <v>11</v>
      </c>
      <c r="E215" t="s">
        <v>354</v>
      </c>
      <c r="F215" t="str">
        <f t="shared" si="12"/>
        <v>2024-04-24</v>
      </c>
      <c r="G215" t="str">
        <f t="shared" si="13"/>
        <v>2024-07-19</v>
      </c>
      <c r="H215">
        <f t="shared" si="14"/>
        <v>86</v>
      </c>
      <c r="J215" t="str">
        <f>K215&amp;L215</f>
        <v>Орлов Павел ДенисовичПетрова Ольга Сергеевна</v>
      </c>
      <c r="K215" t="s">
        <v>13</v>
      </c>
      <c r="L215" t="s">
        <v>119</v>
      </c>
      <c r="M215" t="s">
        <v>204</v>
      </c>
      <c r="N215" t="str">
        <f t="shared" si="15"/>
        <v>Петров Владимир КирилловичСеменов Иван Артемович</v>
      </c>
      <c r="O215" t="s">
        <v>19</v>
      </c>
      <c r="P215" t="s">
        <v>295</v>
      </c>
      <c r="Q215" t="s">
        <v>394</v>
      </c>
    </row>
    <row r="216" spans="4:17" x14ac:dyDescent="0.25">
      <c r="D216" t="s">
        <v>11</v>
      </c>
      <c r="E216" t="s">
        <v>34</v>
      </c>
      <c r="F216" t="str">
        <f t="shared" si="12"/>
        <v>2023-12-05</v>
      </c>
      <c r="G216" t="str">
        <f t="shared" si="13"/>
        <v>2024-01-15</v>
      </c>
      <c r="H216">
        <f t="shared" si="14"/>
        <v>41</v>
      </c>
      <c r="J216" t="str">
        <f>K216&amp;L216</f>
        <v>Кузнецов Дмитрий ЛьвовичВолков Павел Иванович</v>
      </c>
      <c r="K216" t="s">
        <v>11</v>
      </c>
      <c r="L216" t="s">
        <v>74</v>
      </c>
      <c r="M216" t="s">
        <v>204</v>
      </c>
      <c r="N216" t="str">
        <f t="shared" si="15"/>
        <v>Петров Владимир КирилловичФедорова Татьяна Викторовна</v>
      </c>
      <c r="O216" t="s">
        <v>19</v>
      </c>
      <c r="P216" t="s">
        <v>104</v>
      </c>
      <c r="Q216" t="s">
        <v>394</v>
      </c>
    </row>
    <row r="217" spans="4:17" x14ac:dyDescent="0.25">
      <c r="D217" t="s">
        <v>11</v>
      </c>
      <c r="E217" t="s">
        <v>78</v>
      </c>
      <c r="F217" t="str">
        <f t="shared" si="12"/>
        <v>2023-12-06</v>
      </c>
      <c r="G217" t="str">
        <f t="shared" si="13"/>
        <v>2023-12-06</v>
      </c>
      <c r="H217">
        <f t="shared" si="14"/>
        <v>0</v>
      </c>
      <c r="J217" t="str">
        <f>K217&amp;L217</f>
        <v>Орлов Павел ДенисовичЕгорова Татьяна Ильинична</v>
      </c>
      <c r="K217" t="s">
        <v>13</v>
      </c>
      <c r="L217" t="s">
        <v>188</v>
      </c>
      <c r="M217" t="s">
        <v>204</v>
      </c>
      <c r="N217" t="str">
        <f t="shared" si="15"/>
        <v>Громова Мария ИльиничнаПопова Полина Сергеевна</v>
      </c>
      <c r="O217" t="s">
        <v>43</v>
      </c>
      <c r="P217" t="s">
        <v>160</v>
      </c>
      <c r="Q217" t="s">
        <v>394</v>
      </c>
    </row>
    <row r="218" spans="4:17" x14ac:dyDescent="0.25">
      <c r="D218" t="s">
        <v>11</v>
      </c>
      <c r="E218" t="s">
        <v>92</v>
      </c>
      <c r="F218" t="str">
        <f t="shared" si="12"/>
        <v>2024-06-12</v>
      </c>
      <c r="G218" t="str">
        <f t="shared" si="13"/>
        <v>2024-06-12</v>
      </c>
      <c r="H218">
        <f t="shared" si="14"/>
        <v>0</v>
      </c>
      <c r="J218" t="str">
        <f>K218&amp;L218</f>
        <v>Семенова Ирина ВалерьевнаКозлов Илья Геннадьевич</v>
      </c>
      <c r="K218" t="s">
        <v>16</v>
      </c>
      <c r="L218" t="s">
        <v>153</v>
      </c>
      <c r="M218" t="s">
        <v>205</v>
      </c>
      <c r="N218" t="str">
        <f t="shared" si="15"/>
        <v>Сидорова Елена ВасильевнаВасильев Илья Алексеевич</v>
      </c>
      <c r="O218" t="s">
        <v>8</v>
      </c>
      <c r="P218" t="s">
        <v>232</v>
      </c>
      <c r="Q218" t="s">
        <v>394</v>
      </c>
    </row>
    <row r="219" spans="4:17" x14ac:dyDescent="0.25">
      <c r="D219" t="s">
        <v>11</v>
      </c>
      <c r="E219" t="s">
        <v>168</v>
      </c>
      <c r="F219" t="str">
        <f t="shared" si="12"/>
        <v>2024-02-14</v>
      </c>
      <c r="G219" t="str">
        <f t="shared" si="13"/>
        <v>2024-02-14</v>
      </c>
      <c r="H219">
        <f t="shared" si="14"/>
        <v>0</v>
      </c>
      <c r="J219" t="str">
        <f>K219&amp;L219</f>
        <v>Иванова Анна СергеевнаПетров Павел Юрьевич</v>
      </c>
      <c r="K219" t="s">
        <v>55</v>
      </c>
      <c r="L219" t="s">
        <v>206</v>
      </c>
      <c r="M219" t="s">
        <v>205</v>
      </c>
      <c r="N219" t="str">
        <f t="shared" si="15"/>
        <v>Белов Алексей КонстантиновичВасильев Егор Павлович</v>
      </c>
      <c r="O219" t="s">
        <v>5</v>
      </c>
      <c r="P219" t="s">
        <v>65</v>
      </c>
      <c r="Q219" t="s">
        <v>394</v>
      </c>
    </row>
    <row r="220" spans="4:17" x14ac:dyDescent="0.25">
      <c r="D220" t="s">
        <v>11</v>
      </c>
      <c r="E220" t="s">
        <v>392</v>
      </c>
      <c r="F220" t="str">
        <f t="shared" si="12"/>
        <v>2024-06-13</v>
      </c>
      <c r="G220" t="str">
        <f t="shared" si="13"/>
        <v>2024-08-26</v>
      </c>
      <c r="H220">
        <f t="shared" si="14"/>
        <v>74</v>
      </c>
      <c r="J220" t="str">
        <f>K220&amp;L220</f>
        <v>Белов Алексей КонстантиновичСмирнова Екатерина Ивановна</v>
      </c>
      <c r="K220" t="s">
        <v>5</v>
      </c>
      <c r="L220" t="s">
        <v>28</v>
      </c>
      <c r="M220" t="s">
        <v>205</v>
      </c>
      <c r="N220" t="str">
        <f t="shared" si="15"/>
        <v>Фролов Сергей ВикторовичМорозов Илья Станиславович</v>
      </c>
      <c r="O220" t="s">
        <v>38</v>
      </c>
      <c r="P220" t="s">
        <v>114</v>
      </c>
      <c r="Q220" t="s">
        <v>394</v>
      </c>
    </row>
    <row r="221" spans="4:17" x14ac:dyDescent="0.25">
      <c r="D221" t="s">
        <v>11</v>
      </c>
      <c r="E221" t="s">
        <v>40</v>
      </c>
      <c r="F221" t="str">
        <f t="shared" si="12"/>
        <v>2024-05-27</v>
      </c>
      <c r="G221" t="str">
        <f t="shared" si="13"/>
        <v>2024-05-27</v>
      </c>
      <c r="H221">
        <f t="shared" si="14"/>
        <v>0</v>
      </c>
      <c r="J221" t="str">
        <f>K221&amp;L221</f>
        <v>Ткаченко Андрей ОлеговичИванов Георгий Павлович</v>
      </c>
      <c r="K221" t="s">
        <v>26</v>
      </c>
      <c r="L221" t="s">
        <v>149</v>
      </c>
      <c r="M221" t="s">
        <v>205</v>
      </c>
      <c r="N221" t="str">
        <f t="shared" si="15"/>
        <v>Кузнецов Дмитрий ЛьвовичНовикова Екатерина Павловна</v>
      </c>
      <c r="O221" t="s">
        <v>11</v>
      </c>
      <c r="P221" t="s">
        <v>76</v>
      </c>
      <c r="Q221" t="s">
        <v>393</v>
      </c>
    </row>
    <row r="222" spans="4:17" x14ac:dyDescent="0.25">
      <c r="D222" t="s">
        <v>11</v>
      </c>
      <c r="E222" t="s">
        <v>176</v>
      </c>
      <c r="F222" t="str">
        <f t="shared" si="12"/>
        <v>2024-07-01</v>
      </c>
      <c r="G222" t="str">
        <f t="shared" si="13"/>
        <v>2024-07-01</v>
      </c>
      <c r="H222">
        <f t="shared" si="14"/>
        <v>0</v>
      </c>
      <c r="J222" t="str">
        <f>K222&amp;L222</f>
        <v>Фролов Сергей ВикторовичКузнецов Кирилл Александрович</v>
      </c>
      <c r="K222" t="s">
        <v>38</v>
      </c>
      <c r="L222" t="s">
        <v>92</v>
      </c>
      <c r="M222" t="s">
        <v>205</v>
      </c>
      <c r="N222" t="str">
        <f t="shared" si="15"/>
        <v>Орлов Павел ДенисовичВолкова Светлана Ивановна</v>
      </c>
      <c r="O222" t="s">
        <v>13</v>
      </c>
      <c r="P222" t="s">
        <v>64</v>
      </c>
      <c r="Q222" t="s">
        <v>393</v>
      </c>
    </row>
    <row r="223" spans="4:17" x14ac:dyDescent="0.25">
      <c r="D223" t="s">
        <v>11</v>
      </c>
      <c r="E223" t="s">
        <v>257</v>
      </c>
      <c r="F223" t="str">
        <f t="shared" si="12"/>
        <v>2024-01-11</v>
      </c>
      <c r="G223" t="str">
        <f t="shared" si="13"/>
        <v>2024-02-12</v>
      </c>
      <c r="H223">
        <f t="shared" si="14"/>
        <v>32</v>
      </c>
      <c r="J223" t="str">
        <f>K223&amp;L223</f>
        <v>Орлов Павел ДенисовичКозлов Роман Егорович</v>
      </c>
      <c r="K223" t="s">
        <v>13</v>
      </c>
      <c r="L223" t="s">
        <v>134</v>
      </c>
      <c r="M223" t="s">
        <v>205</v>
      </c>
      <c r="N223" t="str">
        <f t="shared" si="15"/>
        <v>Кузнецов Дмитрий ЛьвовичВасильев Андрей Дмитриевич</v>
      </c>
      <c r="O223" t="s">
        <v>11</v>
      </c>
      <c r="P223" t="s">
        <v>172</v>
      </c>
      <c r="Q223" t="s">
        <v>391</v>
      </c>
    </row>
    <row r="224" spans="4:17" x14ac:dyDescent="0.25">
      <c r="D224" t="s">
        <v>11</v>
      </c>
      <c r="E224" t="s">
        <v>114</v>
      </c>
      <c r="F224" t="str">
        <f t="shared" si="12"/>
        <v>2024-08-19</v>
      </c>
      <c r="G224" t="str">
        <f t="shared" si="13"/>
        <v>2024-08-19</v>
      </c>
      <c r="H224">
        <f t="shared" si="14"/>
        <v>0</v>
      </c>
      <c r="J224" t="str">
        <f>K224&amp;L224</f>
        <v>Иванова Анна СергеевнаЛебедев Михаил Кириллович</v>
      </c>
      <c r="K224" t="s">
        <v>55</v>
      </c>
      <c r="L224" t="s">
        <v>40</v>
      </c>
      <c r="M224" t="s">
        <v>205</v>
      </c>
      <c r="N224" t="str">
        <f t="shared" si="15"/>
        <v>Семенова Ирина ВалерьевнаПопова Наталья Станиславовна</v>
      </c>
      <c r="O224" t="s">
        <v>16</v>
      </c>
      <c r="P224" t="s">
        <v>178</v>
      </c>
      <c r="Q224" t="s">
        <v>391</v>
      </c>
    </row>
    <row r="225" spans="4:17" x14ac:dyDescent="0.25">
      <c r="D225" t="s">
        <v>11</v>
      </c>
      <c r="E225" t="s">
        <v>123</v>
      </c>
      <c r="F225" t="str">
        <f t="shared" si="12"/>
        <v>2023-10-09</v>
      </c>
      <c r="G225" t="str">
        <f t="shared" si="13"/>
        <v>2023-10-09</v>
      </c>
      <c r="H225">
        <f t="shared" si="14"/>
        <v>0</v>
      </c>
      <c r="J225" t="str">
        <f>K225&amp;L225</f>
        <v>Петров Владимир КирилловичКузнецов Михаил Иванович</v>
      </c>
      <c r="K225" t="s">
        <v>19</v>
      </c>
      <c r="L225" t="s">
        <v>207</v>
      </c>
      <c r="M225" t="s">
        <v>205</v>
      </c>
      <c r="N225" t="str">
        <f t="shared" si="15"/>
        <v>Новикова Ольга ПетровнаКузнецов Егор Андреевич</v>
      </c>
      <c r="O225" t="s">
        <v>29</v>
      </c>
      <c r="P225" t="s">
        <v>30</v>
      </c>
      <c r="Q225" t="s">
        <v>391</v>
      </c>
    </row>
    <row r="226" spans="4:17" x14ac:dyDescent="0.25">
      <c r="D226" t="s">
        <v>11</v>
      </c>
      <c r="E226" t="s">
        <v>129</v>
      </c>
      <c r="F226" t="str">
        <f t="shared" si="12"/>
        <v>2023-10-10</v>
      </c>
      <c r="G226" t="str">
        <f t="shared" si="13"/>
        <v>2023-10-10</v>
      </c>
      <c r="H226">
        <f t="shared" si="14"/>
        <v>0</v>
      </c>
      <c r="J226" t="str">
        <f>K226&amp;L226</f>
        <v>Семенова Ирина ВалерьевнаСтепанова Александра Дмитриевна</v>
      </c>
      <c r="K226" t="s">
        <v>16</v>
      </c>
      <c r="L226" t="s">
        <v>46</v>
      </c>
      <c r="M226" t="s">
        <v>205</v>
      </c>
      <c r="N226" t="str">
        <f t="shared" si="15"/>
        <v>Кузнецов Дмитрий ЛьвовичЛебедев Дмитрий Дмитриевич</v>
      </c>
      <c r="O226" t="s">
        <v>11</v>
      </c>
      <c r="P226" t="s">
        <v>392</v>
      </c>
      <c r="Q226" t="s">
        <v>391</v>
      </c>
    </row>
    <row r="227" spans="4:17" x14ac:dyDescent="0.25">
      <c r="D227" t="s">
        <v>11</v>
      </c>
      <c r="E227" t="s">
        <v>211</v>
      </c>
      <c r="F227" t="str">
        <f t="shared" si="12"/>
        <v>2024-07-01</v>
      </c>
      <c r="G227" t="str">
        <f t="shared" si="13"/>
        <v>2024-08-09</v>
      </c>
      <c r="H227">
        <f t="shared" si="14"/>
        <v>39</v>
      </c>
      <c r="J227" t="str">
        <f>K227&amp;L227</f>
        <v>Иванова Анна СергеевнаВасильев Андрей Дмитриевич</v>
      </c>
      <c r="K227" t="s">
        <v>55</v>
      </c>
      <c r="L227" t="s">
        <v>172</v>
      </c>
      <c r="M227" t="s">
        <v>208</v>
      </c>
      <c r="N227" t="str">
        <f t="shared" si="15"/>
        <v>Громова Мария ИльиничнаВолкова Виктория Павловна</v>
      </c>
      <c r="O227" t="s">
        <v>43</v>
      </c>
      <c r="P227" t="s">
        <v>294</v>
      </c>
      <c r="Q227" t="s">
        <v>390</v>
      </c>
    </row>
    <row r="228" spans="4:17" x14ac:dyDescent="0.25">
      <c r="D228" t="s">
        <v>11</v>
      </c>
      <c r="E228" t="s">
        <v>375</v>
      </c>
      <c r="F228" t="str">
        <f t="shared" si="12"/>
        <v>2024-05-20</v>
      </c>
      <c r="G228" t="str">
        <f t="shared" si="13"/>
        <v>2024-05-20</v>
      </c>
      <c r="H228">
        <f t="shared" si="14"/>
        <v>0</v>
      </c>
      <c r="J228" t="str">
        <f>K228&amp;L228</f>
        <v>Петров Владимир КирилловичПавлов Сергей Олегович</v>
      </c>
      <c r="K228" t="s">
        <v>19</v>
      </c>
      <c r="L228" t="s">
        <v>209</v>
      </c>
      <c r="M228" t="s">
        <v>208</v>
      </c>
      <c r="N228" t="str">
        <f t="shared" si="15"/>
        <v>Кузнецов Дмитрий ЛьвовичКузнецов Кирилл Александрович</v>
      </c>
      <c r="O228" t="s">
        <v>11</v>
      </c>
      <c r="P228" t="s">
        <v>92</v>
      </c>
      <c r="Q228" t="s">
        <v>390</v>
      </c>
    </row>
    <row r="229" spans="4:17" x14ac:dyDescent="0.25">
      <c r="D229" t="s">
        <v>11</v>
      </c>
      <c r="E229" t="s">
        <v>36</v>
      </c>
      <c r="F229" t="str">
        <f t="shared" si="12"/>
        <v>2023-09-07</v>
      </c>
      <c r="G229" t="str">
        <f t="shared" si="13"/>
        <v>2023-09-07</v>
      </c>
      <c r="H229">
        <f t="shared" si="14"/>
        <v>0</v>
      </c>
      <c r="J229" t="str">
        <f>K229&amp;L229</f>
        <v>Фролов Сергей ВикторовичАлексеева Юлия Никитична</v>
      </c>
      <c r="K229" t="s">
        <v>38</v>
      </c>
      <c r="L229" t="s">
        <v>93</v>
      </c>
      <c r="M229" t="s">
        <v>210</v>
      </c>
      <c r="N229" t="str">
        <f t="shared" si="15"/>
        <v>Белов Алексей КонстантиновичЕгоров Никита Олегович</v>
      </c>
      <c r="O229" t="s">
        <v>5</v>
      </c>
      <c r="P229" t="s">
        <v>121</v>
      </c>
      <c r="Q229" t="s">
        <v>389</v>
      </c>
    </row>
    <row r="230" spans="4:17" x14ac:dyDescent="0.25">
      <c r="D230" t="s">
        <v>11</v>
      </c>
      <c r="E230" t="s">
        <v>76</v>
      </c>
      <c r="F230" t="str">
        <f t="shared" si="12"/>
        <v>2023-10-20</v>
      </c>
      <c r="G230" t="str">
        <f t="shared" si="13"/>
        <v>2024-06-14</v>
      </c>
      <c r="H230">
        <f t="shared" si="14"/>
        <v>238</v>
      </c>
      <c r="J230" t="str">
        <f>K230&amp;L230</f>
        <v>Орлов Павел ДенисовичНиколаева Мария Никитична</v>
      </c>
      <c r="K230" t="s">
        <v>13</v>
      </c>
      <c r="L230" t="s">
        <v>211</v>
      </c>
      <c r="M230" t="s">
        <v>210</v>
      </c>
      <c r="N230" t="str">
        <f t="shared" si="15"/>
        <v>Громова Мария ИльиничнаСмирнов Роман Кириллович</v>
      </c>
      <c r="O230" t="s">
        <v>43</v>
      </c>
      <c r="P230" t="s">
        <v>125</v>
      </c>
      <c r="Q230" t="s">
        <v>389</v>
      </c>
    </row>
    <row r="231" spans="4:17" x14ac:dyDescent="0.25">
      <c r="D231" t="s">
        <v>11</v>
      </c>
      <c r="E231" t="s">
        <v>47</v>
      </c>
      <c r="F231" t="str">
        <f t="shared" si="12"/>
        <v>2024-07-30</v>
      </c>
      <c r="G231" t="str">
        <f t="shared" si="13"/>
        <v>2024-07-30</v>
      </c>
      <c r="H231">
        <f t="shared" si="14"/>
        <v>0</v>
      </c>
      <c r="J231" t="str">
        <f>K231&amp;L231</f>
        <v>Новикова Ольга ПетровнаВасильев Владимир Алексеевич</v>
      </c>
      <c r="K231" t="s">
        <v>29</v>
      </c>
      <c r="L231" t="s">
        <v>68</v>
      </c>
      <c r="M231" t="s">
        <v>212</v>
      </c>
      <c r="N231" t="str">
        <f t="shared" si="15"/>
        <v>Петров Владимир КирилловичАлексеев Егор Юрьевич</v>
      </c>
      <c r="O231" t="s">
        <v>19</v>
      </c>
      <c r="P231" t="s">
        <v>193</v>
      </c>
      <c r="Q231" t="s">
        <v>389</v>
      </c>
    </row>
    <row r="232" spans="4:17" x14ac:dyDescent="0.25">
      <c r="D232" t="s">
        <v>11</v>
      </c>
      <c r="E232" t="s">
        <v>33</v>
      </c>
      <c r="F232" t="str">
        <f t="shared" si="12"/>
        <v>2023-12-25</v>
      </c>
      <c r="G232" t="str">
        <f t="shared" si="13"/>
        <v>2024-06-03</v>
      </c>
      <c r="H232">
        <f t="shared" si="14"/>
        <v>161</v>
      </c>
      <c r="J232" t="str">
        <f>K232&amp;L232</f>
        <v>Петров Владимир КирилловичВолкова Светлана Ивановна</v>
      </c>
      <c r="K232" t="s">
        <v>19</v>
      </c>
      <c r="L232" t="s">
        <v>64</v>
      </c>
      <c r="M232" t="s">
        <v>213</v>
      </c>
      <c r="N232" t="str">
        <f t="shared" si="15"/>
        <v>Яковлев Артем ИгоревичКузнецов Кирилл Павлович</v>
      </c>
      <c r="O232" t="s">
        <v>21</v>
      </c>
      <c r="P232" t="s">
        <v>167</v>
      </c>
      <c r="Q232" t="s">
        <v>389</v>
      </c>
    </row>
    <row r="233" spans="4:17" x14ac:dyDescent="0.25">
      <c r="D233" t="s">
        <v>11</v>
      </c>
      <c r="E233" t="s">
        <v>111</v>
      </c>
      <c r="F233" t="str">
        <f t="shared" si="12"/>
        <v>2023-10-02</v>
      </c>
      <c r="G233" t="str">
        <f t="shared" si="13"/>
        <v>2023-10-02</v>
      </c>
      <c r="H233">
        <f t="shared" si="14"/>
        <v>0</v>
      </c>
      <c r="J233" t="str">
        <f>K233&amp;L233</f>
        <v>Иванова Анна СергеевнаСеменова Александра Егоровна</v>
      </c>
      <c r="K233" t="s">
        <v>55</v>
      </c>
      <c r="L233" t="s">
        <v>94</v>
      </c>
      <c r="M233" t="s">
        <v>214</v>
      </c>
      <c r="N233" t="str">
        <f t="shared" si="15"/>
        <v>Семенова Ирина ВалерьевнаКузнецов Егор Андреевич</v>
      </c>
      <c r="O233" t="s">
        <v>16</v>
      </c>
      <c r="P233" t="s">
        <v>30</v>
      </c>
      <c r="Q233" t="s">
        <v>388</v>
      </c>
    </row>
    <row r="234" spans="4:17" x14ac:dyDescent="0.25">
      <c r="D234" t="s">
        <v>11</v>
      </c>
      <c r="E234" t="s">
        <v>209</v>
      </c>
      <c r="F234" t="str">
        <f t="shared" si="12"/>
        <v>2024-05-21</v>
      </c>
      <c r="G234" t="str">
        <f t="shared" si="13"/>
        <v>2024-05-21</v>
      </c>
      <c r="H234">
        <f t="shared" si="14"/>
        <v>0</v>
      </c>
      <c r="J234" t="str">
        <f>K234&amp;L234</f>
        <v>Семенова Ирина ВалерьевнаНовикова София Ивановна</v>
      </c>
      <c r="K234" t="s">
        <v>16</v>
      </c>
      <c r="L234" t="s">
        <v>33</v>
      </c>
      <c r="M234" t="s">
        <v>214</v>
      </c>
      <c r="N234" t="str">
        <f t="shared" si="15"/>
        <v>Фролов Сергей ВикторовичСмирнова Елена Олеговна</v>
      </c>
      <c r="O234" t="s">
        <v>38</v>
      </c>
      <c r="P234" t="s">
        <v>22</v>
      </c>
      <c r="Q234" t="s">
        <v>388</v>
      </c>
    </row>
    <row r="235" spans="4:17" x14ac:dyDescent="0.25">
      <c r="D235" t="s">
        <v>11</v>
      </c>
      <c r="E235" t="s">
        <v>267</v>
      </c>
      <c r="F235" t="str">
        <f t="shared" si="12"/>
        <v>2024-01-17</v>
      </c>
      <c r="G235" t="str">
        <f t="shared" si="13"/>
        <v>2024-01-17</v>
      </c>
      <c r="H235">
        <f t="shared" si="14"/>
        <v>0</v>
      </c>
      <c r="J235" t="str">
        <f>K235&amp;L235</f>
        <v>Фролов Сергей ВикторовичПопова Наталья Станиславовна</v>
      </c>
      <c r="K235" t="s">
        <v>38</v>
      </c>
      <c r="L235" t="s">
        <v>178</v>
      </c>
      <c r="M235" t="s">
        <v>214</v>
      </c>
      <c r="N235" t="str">
        <f t="shared" si="15"/>
        <v>Громова Мария ИльиничнаВолкова Людмила Кирилловна</v>
      </c>
      <c r="O235" t="s">
        <v>43</v>
      </c>
      <c r="P235" t="s">
        <v>139</v>
      </c>
      <c r="Q235" t="s">
        <v>388</v>
      </c>
    </row>
    <row r="236" spans="4:17" x14ac:dyDescent="0.25">
      <c r="D236" t="s">
        <v>11</v>
      </c>
      <c r="E236" t="s">
        <v>144</v>
      </c>
      <c r="F236" t="str">
        <f t="shared" si="12"/>
        <v>2024-03-25</v>
      </c>
      <c r="G236" t="str">
        <f t="shared" si="13"/>
        <v>2024-03-25</v>
      </c>
      <c r="H236">
        <f t="shared" si="14"/>
        <v>0</v>
      </c>
      <c r="J236" t="str">
        <f>K236&amp;L236</f>
        <v>Иванова Анна СергеевнаВолкова Виктория Артемовна</v>
      </c>
      <c r="K236" t="s">
        <v>55</v>
      </c>
      <c r="L236" t="s">
        <v>159</v>
      </c>
      <c r="M236" t="s">
        <v>214</v>
      </c>
      <c r="N236" t="str">
        <f t="shared" si="15"/>
        <v>Иванова Анна СергеевнаПетров Михаил Павлович</v>
      </c>
      <c r="O236" t="s">
        <v>55</v>
      </c>
      <c r="P236" t="s">
        <v>15</v>
      </c>
      <c r="Q236" t="s">
        <v>388</v>
      </c>
    </row>
    <row r="237" spans="4:17" x14ac:dyDescent="0.25">
      <c r="D237" t="s">
        <v>11</v>
      </c>
      <c r="E237" t="s">
        <v>136</v>
      </c>
      <c r="F237" t="str">
        <f t="shared" si="12"/>
        <v>2023-10-16</v>
      </c>
      <c r="G237" t="str">
        <f t="shared" si="13"/>
        <v>2023-10-16</v>
      </c>
      <c r="H237">
        <f t="shared" si="14"/>
        <v>0</v>
      </c>
      <c r="J237" t="str">
        <f>K237&amp;L237</f>
        <v>Орлов Павел ДенисовичСтепанов Кирилл Алексеевич</v>
      </c>
      <c r="K237" t="s">
        <v>13</v>
      </c>
      <c r="L237" t="s">
        <v>200</v>
      </c>
      <c r="M237" t="s">
        <v>214</v>
      </c>
      <c r="N237" t="str">
        <f t="shared" si="15"/>
        <v>Сидорова Елена ВасильевнаВасильева Ксения Егоровна</v>
      </c>
      <c r="O237" t="s">
        <v>8</v>
      </c>
      <c r="P237" t="s">
        <v>220</v>
      </c>
      <c r="Q237" t="s">
        <v>388</v>
      </c>
    </row>
    <row r="238" spans="4:17" x14ac:dyDescent="0.25">
      <c r="D238" t="s">
        <v>11</v>
      </c>
      <c r="E238" t="s">
        <v>102</v>
      </c>
      <c r="F238" t="str">
        <f t="shared" si="12"/>
        <v>2024-05-21</v>
      </c>
      <c r="G238" t="str">
        <f t="shared" si="13"/>
        <v>2024-05-21</v>
      </c>
      <c r="H238">
        <f t="shared" si="14"/>
        <v>0</v>
      </c>
      <c r="J238" t="str">
        <f>K238&amp;L238</f>
        <v>Петров Владимир КирилловичКозлов Артур Сергеевич</v>
      </c>
      <c r="K238" t="s">
        <v>19</v>
      </c>
      <c r="L238" t="s">
        <v>215</v>
      </c>
      <c r="M238" t="s">
        <v>214</v>
      </c>
      <c r="N238" t="str">
        <f t="shared" si="15"/>
        <v>Иванова Анна СергеевнаСмирнов Роман Кириллович</v>
      </c>
      <c r="O238" t="s">
        <v>55</v>
      </c>
      <c r="P238" t="s">
        <v>125</v>
      </c>
      <c r="Q238" t="s">
        <v>388</v>
      </c>
    </row>
    <row r="239" spans="4:17" x14ac:dyDescent="0.25">
      <c r="D239" t="s">
        <v>11</v>
      </c>
      <c r="E239" t="s">
        <v>15</v>
      </c>
      <c r="F239" t="str">
        <f t="shared" si="12"/>
        <v>2023-09-04</v>
      </c>
      <c r="G239" t="str">
        <f t="shared" si="13"/>
        <v>2023-09-04</v>
      </c>
      <c r="H239">
        <f t="shared" si="14"/>
        <v>0</v>
      </c>
      <c r="J239" t="str">
        <f>K239&amp;L239</f>
        <v>Семенова Ирина ВалерьевнаВолкова София Александровна</v>
      </c>
      <c r="K239" t="s">
        <v>16</v>
      </c>
      <c r="L239" t="s">
        <v>112</v>
      </c>
      <c r="M239" t="s">
        <v>214</v>
      </c>
      <c r="N239" t="str">
        <f t="shared" si="15"/>
        <v>Семенова Ирина ВалерьевнаСеменов Иван Артемович</v>
      </c>
      <c r="O239" t="s">
        <v>16</v>
      </c>
      <c r="P239" t="s">
        <v>295</v>
      </c>
      <c r="Q239" t="s">
        <v>388</v>
      </c>
    </row>
    <row r="240" spans="4:17" x14ac:dyDescent="0.25">
      <c r="D240" t="s">
        <v>11</v>
      </c>
      <c r="E240" t="s">
        <v>75</v>
      </c>
      <c r="F240" t="str">
        <f t="shared" si="12"/>
        <v>2024-08-13</v>
      </c>
      <c r="G240" t="str">
        <f t="shared" si="13"/>
        <v>2024-08-13</v>
      </c>
      <c r="H240">
        <f t="shared" si="14"/>
        <v>0</v>
      </c>
      <c r="J240" t="str">
        <f>K240&amp;L240</f>
        <v>Громова Мария ИльиничнаКузнецов Алексей Олегович</v>
      </c>
      <c r="K240" t="s">
        <v>43</v>
      </c>
      <c r="L240" t="s">
        <v>216</v>
      </c>
      <c r="M240" t="s">
        <v>214</v>
      </c>
      <c r="N240" t="str">
        <f t="shared" si="15"/>
        <v>Орлов Павел ДенисовичПетров Михаил Павлович</v>
      </c>
      <c r="O240" t="s">
        <v>13</v>
      </c>
      <c r="P240" t="s">
        <v>15</v>
      </c>
      <c r="Q240" t="s">
        <v>388</v>
      </c>
    </row>
    <row r="241" spans="4:17" x14ac:dyDescent="0.25">
      <c r="D241" t="s">
        <v>11</v>
      </c>
      <c r="E241" t="s">
        <v>275</v>
      </c>
      <c r="F241" t="str">
        <f t="shared" si="12"/>
        <v>2024-01-22</v>
      </c>
      <c r="G241" t="str">
        <f t="shared" si="13"/>
        <v>2024-04-29</v>
      </c>
      <c r="H241">
        <f t="shared" si="14"/>
        <v>98</v>
      </c>
      <c r="J241" t="str">
        <f>K241&amp;L241</f>
        <v>Ткаченко Андрей ОлеговичСидорова София Александровна</v>
      </c>
      <c r="K241" t="s">
        <v>26</v>
      </c>
      <c r="L241" t="s">
        <v>118</v>
      </c>
      <c r="M241" t="s">
        <v>214</v>
      </c>
      <c r="N241" t="str">
        <f t="shared" si="15"/>
        <v>Сидорова Елена ВасильевнаПетрова Алиса Егоровна</v>
      </c>
      <c r="O241" t="s">
        <v>8</v>
      </c>
      <c r="P241" t="s">
        <v>109</v>
      </c>
      <c r="Q241" t="s">
        <v>388</v>
      </c>
    </row>
    <row r="242" spans="4:17" x14ac:dyDescent="0.25">
      <c r="D242" t="s">
        <v>11</v>
      </c>
      <c r="E242" t="s">
        <v>246</v>
      </c>
      <c r="F242" t="str">
        <f t="shared" si="12"/>
        <v>2024-06-26</v>
      </c>
      <c r="G242" t="str">
        <f t="shared" si="13"/>
        <v>2024-06-26</v>
      </c>
      <c r="H242">
        <f t="shared" si="14"/>
        <v>0</v>
      </c>
      <c r="J242" t="str">
        <f>K242&amp;L242</f>
        <v>Громова Мария ИльиничнаПопов Никита Андреевич</v>
      </c>
      <c r="K242" t="s">
        <v>43</v>
      </c>
      <c r="L242" t="s">
        <v>165</v>
      </c>
      <c r="M242" t="s">
        <v>214</v>
      </c>
      <c r="N242" t="str">
        <f t="shared" si="15"/>
        <v>Петров Владимир КирилловичПетров Артем Егорович</v>
      </c>
      <c r="O242" t="s">
        <v>19</v>
      </c>
      <c r="P242" t="s">
        <v>136</v>
      </c>
      <c r="Q242" t="s">
        <v>388</v>
      </c>
    </row>
    <row r="243" spans="4:17" x14ac:dyDescent="0.25">
      <c r="D243" t="s">
        <v>11</v>
      </c>
      <c r="E243" t="s">
        <v>184</v>
      </c>
      <c r="F243" t="str">
        <f t="shared" si="12"/>
        <v>2024-05-27</v>
      </c>
      <c r="G243" t="str">
        <f t="shared" si="13"/>
        <v>2024-05-27</v>
      </c>
      <c r="H243">
        <f t="shared" si="14"/>
        <v>0</v>
      </c>
      <c r="J243" t="str">
        <f>K243&amp;L243</f>
        <v>Петров Владимир КирилловичФедоров Владимир Артемович</v>
      </c>
      <c r="K243" t="s">
        <v>19</v>
      </c>
      <c r="L243" t="s">
        <v>217</v>
      </c>
      <c r="M243" t="s">
        <v>214</v>
      </c>
      <c r="N243" t="str">
        <f t="shared" si="15"/>
        <v>Яковлев Артем ИгоревичСмирнова Екатерина Геннадьевна</v>
      </c>
      <c r="O243" t="s">
        <v>21</v>
      </c>
      <c r="P243" t="s">
        <v>169</v>
      </c>
      <c r="Q243" t="s">
        <v>387</v>
      </c>
    </row>
    <row r="244" spans="4:17" x14ac:dyDescent="0.25">
      <c r="D244" t="s">
        <v>11</v>
      </c>
      <c r="E244" t="s">
        <v>119</v>
      </c>
      <c r="F244" t="str">
        <f t="shared" si="12"/>
        <v>2023-10-09</v>
      </c>
      <c r="G244" t="str">
        <f t="shared" si="13"/>
        <v>2023-10-20</v>
      </c>
      <c r="H244">
        <f t="shared" si="14"/>
        <v>11</v>
      </c>
      <c r="J244" t="str">
        <f>K244&amp;L244</f>
        <v>Кузнецов Дмитрий ЛьвовичСидоров Кирилл Михайлович</v>
      </c>
      <c r="K244" t="s">
        <v>11</v>
      </c>
      <c r="L244" t="s">
        <v>59</v>
      </c>
      <c r="M244" t="s">
        <v>218</v>
      </c>
      <c r="N244" t="str">
        <f t="shared" si="15"/>
        <v>Новикова Ольга ПетровнаНиколаев Александр Ильич</v>
      </c>
      <c r="O244" t="s">
        <v>29</v>
      </c>
      <c r="P244" t="s">
        <v>89</v>
      </c>
      <c r="Q244" t="s">
        <v>386</v>
      </c>
    </row>
    <row r="245" spans="4:17" x14ac:dyDescent="0.25">
      <c r="D245" t="s">
        <v>11</v>
      </c>
      <c r="E245" t="s">
        <v>61</v>
      </c>
      <c r="F245" t="str">
        <f t="shared" si="12"/>
        <v>2023-11-14</v>
      </c>
      <c r="G245" t="str">
        <f t="shared" si="13"/>
        <v>2023-11-14</v>
      </c>
      <c r="H245">
        <f t="shared" si="14"/>
        <v>0</v>
      </c>
      <c r="J245" t="str">
        <f>K245&amp;L245</f>
        <v>Иванова Анна СергеевнаЛебедева Валерия Геннадьевна</v>
      </c>
      <c r="K245" t="s">
        <v>55</v>
      </c>
      <c r="L245" t="s">
        <v>177</v>
      </c>
      <c r="M245" t="s">
        <v>218</v>
      </c>
      <c r="N245" t="str">
        <f t="shared" si="15"/>
        <v>Громова Мария ИльиничнаОрлов Андрей Никитич</v>
      </c>
      <c r="O245" t="s">
        <v>43</v>
      </c>
      <c r="P245" t="s">
        <v>111</v>
      </c>
      <c r="Q245" t="s">
        <v>386</v>
      </c>
    </row>
    <row r="246" spans="4:17" x14ac:dyDescent="0.25">
      <c r="D246" t="s">
        <v>11</v>
      </c>
      <c r="E246" t="s">
        <v>165</v>
      </c>
      <c r="F246" t="str">
        <f t="shared" si="12"/>
        <v>2024-04-01</v>
      </c>
      <c r="G246" t="str">
        <f t="shared" si="13"/>
        <v>2024-07-01</v>
      </c>
      <c r="H246">
        <f t="shared" si="14"/>
        <v>91</v>
      </c>
      <c r="J246" t="str">
        <f>K246&amp;L246</f>
        <v>Семенова Ирина ВалерьевнаНиколаев Андрей Ильич</v>
      </c>
      <c r="K246" t="s">
        <v>16</v>
      </c>
      <c r="L246" t="s">
        <v>63</v>
      </c>
      <c r="M246" t="s">
        <v>218</v>
      </c>
      <c r="N246" t="str">
        <f t="shared" si="15"/>
        <v>Фролов Сергей ВикторовичФедоров Максим Андреевич</v>
      </c>
      <c r="O246" t="s">
        <v>38</v>
      </c>
      <c r="P246" t="s">
        <v>97</v>
      </c>
      <c r="Q246" t="s">
        <v>386</v>
      </c>
    </row>
    <row r="247" spans="4:17" x14ac:dyDescent="0.25">
      <c r="D247" t="s">
        <v>11</v>
      </c>
      <c r="E247" t="s">
        <v>178</v>
      </c>
      <c r="F247" t="str">
        <f t="shared" si="12"/>
        <v>2024-08-12</v>
      </c>
      <c r="G247" t="str">
        <f t="shared" si="13"/>
        <v>2024-08-12</v>
      </c>
      <c r="H247">
        <f t="shared" si="14"/>
        <v>0</v>
      </c>
      <c r="J247" t="str">
        <f>K247&amp;L247</f>
        <v>Яковлев Артем ИгоревичСеменов Никита Александрович</v>
      </c>
      <c r="K247" t="s">
        <v>21</v>
      </c>
      <c r="L247" t="s">
        <v>73</v>
      </c>
      <c r="M247" t="s">
        <v>218</v>
      </c>
      <c r="N247" t="str">
        <f t="shared" si="15"/>
        <v>Фролов Сергей ВикторовичСмирнова Елена Олеговна</v>
      </c>
      <c r="O247" t="s">
        <v>38</v>
      </c>
      <c r="P247" t="s">
        <v>22</v>
      </c>
      <c r="Q247" t="s">
        <v>386</v>
      </c>
    </row>
    <row r="248" spans="4:17" x14ac:dyDescent="0.25">
      <c r="D248" t="s">
        <v>11</v>
      </c>
      <c r="E248" t="s">
        <v>248</v>
      </c>
      <c r="F248" t="str">
        <f t="shared" si="12"/>
        <v>2024-08-16</v>
      </c>
      <c r="G248" t="str">
        <f t="shared" si="13"/>
        <v>2024-08-16</v>
      </c>
      <c r="H248">
        <f t="shared" si="14"/>
        <v>0</v>
      </c>
      <c r="J248" t="str">
        <f>K248&amp;L248</f>
        <v>Фролов Сергей ВикторовичСидорова София Артемовна</v>
      </c>
      <c r="K248" t="s">
        <v>38</v>
      </c>
      <c r="L248" t="s">
        <v>45</v>
      </c>
      <c r="M248" t="s">
        <v>219</v>
      </c>
      <c r="N248" t="str">
        <f t="shared" si="15"/>
        <v>Сидорова Елена ВасильевнаНиколаева Анна Михайловна</v>
      </c>
      <c r="O248" t="s">
        <v>8</v>
      </c>
      <c r="P248" t="s">
        <v>129</v>
      </c>
      <c r="Q248" t="s">
        <v>386</v>
      </c>
    </row>
    <row r="249" spans="4:17" x14ac:dyDescent="0.25">
      <c r="D249" t="s">
        <v>11</v>
      </c>
      <c r="E249" t="s">
        <v>311</v>
      </c>
      <c r="F249" t="str">
        <f t="shared" si="12"/>
        <v>2024-03-04</v>
      </c>
      <c r="G249" t="str">
        <f t="shared" si="13"/>
        <v>2024-03-04</v>
      </c>
      <c r="H249">
        <f t="shared" si="14"/>
        <v>0</v>
      </c>
      <c r="J249" t="str">
        <f>K249&amp;L249</f>
        <v>Новикова Ольга ПетровнаСеменова Полина Сергеевна</v>
      </c>
      <c r="K249" t="s">
        <v>29</v>
      </c>
      <c r="L249" t="s">
        <v>183</v>
      </c>
      <c r="M249" t="s">
        <v>219</v>
      </c>
      <c r="N249" t="str">
        <f t="shared" si="15"/>
        <v>Фролов Сергей ВикторовичКузнецов Михаил Иванович</v>
      </c>
      <c r="O249" t="s">
        <v>38</v>
      </c>
      <c r="P249" t="s">
        <v>207</v>
      </c>
      <c r="Q249" t="s">
        <v>385</v>
      </c>
    </row>
    <row r="250" spans="4:17" x14ac:dyDescent="0.25">
      <c r="D250" t="s">
        <v>11</v>
      </c>
      <c r="E250" t="s">
        <v>94</v>
      </c>
      <c r="F250" t="str">
        <f t="shared" si="12"/>
        <v>2024-02-27</v>
      </c>
      <c r="G250" t="str">
        <f t="shared" si="13"/>
        <v>2024-02-27</v>
      </c>
      <c r="H250">
        <f t="shared" si="14"/>
        <v>0</v>
      </c>
      <c r="J250" t="str">
        <f>K250&amp;L250</f>
        <v>Орлов Павел ДенисовичВасильева Ксения Егоровна</v>
      </c>
      <c r="K250" t="s">
        <v>13</v>
      </c>
      <c r="L250" t="s">
        <v>220</v>
      </c>
      <c r="M250" t="s">
        <v>219</v>
      </c>
      <c r="N250" t="str">
        <f t="shared" si="15"/>
        <v>Яковлев Артем ИгоревичФедоров Максим Андреевич</v>
      </c>
      <c r="O250" t="s">
        <v>21</v>
      </c>
      <c r="P250" t="s">
        <v>97</v>
      </c>
      <c r="Q250" t="s">
        <v>385</v>
      </c>
    </row>
    <row r="251" spans="4:17" x14ac:dyDescent="0.25">
      <c r="D251" t="s">
        <v>11</v>
      </c>
      <c r="E251" t="s">
        <v>227</v>
      </c>
      <c r="F251" t="str">
        <f t="shared" si="12"/>
        <v>2024-02-19</v>
      </c>
      <c r="G251" t="str">
        <f t="shared" si="13"/>
        <v>2024-02-19</v>
      </c>
      <c r="H251">
        <f t="shared" si="14"/>
        <v>0</v>
      </c>
      <c r="J251" t="str">
        <f>K251&amp;L251</f>
        <v>Белов Алексей КонстантиновичЕгоров Илья Андреевич</v>
      </c>
      <c r="K251" t="s">
        <v>5</v>
      </c>
      <c r="L251" t="s">
        <v>221</v>
      </c>
      <c r="M251" t="s">
        <v>219</v>
      </c>
      <c r="N251" t="str">
        <f t="shared" si="15"/>
        <v>Орлов Павел ДенисовичВолков Алексей Никитич</v>
      </c>
      <c r="O251" t="s">
        <v>13</v>
      </c>
      <c r="P251" t="s">
        <v>187</v>
      </c>
      <c r="Q251" t="s">
        <v>384</v>
      </c>
    </row>
    <row r="252" spans="4:17" x14ac:dyDescent="0.25">
      <c r="D252" t="s">
        <v>11</v>
      </c>
      <c r="E252" t="s">
        <v>59</v>
      </c>
      <c r="F252" t="str">
        <f t="shared" si="12"/>
        <v>2023-11-28</v>
      </c>
      <c r="G252" t="str">
        <f t="shared" si="13"/>
        <v>2023-11-28</v>
      </c>
      <c r="H252">
        <f t="shared" si="14"/>
        <v>0</v>
      </c>
      <c r="J252" t="str">
        <f>K252&amp;L252</f>
        <v>Громова Мария ИльиничнаФедорова Екатерина Владимировна</v>
      </c>
      <c r="K252" t="s">
        <v>43</v>
      </c>
      <c r="L252" t="s">
        <v>25</v>
      </c>
      <c r="M252" t="s">
        <v>222</v>
      </c>
      <c r="N252" t="str">
        <f t="shared" si="15"/>
        <v>Громова Мария ИльиничнаИванов Андрей Дмитриевич</v>
      </c>
      <c r="O252" t="s">
        <v>43</v>
      </c>
      <c r="P252" t="s">
        <v>328</v>
      </c>
      <c r="Q252" t="s">
        <v>384</v>
      </c>
    </row>
    <row r="253" spans="4:17" x14ac:dyDescent="0.25">
      <c r="D253" t="s">
        <v>11</v>
      </c>
      <c r="E253" t="s">
        <v>194</v>
      </c>
      <c r="F253" t="str">
        <f t="shared" si="12"/>
        <v>2024-03-06</v>
      </c>
      <c r="G253" t="str">
        <f t="shared" si="13"/>
        <v>2024-03-06</v>
      </c>
      <c r="H253">
        <f t="shared" si="14"/>
        <v>0</v>
      </c>
      <c r="J253" t="str">
        <f>K253&amp;L253</f>
        <v>Новикова Ольга ПетровнаВолкова Анна Викторовна</v>
      </c>
      <c r="K253" t="s">
        <v>29</v>
      </c>
      <c r="L253" t="s">
        <v>42</v>
      </c>
      <c r="M253" t="s">
        <v>222</v>
      </c>
      <c r="N253" t="str">
        <f t="shared" si="15"/>
        <v>Кузнецов Дмитрий ЛьвовичНовикова София Ивановна</v>
      </c>
      <c r="O253" t="s">
        <v>11</v>
      </c>
      <c r="P253" t="s">
        <v>33</v>
      </c>
      <c r="Q253" t="s">
        <v>384</v>
      </c>
    </row>
    <row r="254" spans="4:17" x14ac:dyDescent="0.25">
      <c r="D254" t="s">
        <v>11</v>
      </c>
      <c r="E254" t="s">
        <v>45</v>
      </c>
      <c r="F254" t="str">
        <f t="shared" si="12"/>
        <v>2024-01-08</v>
      </c>
      <c r="G254" t="str">
        <f t="shared" si="13"/>
        <v>2024-01-08</v>
      </c>
      <c r="H254">
        <f t="shared" si="14"/>
        <v>0</v>
      </c>
      <c r="J254" t="str">
        <f>K254&amp;L254</f>
        <v>Петров Владимир КирилловичФедорова Екатерина Владимировна</v>
      </c>
      <c r="K254" t="s">
        <v>19</v>
      </c>
      <c r="L254" t="s">
        <v>25</v>
      </c>
      <c r="M254" t="s">
        <v>222</v>
      </c>
      <c r="N254" t="str">
        <f t="shared" si="15"/>
        <v>Орлов Павел ДенисовичОрлов Владимир Никитич</v>
      </c>
      <c r="O254" t="s">
        <v>13</v>
      </c>
      <c r="P254" t="s">
        <v>32</v>
      </c>
      <c r="Q254" t="s">
        <v>384</v>
      </c>
    </row>
    <row r="255" spans="4:17" x14ac:dyDescent="0.25">
      <c r="D255" t="s">
        <v>11</v>
      </c>
      <c r="E255" t="s">
        <v>12</v>
      </c>
      <c r="F255" t="str">
        <f t="shared" si="12"/>
        <v>2023-09-04</v>
      </c>
      <c r="G255" t="str">
        <f t="shared" si="13"/>
        <v>2023-09-04</v>
      </c>
      <c r="H255">
        <f t="shared" si="14"/>
        <v>0</v>
      </c>
      <c r="J255" t="str">
        <f>K255&amp;L255</f>
        <v>Ткаченко Андрей ОлеговичАлексеева Юлия Никитична</v>
      </c>
      <c r="K255" t="s">
        <v>26</v>
      </c>
      <c r="L255" t="s">
        <v>93</v>
      </c>
      <c r="M255" t="s">
        <v>223</v>
      </c>
      <c r="N255" t="str">
        <f t="shared" si="15"/>
        <v>Яковлев Артем ИгоревичЕгоров Сергей Андреевич</v>
      </c>
      <c r="O255" t="s">
        <v>21</v>
      </c>
      <c r="P255" t="s">
        <v>49</v>
      </c>
      <c r="Q255" t="s">
        <v>384</v>
      </c>
    </row>
    <row r="256" spans="4:17" x14ac:dyDescent="0.25">
      <c r="D256" t="s">
        <v>11</v>
      </c>
      <c r="E256" t="s">
        <v>44</v>
      </c>
      <c r="F256" t="str">
        <f t="shared" si="12"/>
        <v>2023-09-25</v>
      </c>
      <c r="G256" t="str">
        <f t="shared" si="13"/>
        <v>2024-03-29</v>
      </c>
      <c r="H256">
        <f t="shared" si="14"/>
        <v>186</v>
      </c>
      <c r="J256" t="str">
        <f>K256&amp;L256</f>
        <v>Фролов Сергей ВикторовичАлексеев Никита Алексеевич</v>
      </c>
      <c r="K256" t="s">
        <v>38</v>
      </c>
      <c r="L256" t="s">
        <v>171</v>
      </c>
      <c r="M256" t="s">
        <v>223</v>
      </c>
      <c r="N256" t="str">
        <f t="shared" si="15"/>
        <v>Семенова Ирина ВалерьевнаПетрова Виктория Юрьевна</v>
      </c>
      <c r="O256" t="s">
        <v>16</v>
      </c>
      <c r="P256" t="s">
        <v>71</v>
      </c>
      <c r="Q256" t="s">
        <v>384</v>
      </c>
    </row>
    <row r="257" spans="4:17" x14ac:dyDescent="0.25">
      <c r="D257" t="s">
        <v>11</v>
      </c>
      <c r="E257" t="s">
        <v>293</v>
      </c>
      <c r="F257" t="str">
        <f t="shared" si="12"/>
        <v>2024-08-01</v>
      </c>
      <c r="G257" t="str">
        <f t="shared" si="13"/>
        <v>2024-08-01</v>
      </c>
      <c r="H257">
        <f t="shared" si="14"/>
        <v>0</v>
      </c>
      <c r="J257" t="str">
        <f>K257&amp;L257</f>
        <v>Кузнецов Дмитрий ЛьвовичКозлова Александра Андреевна</v>
      </c>
      <c r="K257" t="s">
        <v>11</v>
      </c>
      <c r="L257" t="s">
        <v>34</v>
      </c>
      <c r="M257" t="s">
        <v>224</v>
      </c>
      <c r="N257" t="str">
        <f t="shared" si="15"/>
        <v>Ткаченко Андрей ОлеговичИванов Андрей Дмитриевич</v>
      </c>
      <c r="O257" t="s">
        <v>26</v>
      </c>
      <c r="P257" t="s">
        <v>328</v>
      </c>
      <c r="Q257" t="s">
        <v>384</v>
      </c>
    </row>
    <row r="258" spans="4:17" x14ac:dyDescent="0.25">
      <c r="D258" t="s">
        <v>11</v>
      </c>
      <c r="E258" t="s">
        <v>237</v>
      </c>
      <c r="F258" t="str">
        <f t="shared" si="12"/>
        <v>2024-05-27</v>
      </c>
      <c r="G258" t="str">
        <f t="shared" si="13"/>
        <v>2024-05-27</v>
      </c>
      <c r="H258">
        <f t="shared" si="14"/>
        <v>0</v>
      </c>
      <c r="J258" t="str">
        <f>K258&amp;L258</f>
        <v>Семенова Ирина ВалерьевнаСмирнова Екатерина Ивановна</v>
      </c>
      <c r="K258" t="s">
        <v>16</v>
      </c>
      <c r="L258" t="s">
        <v>28</v>
      </c>
      <c r="M258" t="s">
        <v>224</v>
      </c>
      <c r="N258" t="str">
        <f t="shared" si="15"/>
        <v>Орлов Павел ДенисовичНовиков Павел Сергеевич</v>
      </c>
      <c r="O258" t="s">
        <v>13</v>
      </c>
      <c r="P258" t="s">
        <v>145</v>
      </c>
      <c r="Q258" t="s">
        <v>383</v>
      </c>
    </row>
    <row r="259" spans="4:17" x14ac:dyDescent="0.25">
      <c r="D259" t="s">
        <v>11</v>
      </c>
      <c r="E259" t="s">
        <v>217</v>
      </c>
      <c r="F259" t="str">
        <f t="shared" ref="F259:F322" si="16">VLOOKUP(D259&amp;E259,J:M,4,0)</f>
        <v>2024-02-29</v>
      </c>
      <c r="G259" t="str">
        <f t="shared" ref="G259:G322" si="17">VLOOKUP(D259&amp;E259,N:Q,4,0)</f>
        <v>2024-08-13</v>
      </c>
      <c r="H259">
        <f t="shared" ref="H259:H322" si="18">G259-F259</f>
        <v>166</v>
      </c>
      <c r="J259" t="str">
        <f>K259&amp;L259</f>
        <v>Громова Мария ИльиничнаПетров Артем Егорович</v>
      </c>
      <c r="K259" t="s">
        <v>43</v>
      </c>
      <c r="L259" t="s">
        <v>136</v>
      </c>
      <c r="M259" t="s">
        <v>224</v>
      </c>
      <c r="N259" t="str">
        <f t="shared" ref="N259:N322" si="19">O259&amp;P259</f>
        <v>Иванова Анна СергеевнаСмирнова Валерия Станиславовна</v>
      </c>
      <c r="O259" t="s">
        <v>55</v>
      </c>
      <c r="P259" t="s">
        <v>12</v>
      </c>
      <c r="Q259" t="s">
        <v>383</v>
      </c>
    </row>
    <row r="260" spans="4:17" x14ac:dyDescent="0.25">
      <c r="D260" t="s">
        <v>11</v>
      </c>
      <c r="E260" t="s">
        <v>97</v>
      </c>
      <c r="F260" t="str">
        <f t="shared" si="16"/>
        <v>2023-12-25</v>
      </c>
      <c r="G260" t="str">
        <f t="shared" si="17"/>
        <v>2023-12-25</v>
      </c>
      <c r="H260">
        <f t="shared" si="18"/>
        <v>0</v>
      </c>
      <c r="J260" t="str">
        <f>K260&amp;L260</f>
        <v>Ткаченко Андрей ОлеговичСмирнова Екатерина Геннадьевна</v>
      </c>
      <c r="K260" t="s">
        <v>26</v>
      </c>
      <c r="L260" t="s">
        <v>169</v>
      </c>
      <c r="M260" t="s">
        <v>224</v>
      </c>
      <c r="N260" t="str">
        <f t="shared" si="19"/>
        <v>Фролов Сергей ВикторовичФедорова Татьяна Викторовна</v>
      </c>
      <c r="O260" t="s">
        <v>38</v>
      </c>
      <c r="P260" t="s">
        <v>104</v>
      </c>
      <c r="Q260" t="s">
        <v>383</v>
      </c>
    </row>
    <row r="261" spans="4:17" x14ac:dyDescent="0.25">
      <c r="D261" t="s">
        <v>11</v>
      </c>
      <c r="E261" t="s">
        <v>305</v>
      </c>
      <c r="F261" t="str">
        <f t="shared" si="16"/>
        <v>2024-02-23</v>
      </c>
      <c r="G261" t="str">
        <f t="shared" si="17"/>
        <v>2024-07-24</v>
      </c>
      <c r="H261">
        <f t="shared" si="18"/>
        <v>152</v>
      </c>
      <c r="J261" t="str">
        <f>K261&amp;L261</f>
        <v>Громова Мария ИльиничнаПопов Павел Артемович</v>
      </c>
      <c r="K261" t="s">
        <v>43</v>
      </c>
      <c r="L261" t="s">
        <v>158</v>
      </c>
      <c r="M261" t="s">
        <v>224</v>
      </c>
      <c r="N261" t="str">
        <f t="shared" si="19"/>
        <v>Новикова Ольга ПетровнаПетрова Ольга Сергеевна</v>
      </c>
      <c r="O261" t="s">
        <v>29</v>
      </c>
      <c r="P261" t="s">
        <v>119</v>
      </c>
      <c r="Q261" t="s">
        <v>382</v>
      </c>
    </row>
    <row r="262" spans="4:17" x14ac:dyDescent="0.25">
      <c r="D262" t="s">
        <v>29</v>
      </c>
      <c r="E262" t="s">
        <v>190</v>
      </c>
      <c r="F262" t="str">
        <f t="shared" si="16"/>
        <v>2024-03-25</v>
      </c>
      <c r="G262" t="str">
        <f t="shared" si="17"/>
        <v>2024-03-25</v>
      </c>
      <c r="H262">
        <f t="shared" si="18"/>
        <v>0</v>
      </c>
      <c r="J262" t="str">
        <f>K262&amp;L262</f>
        <v>Новикова Ольга ПетровнаЛебедев Михаил Кириллович</v>
      </c>
      <c r="K262" t="s">
        <v>29</v>
      </c>
      <c r="L262" t="s">
        <v>40</v>
      </c>
      <c r="M262" t="s">
        <v>225</v>
      </c>
      <c r="N262" t="str">
        <f t="shared" si="19"/>
        <v>Петров Владимир КирилловичПопов Георгий Ильич</v>
      </c>
      <c r="O262" t="s">
        <v>19</v>
      </c>
      <c r="P262" t="s">
        <v>148</v>
      </c>
      <c r="Q262" t="s">
        <v>381</v>
      </c>
    </row>
    <row r="263" spans="4:17" x14ac:dyDescent="0.25">
      <c r="D263" t="s">
        <v>29</v>
      </c>
      <c r="E263" t="s">
        <v>171</v>
      </c>
      <c r="F263" t="str">
        <f t="shared" si="16"/>
        <v>2023-12-18</v>
      </c>
      <c r="G263" t="str">
        <f t="shared" si="17"/>
        <v>2023-12-18</v>
      </c>
      <c r="H263">
        <f t="shared" si="18"/>
        <v>0</v>
      </c>
      <c r="J263" t="str">
        <f>K263&amp;L263</f>
        <v>Ткаченко Андрей ОлеговичФедорова Екатерина Владимировна</v>
      </c>
      <c r="K263" t="s">
        <v>26</v>
      </c>
      <c r="L263" t="s">
        <v>25</v>
      </c>
      <c r="M263" t="s">
        <v>225</v>
      </c>
      <c r="N263" t="str">
        <f t="shared" si="19"/>
        <v>Семенова Ирина ВалерьевнаПавлов Андрей Владимирович</v>
      </c>
      <c r="O263" t="s">
        <v>16</v>
      </c>
      <c r="P263" t="s">
        <v>199</v>
      </c>
      <c r="Q263" t="s">
        <v>381</v>
      </c>
    </row>
    <row r="264" spans="4:17" x14ac:dyDescent="0.25">
      <c r="D264" t="s">
        <v>29</v>
      </c>
      <c r="E264" t="s">
        <v>353</v>
      </c>
      <c r="F264" t="str">
        <f t="shared" si="16"/>
        <v>2024-04-22</v>
      </c>
      <c r="G264" t="str">
        <f t="shared" si="17"/>
        <v>2024-04-22</v>
      </c>
      <c r="H264">
        <f t="shared" si="18"/>
        <v>0</v>
      </c>
      <c r="J264" t="str">
        <f>K264&amp;L264</f>
        <v>Кузнецов Дмитрий ЛьвовичКузнецов Александр Романович</v>
      </c>
      <c r="K264" t="s">
        <v>11</v>
      </c>
      <c r="L264" t="s">
        <v>78</v>
      </c>
      <c r="M264" t="s">
        <v>225</v>
      </c>
      <c r="N264" t="str">
        <f t="shared" si="19"/>
        <v>Иванова Анна СергеевнаПопова Наталья Станиславовна</v>
      </c>
      <c r="O264" t="s">
        <v>55</v>
      </c>
      <c r="P264" t="s">
        <v>178</v>
      </c>
      <c r="Q264" t="s">
        <v>381</v>
      </c>
    </row>
    <row r="265" spans="4:17" x14ac:dyDescent="0.25">
      <c r="D265" t="s">
        <v>29</v>
      </c>
      <c r="E265" t="s">
        <v>151</v>
      </c>
      <c r="F265" t="str">
        <f t="shared" si="16"/>
        <v>2024-01-23</v>
      </c>
      <c r="G265" t="str">
        <f t="shared" si="17"/>
        <v>2024-07-22</v>
      </c>
      <c r="H265">
        <f t="shared" si="18"/>
        <v>181</v>
      </c>
      <c r="J265" t="str">
        <f>K265&amp;L265</f>
        <v>Орлов Павел ДенисовичКузнецов Егор Андреевич</v>
      </c>
      <c r="K265" t="s">
        <v>13</v>
      </c>
      <c r="L265" t="s">
        <v>30</v>
      </c>
      <c r="M265" t="s">
        <v>226</v>
      </c>
      <c r="N265" t="str">
        <f t="shared" si="19"/>
        <v>Сидорова Елена ВасильевнаВасильева Ксения Егоровна</v>
      </c>
      <c r="O265" t="s">
        <v>8</v>
      </c>
      <c r="P265" t="s">
        <v>220</v>
      </c>
      <c r="Q265" t="s">
        <v>381</v>
      </c>
    </row>
    <row r="266" spans="4:17" x14ac:dyDescent="0.25">
      <c r="D266" t="s">
        <v>29</v>
      </c>
      <c r="E266" t="s">
        <v>68</v>
      </c>
      <c r="F266" t="str">
        <f t="shared" si="16"/>
        <v>2023-11-23</v>
      </c>
      <c r="G266" t="str">
        <f t="shared" si="17"/>
        <v>2023-11-23</v>
      </c>
      <c r="H266">
        <f t="shared" si="18"/>
        <v>0</v>
      </c>
      <c r="J266" t="str">
        <f>K266&amp;L266</f>
        <v>Ткаченко Андрей ОлеговичСеменова София Алексеевна</v>
      </c>
      <c r="K266" t="s">
        <v>26</v>
      </c>
      <c r="L266" t="s">
        <v>227</v>
      </c>
      <c r="M266" t="s">
        <v>226</v>
      </c>
      <c r="N266" t="str">
        <f t="shared" si="19"/>
        <v>Яковлев Артем ИгоревичПопов Георгий Егорович</v>
      </c>
      <c r="O266" t="s">
        <v>21</v>
      </c>
      <c r="P266" t="s">
        <v>61</v>
      </c>
      <c r="Q266" t="s">
        <v>381</v>
      </c>
    </row>
    <row r="267" spans="4:17" x14ac:dyDescent="0.25">
      <c r="D267" t="s">
        <v>29</v>
      </c>
      <c r="E267" t="s">
        <v>220</v>
      </c>
      <c r="F267" t="str">
        <f t="shared" si="16"/>
        <v>2024-08-19</v>
      </c>
      <c r="G267" t="str">
        <f t="shared" si="17"/>
        <v>2024-08-19</v>
      </c>
      <c r="H267">
        <f t="shared" si="18"/>
        <v>0</v>
      </c>
      <c r="J267" t="str">
        <f>K267&amp;L267</f>
        <v>Белов Алексей КонстантиновичКозлов Роман Егорович</v>
      </c>
      <c r="K267" t="s">
        <v>5</v>
      </c>
      <c r="L267" t="s">
        <v>134</v>
      </c>
      <c r="M267" t="s">
        <v>226</v>
      </c>
      <c r="N267" t="str">
        <f t="shared" si="19"/>
        <v>Белов Алексей КонстантиновичПетров Павел Юрьевич</v>
      </c>
      <c r="O267" t="s">
        <v>5</v>
      </c>
      <c r="P267" t="s">
        <v>206</v>
      </c>
      <c r="Q267" t="s">
        <v>381</v>
      </c>
    </row>
    <row r="268" spans="4:17" x14ac:dyDescent="0.25">
      <c r="D268" t="s">
        <v>29</v>
      </c>
      <c r="E268" t="s">
        <v>51</v>
      </c>
      <c r="F268" t="str">
        <f t="shared" si="16"/>
        <v>2023-09-11</v>
      </c>
      <c r="G268" t="str">
        <f t="shared" si="17"/>
        <v>2024-07-25</v>
      </c>
      <c r="H268">
        <f t="shared" si="18"/>
        <v>318</v>
      </c>
      <c r="J268" t="str">
        <f>K268&amp;L268</f>
        <v>Яковлев Артем ИгоревичПетров Михаил Павлович</v>
      </c>
      <c r="K268" t="s">
        <v>21</v>
      </c>
      <c r="L268" t="s">
        <v>15</v>
      </c>
      <c r="M268" t="s">
        <v>226</v>
      </c>
      <c r="N268" t="str">
        <f t="shared" si="19"/>
        <v>Ткаченко Андрей ОлеговичНовиков Иван Павлович</v>
      </c>
      <c r="O268" t="s">
        <v>26</v>
      </c>
      <c r="P268" t="s">
        <v>36</v>
      </c>
      <c r="Q268" t="s">
        <v>380</v>
      </c>
    </row>
    <row r="269" spans="4:17" x14ac:dyDescent="0.25">
      <c r="D269" t="s">
        <v>29</v>
      </c>
      <c r="E269" t="s">
        <v>187</v>
      </c>
      <c r="F269" t="str">
        <f t="shared" si="16"/>
        <v>2024-01-10</v>
      </c>
      <c r="G269" t="str">
        <f t="shared" si="17"/>
        <v>2024-01-10</v>
      </c>
      <c r="H269">
        <f t="shared" si="18"/>
        <v>0</v>
      </c>
      <c r="J269" t="str">
        <f>K269&amp;L269</f>
        <v>Яковлев Артем ИгоревичСмирнова Елена Олеговна</v>
      </c>
      <c r="K269" t="s">
        <v>21</v>
      </c>
      <c r="L269" t="s">
        <v>22</v>
      </c>
      <c r="M269" t="s">
        <v>228</v>
      </c>
      <c r="N269" t="str">
        <f t="shared" si="19"/>
        <v>Орлов Павел ДенисовичСмирнов Дмитрий Егорович</v>
      </c>
      <c r="O269" t="s">
        <v>13</v>
      </c>
      <c r="P269" t="s">
        <v>250</v>
      </c>
      <c r="Q269" t="s">
        <v>379</v>
      </c>
    </row>
    <row r="270" spans="4:17" x14ac:dyDescent="0.25">
      <c r="D270" t="s">
        <v>29</v>
      </c>
      <c r="E270" t="s">
        <v>74</v>
      </c>
      <c r="F270" t="str">
        <f t="shared" si="16"/>
        <v>2024-03-13</v>
      </c>
      <c r="G270" t="str">
        <f t="shared" si="17"/>
        <v>2024-08-19</v>
      </c>
      <c r="H270">
        <f t="shared" si="18"/>
        <v>159</v>
      </c>
      <c r="J270" t="str">
        <f>K270&amp;L270</f>
        <v>Орлов Павел ДенисовичКузнецов Алексей Олегович</v>
      </c>
      <c r="K270" t="s">
        <v>13</v>
      </c>
      <c r="L270" t="s">
        <v>216</v>
      </c>
      <c r="M270" t="s">
        <v>228</v>
      </c>
      <c r="N270" t="str">
        <f t="shared" si="19"/>
        <v>Кузнецов Дмитрий ЛьвовичВасильева Дарья Андреевна</v>
      </c>
      <c r="O270" t="s">
        <v>11</v>
      </c>
      <c r="P270" t="s">
        <v>57</v>
      </c>
      <c r="Q270" t="s">
        <v>379</v>
      </c>
    </row>
    <row r="271" spans="4:17" x14ac:dyDescent="0.25">
      <c r="D271" t="s">
        <v>29</v>
      </c>
      <c r="E271" t="s">
        <v>42</v>
      </c>
      <c r="F271" t="str">
        <f t="shared" si="16"/>
        <v>2023-12-01</v>
      </c>
      <c r="G271" t="str">
        <f t="shared" si="17"/>
        <v>2023-12-01</v>
      </c>
      <c r="H271">
        <f t="shared" si="18"/>
        <v>0</v>
      </c>
      <c r="J271" t="str">
        <f>K271&amp;L271</f>
        <v>Яковлев Артем ИгоревичОрлов Андрей Никитич</v>
      </c>
      <c r="K271" t="s">
        <v>21</v>
      </c>
      <c r="L271" t="s">
        <v>111</v>
      </c>
      <c r="M271" t="s">
        <v>229</v>
      </c>
      <c r="N271" t="str">
        <f t="shared" si="19"/>
        <v>Кузнецов Дмитрий ЛьвовичСтепанова Алиса Артемовна</v>
      </c>
      <c r="O271" t="s">
        <v>11</v>
      </c>
      <c r="P271" t="s">
        <v>237</v>
      </c>
      <c r="Q271" t="s">
        <v>379</v>
      </c>
    </row>
    <row r="272" spans="4:17" x14ac:dyDescent="0.25">
      <c r="D272" t="s">
        <v>29</v>
      </c>
      <c r="E272" t="s">
        <v>159</v>
      </c>
      <c r="F272" t="str">
        <f t="shared" si="16"/>
        <v>2024-04-22</v>
      </c>
      <c r="G272" t="str">
        <f t="shared" si="17"/>
        <v>2024-04-22</v>
      </c>
      <c r="H272">
        <f t="shared" si="18"/>
        <v>0</v>
      </c>
      <c r="J272" t="str">
        <f>K272&amp;L272</f>
        <v>Ткаченко Андрей ОлеговичСмирнова Екатерина Геннадьевна</v>
      </c>
      <c r="K272" t="s">
        <v>26</v>
      </c>
      <c r="L272" t="s">
        <v>169</v>
      </c>
      <c r="M272" t="s">
        <v>229</v>
      </c>
      <c r="N272" t="str">
        <f t="shared" si="19"/>
        <v>Сидорова Елена ВасильевнаЕгоров Алексей Михайлович</v>
      </c>
      <c r="O272" t="s">
        <v>8</v>
      </c>
      <c r="P272" t="s">
        <v>107</v>
      </c>
      <c r="Q272" t="s">
        <v>379</v>
      </c>
    </row>
    <row r="273" spans="4:17" x14ac:dyDescent="0.25">
      <c r="D273" t="s">
        <v>29</v>
      </c>
      <c r="E273" t="s">
        <v>112</v>
      </c>
      <c r="F273" t="str">
        <f t="shared" si="16"/>
        <v>2024-02-08</v>
      </c>
      <c r="G273" t="str">
        <f t="shared" si="17"/>
        <v>2024-02-08</v>
      </c>
      <c r="H273">
        <f t="shared" si="18"/>
        <v>0</v>
      </c>
      <c r="J273" t="str">
        <f>K273&amp;L273</f>
        <v>Петров Владимир КирилловичКузнецов Кирилл Александрович</v>
      </c>
      <c r="K273" t="s">
        <v>19</v>
      </c>
      <c r="L273" t="s">
        <v>92</v>
      </c>
      <c r="M273" t="s">
        <v>229</v>
      </c>
      <c r="N273" t="str">
        <f t="shared" si="19"/>
        <v>Фролов Сергей ВикторовичАлексеева Полина Викторовна</v>
      </c>
      <c r="O273" t="s">
        <v>38</v>
      </c>
      <c r="P273" t="s">
        <v>14</v>
      </c>
      <c r="Q273" t="s">
        <v>379</v>
      </c>
    </row>
    <row r="274" spans="4:17" x14ac:dyDescent="0.25">
      <c r="D274" t="s">
        <v>29</v>
      </c>
      <c r="E274" t="s">
        <v>181</v>
      </c>
      <c r="F274" t="str">
        <f t="shared" si="16"/>
        <v>2023-11-02</v>
      </c>
      <c r="G274" t="str">
        <f t="shared" si="17"/>
        <v>2024-01-19</v>
      </c>
      <c r="H274">
        <f t="shared" si="18"/>
        <v>78</v>
      </c>
      <c r="J274" t="str">
        <f>K274&amp;L274</f>
        <v>Новикова Ольга ПетровнаНиколаева Алиса Ильинична</v>
      </c>
      <c r="K274" t="s">
        <v>29</v>
      </c>
      <c r="L274" t="s">
        <v>67</v>
      </c>
      <c r="M274" t="s">
        <v>229</v>
      </c>
      <c r="N274" t="str">
        <f t="shared" si="19"/>
        <v>Кузнецов Дмитрий ЛьвовичПетрова Ольга Геннадьевна</v>
      </c>
      <c r="O274" t="s">
        <v>11</v>
      </c>
      <c r="P274" t="s">
        <v>184</v>
      </c>
      <c r="Q274" t="s">
        <v>379</v>
      </c>
    </row>
    <row r="275" spans="4:17" x14ac:dyDescent="0.25">
      <c r="D275" t="s">
        <v>29</v>
      </c>
      <c r="E275" t="s">
        <v>370</v>
      </c>
      <c r="F275" t="str">
        <f t="shared" si="16"/>
        <v>2024-08-16</v>
      </c>
      <c r="G275" t="str">
        <f t="shared" si="17"/>
        <v>2024-08-16</v>
      </c>
      <c r="H275">
        <f t="shared" si="18"/>
        <v>0</v>
      </c>
      <c r="J275" t="str">
        <f>K275&amp;L275</f>
        <v>Громова Мария ИльиничнаФедорова Татьяна Викторовна</v>
      </c>
      <c r="K275" t="s">
        <v>43</v>
      </c>
      <c r="L275" t="s">
        <v>104</v>
      </c>
      <c r="M275" t="s">
        <v>229</v>
      </c>
      <c r="N275" t="str">
        <f t="shared" si="19"/>
        <v>Новикова Ольга ПетровнаПавлов Андрей Владимирович</v>
      </c>
      <c r="O275" t="s">
        <v>29</v>
      </c>
      <c r="P275" t="s">
        <v>199</v>
      </c>
      <c r="Q275" t="s">
        <v>379</v>
      </c>
    </row>
    <row r="276" spans="4:17" x14ac:dyDescent="0.25">
      <c r="D276" t="s">
        <v>29</v>
      </c>
      <c r="E276" t="s">
        <v>264</v>
      </c>
      <c r="F276" t="str">
        <f t="shared" si="16"/>
        <v>2024-09-02</v>
      </c>
      <c r="G276" t="str">
        <f t="shared" si="17"/>
        <v>2024-09-02</v>
      </c>
      <c r="H276">
        <f t="shared" si="18"/>
        <v>0</v>
      </c>
      <c r="J276" t="str">
        <f>K276&amp;L276</f>
        <v>Фролов Сергей ВикторовичПетров Павел Юрьевич</v>
      </c>
      <c r="K276" t="s">
        <v>38</v>
      </c>
      <c r="L276" t="s">
        <v>206</v>
      </c>
      <c r="M276" t="s">
        <v>230</v>
      </c>
      <c r="N276" t="str">
        <f t="shared" si="19"/>
        <v>Кузнецов Дмитрий ЛьвовичЛебедев Михаил Кириллович</v>
      </c>
      <c r="O276" t="s">
        <v>11</v>
      </c>
      <c r="P276" t="s">
        <v>40</v>
      </c>
      <c r="Q276" t="s">
        <v>379</v>
      </c>
    </row>
    <row r="277" spans="4:17" x14ac:dyDescent="0.25">
      <c r="D277" t="s">
        <v>29</v>
      </c>
      <c r="E277" t="s">
        <v>149</v>
      </c>
      <c r="F277" t="str">
        <f t="shared" si="16"/>
        <v>2023-10-27</v>
      </c>
      <c r="G277" t="str">
        <f t="shared" si="17"/>
        <v>2023-10-27</v>
      </c>
      <c r="H277">
        <f t="shared" si="18"/>
        <v>0</v>
      </c>
      <c r="J277" t="str">
        <f>K277&amp;L277</f>
        <v>Петров Владимир КирилловичПопов Георгий Егорович</v>
      </c>
      <c r="K277" t="s">
        <v>19</v>
      </c>
      <c r="L277" t="s">
        <v>61</v>
      </c>
      <c r="M277" t="s">
        <v>230</v>
      </c>
      <c r="N277" t="str">
        <f t="shared" si="19"/>
        <v>Новикова Ольга ПетровнаПетрова Людмила Олеговна</v>
      </c>
      <c r="O277" t="s">
        <v>29</v>
      </c>
      <c r="P277" t="s">
        <v>333</v>
      </c>
      <c r="Q277" t="s">
        <v>379</v>
      </c>
    </row>
    <row r="278" spans="4:17" x14ac:dyDescent="0.25">
      <c r="D278" t="s">
        <v>29</v>
      </c>
      <c r="E278" t="s">
        <v>154</v>
      </c>
      <c r="F278" t="str">
        <f t="shared" si="16"/>
        <v>2024-08-26</v>
      </c>
      <c r="G278" t="str">
        <f t="shared" si="17"/>
        <v>2024-08-26</v>
      </c>
      <c r="H278">
        <f t="shared" si="18"/>
        <v>0</v>
      </c>
      <c r="J278" t="str">
        <f>K278&amp;L278</f>
        <v>Иванова Анна СергеевнаПетров Константин Егорович</v>
      </c>
      <c r="K278" t="s">
        <v>55</v>
      </c>
      <c r="L278" t="s">
        <v>102</v>
      </c>
      <c r="M278" t="s">
        <v>231</v>
      </c>
      <c r="N278" t="str">
        <f t="shared" si="19"/>
        <v>Петров Владимир КирилловичФедоров Андрей Владимирович</v>
      </c>
      <c r="O278" t="s">
        <v>19</v>
      </c>
      <c r="P278" t="s">
        <v>79</v>
      </c>
      <c r="Q278" t="s">
        <v>378</v>
      </c>
    </row>
    <row r="279" spans="4:17" x14ac:dyDescent="0.25">
      <c r="D279" t="s">
        <v>29</v>
      </c>
      <c r="E279" t="s">
        <v>127</v>
      </c>
      <c r="F279" t="str">
        <f t="shared" si="16"/>
        <v>2024-07-29</v>
      </c>
      <c r="G279" t="str">
        <f t="shared" si="17"/>
        <v>2024-07-29</v>
      </c>
      <c r="H279">
        <f t="shared" si="18"/>
        <v>0</v>
      </c>
      <c r="J279" t="str">
        <f>K279&amp;L279</f>
        <v>Орлов Павел ДенисовичПетрова Виктория Юрьевна</v>
      </c>
      <c r="K279" t="s">
        <v>13</v>
      </c>
      <c r="L279" t="s">
        <v>71</v>
      </c>
      <c r="M279" t="s">
        <v>231</v>
      </c>
      <c r="N279" t="str">
        <f t="shared" si="19"/>
        <v>Орлов Павел ДенисовичОрлова Вероника Андреевна</v>
      </c>
      <c r="O279" t="s">
        <v>13</v>
      </c>
      <c r="P279" t="s">
        <v>100</v>
      </c>
      <c r="Q279" t="s">
        <v>378</v>
      </c>
    </row>
    <row r="280" spans="4:17" x14ac:dyDescent="0.25">
      <c r="D280" t="s">
        <v>29</v>
      </c>
      <c r="E280" t="s">
        <v>34</v>
      </c>
      <c r="F280" t="str">
        <f t="shared" si="16"/>
        <v>2023-09-07</v>
      </c>
      <c r="G280" t="str">
        <f t="shared" si="17"/>
        <v>2023-09-07</v>
      </c>
      <c r="H280">
        <f t="shared" si="18"/>
        <v>0</v>
      </c>
      <c r="J280" t="str">
        <f>K280&amp;L280</f>
        <v>Ткаченко Андрей ОлеговичВасильев Илья Алексеевич</v>
      </c>
      <c r="K280" t="s">
        <v>26</v>
      </c>
      <c r="L280" t="s">
        <v>232</v>
      </c>
      <c r="M280" t="s">
        <v>233</v>
      </c>
      <c r="N280" t="str">
        <f t="shared" si="19"/>
        <v>Петров Владимир КирилловичСмирнов Дмитрий Егорович</v>
      </c>
      <c r="O280" t="s">
        <v>19</v>
      </c>
      <c r="P280" t="s">
        <v>250</v>
      </c>
      <c r="Q280" t="s">
        <v>377</v>
      </c>
    </row>
    <row r="281" spans="4:17" x14ac:dyDescent="0.25">
      <c r="D281" t="s">
        <v>29</v>
      </c>
      <c r="E281" t="s">
        <v>202</v>
      </c>
      <c r="F281" t="str">
        <f t="shared" si="16"/>
        <v>2024-07-05</v>
      </c>
      <c r="G281" t="str">
        <f t="shared" si="17"/>
        <v>2024-07-05</v>
      </c>
      <c r="H281">
        <f t="shared" si="18"/>
        <v>0</v>
      </c>
      <c r="J281" t="str">
        <f>K281&amp;L281</f>
        <v>Петров Владимир КирилловичСмирнова Екатерина Ивановна</v>
      </c>
      <c r="K281" t="s">
        <v>19</v>
      </c>
      <c r="L281" t="s">
        <v>28</v>
      </c>
      <c r="M281" t="s">
        <v>233</v>
      </c>
      <c r="N281" t="str">
        <f t="shared" si="19"/>
        <v>Ткаченко Андрей ОлеговичСидоров Дмитрий Александрович</v>
      </c>
      <c r="O281" t="s">
        <v>26</v>
      </c>
      <c r="P281" t="s">
        <v>255</v>
      </c>
      <c r="Q281" t="s">
        <v>376</v>
      </c>
    </row>
    <row r="282" spans="4:17" x14ac:dyDescent="0.25">
      <c r="D282" t="s">
        <v>29</v>
      </c>
      <c r="E282" t="s">
        <v>87</v>
      </c>
      <c r="F282" t="str">
        <f t="shared" si="16"/>
        <v>2023-09-21</v>
      </c>
      <c r="G282" t="str">
        <f t="shared" si="17"/>
        <v>2023-09-21</v>
      </c>
      <c r="H282">
        <f t="shared" si="18"/>
        <v>0</v>
      </c>
      <c r="J282" t="str">
        <f>K282&amp;L282</f>
        <v>Белов Алексей КонстантиновичКузнецова Ирина Павловна</v>
      </c>
      <c r="K282" t="s">
        <v>5</v>
      </c>
      <c r="L282" t="s">
        <v>116</v>
      </c>
      <c r="M282" t="s">
        <v>233</v>
      </c>
      <c r="N282" t="str">
        <f t="shared" si="19"/>
        <v>Кузнецов Дмитрий ЛьвовичПавлов Сергей Олегович</v>
      </c>
      <c r="O282" t="s">
        <v>11</v>
      </c>
      <c r="P282" t="s">
        <v>209</v>
      </c>
      <c r="Q282" t="s">
        <v>376</v>
      </c>
    </row>
    <row r="283" spans="4:17" x14ac:dyDescent="0.25">
      <c r="D283" t="s">
        <v>29</v>
      </c>
      <c r="E283" t="s">
        <v>30</v>
      </c>
      <c r="F283" t="str">
        <f t="shared" si="16"/>
        <v>2023-09-06</v>
      </c>
      <c r="G283" t="str">
        <f t="shared" si="17"/>
        <v>2024-06-13</v>
      </c>
      <c r="H283">
        <f t="shared" si="18"/>
        <v>281</v>
      </c>
      <c r="J283" t="str">
        <f>K283&amp;L283</f>
        <v>Сидорова Елена ВасильевнаСтепанова Анна Романовна</v>
      </c>
      <c r="K283" t="s">
        <v>8</v>
      </c>
      <c r="L283" t="s">
        <v>234</v>
      </c>
      <c r="M283" t="s">
        <v>235</v>
      </c>
      <c r="N283" t="str">
        <f t="shared" si="19"/>
        <v>Орлов Павел ДенисовичЛебедева Валерия Геннадьевна</v>
      </c>
      <c r="O283" t="s">
        <v>13</v>
      </c>
      <c r="P283" t="s">
        <v>177</v>
      </c>
      <c r="Q283" t="s">
        <v>376</v>
      </c>
    </row>
    <row r="284" spans="4:17" x14ac:dyDescent="0.25">
      <c r="D284" t="s">
        <v>29</v>
      </c>
      <c r="E284" t="s">
        <v>410</v>
      </c>
      <c r="F284" t="str">
        <f t="shared" si="16"/>
        <v>2024-07-05</v>
      </c>
      <c r="G284" t="str">
        <f t="shared" si="17"/>
        <v>2024-07-05</v>
      </c>
      <c r="H284">
        <f t="shared" si="18"/>
        <v>0</v>
      </c>
      <c r="J284" t="str">
        <f>K284&amp;L284</f>
        <v>Орлов Павел ДенисовичКозлова Екатерина Викторовна</v>
      </c>
      <c r="K284" t="s">
        <v>13</v>
      </c>
      <c r="L284" t="s">
        <v>202</v>
      </c>
      <c r="M284" t="s">
        <v>235</v>
      </c>
      <c r="N284" t="str">
        <f t="shared" si="19"/>
        <v>Белов Алексей КонстантиновичПопов Павел Артемович</v>
      </c>
      <c r="O284" t="s">
        <v>5</v>
      </c>
      <c r="P284" t="s">
        <v>158</v>
      </c>
      <c r="Q284" t="s">
        <v>376</v>
      </c>
    </row>
    <row r="285" spans="4:17" x14ac:dyDescent="0.25">
      <c r="D285" t="s">
        <v>29</v>
      </c>
      <c r="E285" t="s">
        <v>167</v>
      </c>
      <c r="F285" t="str">
        <f t="shared" si="16"/>
        <v>2023-10-27</v>
      </c>
      <c r="G285" t="str">
        <f t="shared" si="17"/>
        <v>2023-10-27</v>
      </c>
      <c r="H285">
        <f t="shared" si="18"/>
        <v>0</v>
      </c>
      <c r="J285" t="str">
        <f>K285&amp;L285</f>
        <v>Новикова Ольга ПетровнаПавлов Андрей Владимирович</v>
      </c>
      <c r="K285" t="s">
        <v>29</v>
      </c>
      <c r="L285" t="s">
        <v>199</v>
      </c>
      <c r="M285" t="s">
        <v>235</v>
      </c>
      <c r="N285" t="str">
        <f t="shared" si="19"/>
        <v>Кузнецов Дмитрий ЛьвовичПетров Константин Егорович</v>
      </c>
      <c r="O285" t="s">
        <v>11</v>
      </c>
      <c r="P285" t="s">
        <v>102</v>
      </c>
      <c r="Q285" t="s">
        <v>376</v>
      </c>
    </row>
    <row r="286" spans="4:17" x14ac:dyDescent="0.25">
      <c r="D286" t="s">
        <v>29</v>
      </c>
      <c r="E286" t="s">
        <v>299</v>
      </c>
      <c r="F286" t="str">
        <f t="shared" si="16"/>
        <v>2024-03-07</v>
      </c>
      <c r="G286" t="str">
        <f t="shared" si="17"/>
        <v>2024-03-07</v>
      </c>
      <c r="H286">
        <f t="shared" si="18"/>
        <v>0</v>
      </c>
      <c r="J286" t="str">
        <f>K286&amp;L286</f>
        <v>Иванова Анна СергеевнаПопов Сергей Артемович</v>
      </c>
      <c r="K286" t="s">
        <v>55</v>
      </c>
      <c r="L286" t="s">
        <v>174</v>
      </c>
      <c r="M286" t="s">
        <v>236</v>
      </c>
      <c r="N286" t="str">
        <f t="shared" si="19"/>
        <v>Фролов Сергей ВикторовичПавлов Сергей Олегович</v>
      </c>
      <c r="O286" t="s">
        <v>38</v>
      </c>
      <c r="P286" t="s">
        <v>209</v>
      </c>
      <c r="Q286" t="s">
        <v>374</v>
      </c>
    </row>
    <row r="287" spans="4:17" x14ac:dyDescent="0.25">
      <c r="D287" t="s">
        <v>29</v>
      </c>
      <c r="E287" t="s">
        <v>168</v>
      </c>
      <c r="F287" t="str">
        <f t="shared" si="16"/>
        <v>2023-10-27</v>
      </c>
      <c r="G287" t="str">
        <f t="shared" si="17"/>
        <v>2023-10-27</v>
      </c>
      <c r="H287">
        <f t="shared" si="18"/>
        <v>0</v>
      </c>
      <c r="J287" t="str">
        <f>K287&amp;L287</f>
        <v>Сидорова Елена ВасильевнаВолкова Анна Станиславовна</v>
      </c>
      <c r="K287" t="s">
        <v>8</v>
      </c>
      <c r="L287" t="s">
        <v>54</v>
      </c>
      <c r="M287" t="s">
        <v>236</v>
      </c>
      <c r="N287" t="str">
        <f t="shared" si="19"/>
        <v>Петров Владимир КирилловичФедоров Владимир Артемович</v>
      </c>
      <c r="O287" t="s">
        <v>19</v>
      </c>
      <c r="P287" t="s">
        <v>217</v>
      </c>
      <c r="Q287" t="s">
        <v>374</v>
      </c>
    </row>
    <row r="288" spans="4:17" x14ac:dyDescent="0.25">
      <c r="D288" t="s">
        <v>29</v>
      </c>
      <c r="E288" t="s">
        <v>40</v>
      </c>
      <c r="F288" t="str">
        <f t="shared" si="16"/>
        <v>2023-09-08</v>
      </c>
      <c r="G288" t="str">
        <f t="shared" si="17"/>
        <v>2023-12-06</v>
      </c>
      <c r="H288">
        <f t="shared" si="18"/>
        <v>89</v>
      </c>
      <c r="J288" t="str">
        <f>K288&amp;L288</f>
        <v>Новикова Ольга ПетровнаАлексеев Никита Алексеевич</v>
      </c>
      <c r="K288" t="s">
        <v>29</v>
      </c>
      <c r="L288" t="s">
        <v>171</v>
      </c>
      <c r="M288" t="s">
        <v>236</v>
      </c>
      <c r="N288" t="str">
        <f t="shared" si="19"/>
        <v>Фролов Сергей ВикторовичКозлова Наталья Романовна</v>
      </c>
      <c r="O288" t="s">
        <v>38</v>
      </c>
      <c r="P288" t="s">
        <v>342</v>
      </c>
      <c r="Q288" t="s">
        <v>374</v>
      </c>
    </row>
    <row r="289" spans="4:17" x14ac:dyDescent="0.25">
      <c r="D289" t="s">
        <v>29</v>
      </c>
      <c r="E289" t="s">
        <v>89</v>
      </c>
      <c r="F289" t="str">
        <f t="shared" si="16"/>
        <v>2024-06-05</v>
      </c>
      <c r="G289" t="str">
        <f t="shared" si="17"/>
        <v>2024-06-05</v>
      </c>
      <c r="H289">
        <f t="shared" si="18"/>
        <v>0</v>
      </c>
      <c r="J289" t="str">
        <f>K289&amp;L289</f>
        <v>Семенова Ирина ВалерьевнаФедоров Андрей Владимирович</v>
      </c>
      <c r="K289" t="s">
        <v>16</v>
      </c>
      <c r="L289" t="s">
        <v>79</v>
      </c>
      <c r="M289" t="s">
        <v>236</v>
      </c>
      <c r="N289" t="str">
        <f t="shared" si="19"/>
        <v>Семенова Ирина ВалерьевнаМорозов Илья Станиславович</v>
      </c>
      <c r="O289" t="s">
        <v>16</v>
      </c>
      <c r="P289" t="s">
        <v>114</v>
      </c>
      <c r="Q289" t="s">
        <v>374</v>
      </c>
    </row>
    <row r="290" spans="4:17" x14ac:dyDescent="0.25">
      <c r="D290" t="s">
        <v>29</v>
      </c>
      <c r="E290" t="s">
        <v>63</v>
      </c>
      <c r="F290" t="str">
        <f t="shared" si="16"/>
        <v>2024-02-12</v>
      </c>
      <c r="G290" t="str">
        <f t="shared" si="17"/>
        <v>2024-02-12</v>
      </c>
      <c r="H290">
        <f t="shared" si="18"/>
        <v>0</v>
      </c>
      <c r="J290" t="str">
        <f>K290&amp;L290</f>
        <v>Громова Мария ИльиничнаПетрова Ольга Сергеевна</v>
      </c>
      <c r="K290" t="s">
        <v>43</v>
      </c>
      <c r="L290" t="s">
        <v>119</v>
      </c>
      <c r="M290" t="s">
        <v>236</v>
      </c>
      <c r="N290" t="str">
        <f t="shared" si="19"/>
        <v>Семенова Ирина ВалерьевнаЛебедев Никита Викторович</v>
      </c>
      <c r="O290" t="s">
        <v>16</v>
      </c>
      <c r="P290" t="s">
        <v>239</v>
      </c>
      <c r="Q290" t="s">
        <v>374</v>
      </c>
    </row>
    <row r="291" spans="4:17" x14ac:dyDescent="0.25">
      <c r="D291" t="s">
        <v>29</v>
      </c>
      <c r="E291" t="s">
        <v>253</v>
      </c>
      <c r="F291" t="str">
        <f t="shared" si="16"/>
        <v>2024-05-15</v>
      </c>
      <c r="G291" t="str">
        <f t="shared" si="17"/>
        <v>2024-05-15</v>
      </c>
      <c r="H291">
        <f t="shared" si="18"/>
        <v>0</v>
      </c>
      <c r="J291" t="str">
        <f>K291&amp;L291</f>
        <v>Ткаченко Андрей ОлеговичСтепанова Алиса Артемовна</v>
      </c>
      <c r="K291" t="s">
        <v>26</v>
      </c>
      <c r="L291" t="s">
        <v>237</v>
      </c>
      <c r="M291" t="s">
        <v>236</v>
      </c>
      <c r="N291" t="str">
        <f t="shared" si="19"/>
        <v>Семенова Ирина ВалерьевнаСидорова Екатерина Станиславовна</v>
      </c>
      <c r="O291" t="s">
        <v>16</v>
      </c>
      <c r="P291" t="s">
        <v>194</v>
      </c>
      <c r="Q291" t="s">
        <v>374</v>
      </c>
    </row>
    <row r="292" spans="4:17" x14ac:dyDescent="0.25">
      <c r="D292" t="s">
        <v>29</v>
      </c>
      <c r="E292" t="s">
        <v>67</v>
      </c>
      <c r="F292" t="str">
        <f t="shared" si="16"/>
        <v>2023-12-11</v>
      </c>
      <c r="G292" t="str">
        <f t="shared" si="17"/>
        <v>2023-12-11</v>
      </c>
      <c r="H292">
        <f t="shared" si="18"/>
        <v>0</v>
      </c>
      <c r="J292" t="str">
        <f>K292&amp;L292</f>
        <v>Сидорова Елена ВасильевнаСтепанова Александра Дмитриевна</v>
      </c>
      <c r="K292" t="s">
        <v>8</v>
      </c>
      <c r="L292" t="s">
        <v>46</v>
      </c>
      <c r="M292" t="s">
        <v>236</v>
      </c>
      <c r="N292" t="str">
        <f t="shared" si="19"/>
        <v>Кузнецов Дмитрий ЛьвовичЕгорова Татьяна Ильинична</v>
      </c>
      <c r="O292" t="s">
        <v>11</v>
      </c>
      <c r="P292" t="s">
        <v>188</v>
      </c>
      <c r="Q292" t="s">
        <v>374</v>
      </c>
    </row>
    <row r="293" spans="4:17" x14ac:dyDescent="0.25">
      <c r="D293" t="s">
        <v>29</v>
      </c>
      <c r="E293" t="s">
        <v>76</v>
      </c>
      <c r="F293" t="str">
        <f t="shared" si="16"/>
        <v>2024-03-07</v>
      </c>
      <c r="G293" t="str">
        <f t="shared" si="17"/>
        <v>2024-03-07</v>
      </c>
      <c r="H293">
        <f t="shared" si="18"/>
        <v>0</v>
      </c>
      <c r="J293" t="str">
        <f>K293&amp;L293</f>
        <v>Орлов Павел ДенисовичСидорова София Артемовна</v>
      </c>
      <c r="K293" t="s">
        <v>13</v>
      </c>
      <c r="L293" t="s">
        <v>45</v>
      </c>
      <c r="M293" t="s">
        <v>236</v>
      </c>
      <c r="N293" t="str">
        <f t="shared" si="19"/>
        <v>Иванова Анна СергеевнаНовикова София Ивановна</v>
      </c>
      <c r="O293" t="s">
        <v>55</v>
      </c>
      <c r="P293" t="s">
        <v>33</v>
      </c>
      <c r="Q293" t="s">
        <v>374</v>
      </c>
    </row>
    <row r="294" spans="4:17" x14ac:dyDescent="0.25">
      <c r="D294" t="s">
        <v>29</v>
      </c>
      <c r="E294" t="s">
        <v>47</v>
      </c>
      <c r="F294" t="str">
        <f t="shared" si="16"/>
        <v>2023-09-11</v>
      </c>
      <c r="G294" t="str">
        <f t="shared" si="17"/>
        <v>2024-01-19</v>
      </c>
      <c r="H294">
        <f t="shared" si="18"/>
        <v>130</v>
      </c>
      <c r="J294" t="str">
        <f>K294&amp;L294</f>
        <v>Сидорова Елена ВасильевнаВасильев Андрей Павлович</v>
      </c>
      <c r="K294" t="s">
        <v>8</v>
      </c>
      <c r="L294" t="s">
        <v>151</v>
      </c>
      <c r="M294" t="s">
        <v>238</v>
      </c>
      <c r="N294" t="str">
        <f t="shared" si="19"/>
        <v>Кузнецов Дмитрий ЛьвовичНовиков Дмитрий Олегович</v>
      </c>
      <c r="O294" t="s">
        <v>11</v>
      </c>
      <c r="P294" t="s">
        <v>375</v>
      </c>
      <c r="Q294" t="s">
        <v>374</v>
      </c>
    </row>
    <row r="295" spans="4:17" x14ac:dyDescent="0.25">
      <c r="D295" t="s">
        <v>29</v>
      </c>
      <c r="E295" t="s">
        <v>33</v>
      </c>
      <c r="F295" t="str">
        <f t="shared" si="16"/>
        <v>2024-01-08</v>
      </c>
      <c r="G295" t="str">
        <f t="shared" si="17"/>
        <v>2024-01-08</v>
      </c>
      <c r="H295">
        <f t="shared" si="18"/>
        <v>0</v>
      </c>
      <c r="J295" t="str">
        <f>K295&amp;L295</f>
        <v>Семенова Ирина ВалерьевнаНиколаев Александр Ильич</v>
      </c>
      <c r="K295" t="s">
        <v>16</v>
      </c>
      <c r="L295" t="s">
        <v>89</v>
      </c>
      <c r="M295" t="s">
        <v>238</v>
      </c>
      <c r="N295" t="str">
        <f t="shared" si="19"/>
        <v>Сидорова Елена ВасильевнаВасильева Ксения Егоровна</v>
      </c>
      <c r="O295" t="s">
        <v>8</v>
      </c>
      <c r="P295" t="s">
        <v>220</v>
      </c>
      <c r="Q295" t="s">
        <v>373</v>
      </c>
    </row>
    <row r="296" spans="4:17" x14ac:dyDescent="0.25">
      <c r="D296" t="s">
        <v>29</v>
      </c>
      <c r="E296" t="s">
        <v>106</v>
      </c>
      <c r="F296" t="str">
        <f t="shared" si="16"/>
        <v>2023-09-28</v>
      </c>
      <c r="G296" t="str">
        <f t="shared" si="17"/>
        <v>2023-09-28</v>
      </c>
      <c r="H296">
        <f t="shared" si="18"/>
        <v>0</v>
      </c>
      <c r="J296" t="str">
        <f>K296&amp;L296</f>
        <v>Громова Мария ИльиничнаЛебедев Никита Викторович</v>
      </c>
      <c r="K296" t="s">
        <v>43</v>
      </c>
      <c r="L296" t="s">
        <v>239</v>
      </c>
      <c r="M296" t="s">
        <v>238</v>
      </c>
      <c r="N296" t="str">
        <f t="shared" si="19"/>
        <v>Громова Мария ИльиничнаКозлов Илья Геннадьевич</v>
      </c>
      <c r="O296" t="s">
        <v>43</v>
      </c>
      <c r="P296" t="s">
        <v>153</v>
      </c>
      <c r="Q296" t="s">
        <v>373</v>
      </c>
    </row>
    <row r="297" spans="4:17" x14ac:dyDescent="0.25">
      <c r="D297" t="s">
        <v>29</v>
      </c>
      <c r="E297" t="s">
        <v>197</v>
      </c>
      <c r="F297" t="str">
        <f t="shared" si="16"/>
        <v>2024-04-15</v>
      </c>
      <c r="G297" t="str">
        <f t="shared" si="17"/>
        <v>2024-04-15</v>
      </c>
      <c r="H297">
        <f t="shared" si="18"/>
        <v>0</v>
      </c>
      <c r="J297" t="str">
        <f>K297&amp;L297</f>
        <v>Белов Алексей КонстантиновичСеменова София Алексеевна</v>
      </c>
      <c r="K297" t="s">
        <v>5</v>
      </c>
      <c r="L297" t="s">
        <v>227</v>
      </c>
      <c r="M297" t="s">
        <v>238</v>
      </c>
      <c r="N297" t="str">
        <f t="shared" si="19"/>
        <v>Орлов Павел ДенисовичАлексеева Юлия Никитична</v>
      </c>
      <c r="O297" t="s">
        <v>13</v>
      </c>
      <c r="P297" t="s">
        <v>93</v>
      </c>
      <c r="Q297" t="s">
        <v>373</v>
      </c>
    </row>
    <row r="298" spans="4:17" x14ac:dyDescent="0.25">
      <c r="D298" t="s">
        <v>29</v>
      </c>
      <c r="E298" t="s">
        <v>199</v>
      </c>
      <c r="F298" t="str">
        <f t="shared" si="16"/>
        <v>2023-12-15</v>
      </c>
      <c r="G298" t="str">
        <f t="shared" si="17"/>
        <v>2024-05-27</v>
      </c>
      <c r="H298">
        <f t="shared" si="18"/>
        <v>164</v>
      </c>
      <c r="J298" t="str">
        <f>K298&amp;L298</f>
        <v>Яковлев Артем ИгоревичЛебедева Светлана Андреевна</v>
      </c>
      <c r="K298" t="s">
        <v>21</v>
      </c>
      <c r="L298" t="s">
        <v>176</v>
      </c>
      <c r="M298" t="s">
        <v>238</v>
      </c>
      <c r="N298" t="str">
        <f t="shared" si="19"/>
        <v>Новикова Ольга ПетровнаПопова Полина Юрьевна</v>
      </c>
      <c r="O298" t="s">
        <v>29</v>
      </c>
      <c r="P298" t="s">
        <v>248</v>
      </c>
      <c r="Q298" t="s">
        <v>372</v>
      </c>
    </row>
    <row r="299" spans="4:17" x14ac:dyDescent="0.25">
      <c r="D299" t="s">
        <v>29</v>
      </c>
      <c r="E299" t="s">
        <v>144</v>
      </c>
      <c r="F299" t="str">
        <f t="shared" si="16"/>
        <v>2024-01-29</v>
      </c>
      <c r="G299" t="str">
        <f t="shared" si="17"/>
        <v>2024-04-10</v>
      </c>
      <c r="H299">
        <f t="shared" si="18"/>
        <v>72</v>
      </c>
      <c r="J299" t="str">
        <f>K299&amp;L299</f>
        <v>Орлов Павел ДенисовичСеменова София Алексеевна</v>
      </c>
      <c r="K299" t="s">
        <v>13</v>
      </c>
      <c r="L299" t="s">
        <v>227</v>
      </c>
      <c r="M299" t="s">
        <v>238</v>
      </c>
      <c r="N299" t="str">
        <f t="shared" si="19"/>
        <v>Сидорова Елена ВасильевнаПетрова Ольга Геннадьевна</v>
      </c>
      <c r="O299" t="s">
        <v>8</v>
      </c>
      <c r="P299" t="s">
        <v>184</v>
      </c>
      <c r="Q299" t="s">
        <v>372</v>
      </c>
    </row>
    <row r="300" spans="4:17" x14ac:dyDescent="0.25">
      <c r="D300" t="s">
        <v>29</v>
      </c>
      <c r="E300" t="s">
        <v>102</v>
      </c>
      <c r="F300" t="str">
        <f t="shared" si="16"/>
        <v>2024-07-16</v>
      </c>
      <c r="G300" t="str">
        <f t="shared" si="17"/>
        <v>2024-07-16</v>
      </c>
      <c r="H300">
        <f t="shared" si="18"/>
        <v>0</v>
      </c>
      <c r="J300" t="str">
        <f>K300&amp;L300</f>
        <v>Орлов Павел ДенисовичНовикова София Ивановна</v>
      </c>
      <c r="K300" t="s">
        <v>13</v>
      </c>
      <c r="L300" t="s">
        <v>33</v>
      </c>
      <c r="M300" t="s">
        <v>240</v>
      </c>
      <c r="N300" t="str">
        <f t="shared" si="19"/>
        <v>Громова Мария ИльиничнаЕгорова Мария Кирилловна</v>
      </c>
      <c r="O300" t="s">
        <v>43</v>
      </c>
      <c r="P300" t="s">
        <v>370</v>
      </c>
      <c r="Q300" t="s">
        <v>371</v>
      </c>
    </row>
    <row r="301" spans="4:17" x14ac:dyDescent="0.25">
      <c r="D301" t="s">
        <v>29</v>
      </c>
      <c r="E301" t="s">
        <v>15</v>
      </c>
      <c r="F301" t="str">
        <f t="shared" si="16"/>
        <v>2023-11-14</v>
      </c>
      <c r="G301" t="str">
        <f t="shared" si="17"/>
        <v>2023-11-14</v>
      </c>
      <c r="H301">
        <f t="shared" si="18"/>
        <v>0</v>
      </c>
      <c r="J301" t="str">
        <f>K301&amp;L301</f>
        <v>Сидорова Елена ВасильевнаВолкова Анна Станиславовна</v>
      </c>
      <c r="K301" t="s">
        <v>8</v>
      </c>
      <c r="L301" t="s">
        <v>54</v>
      </c>
      <c r="M301" t="s">
        <v>241</v>
      </c>
      <c r="N301" t="str">
        <f t="shared" si="19"/>
        <v>Сидорова Елена ВасильевнаВасильев Илья Алексеевич</v>
      </c>
      <c r="O301" t="s">
        <v>8</v>
      </c>
      <c r="P301" t="s">
        <v>232</v>
      </c>
      <c r="Q301" t="s">
        <v>371</v>
      </c>
    </row>
    <row r="302" spans="4:17" x14ac:dyDescent="0.25">
      <c r="D302" t="s">
        <v>29</v>
      </c>
      <c r="E302" t="s">
        <v>333</v>
      </c>
      <c r="F302" t="str">
        <f t="shared" si="16"/>
        <v>2024-05-27</v>
      </c>
      <c r="G302" t="str">
        <f t="shared" si="17"/>
        <v>2024-05-27</v>
      </c>
      <c r="H302">
        <f t="shared" si="18"/>
        <v>0</v>
      </c>
      <c r="J302" t="str">
        <f>K302&amp;L302</f>
        <v>Петров Владимир КирилловичИванова Полина Дмитриевна</v>
      </c>
      <c r="K302" t="s">
        <v>19</v>
      </c>
      <c r="L302" t="s">
        <v>91</v>
      </c>
      <c r="M302" t="s">
        <v>241</v>
      </c>
      <c r="N302" t="str">
        <f t="shared" si="19"/>
        <v>Новикова Ольга ПетровнаНиколаев Никита Викторович</v>
      </c>
      <c r="O302" t="s">
        <v>29</v>
      </c>
      <c r="P302" t="s">
        <v>253</v>
      </c>
      <c r="Q302" t="s">
        <v>371</v>
      </c>
    </row>
    <row r="303" spans="4:17" x14ac:dyDescent="0.25">
      <c r="D303" t="s">
        <v>29</v>
      </c>
      <c r="E303" t="s">
        <v>119</v>
      </c>
      <c r="F303" t="str">
        <f t="shared" si="16"/>
        <v>2024-05-30</v>
      </c>
      <c r="G303" t="str">
        <f t="shared" si="17"/>
        <v>2024-07-08</v>
      </c>
      <c r="H303">
        <f t="shared" si="18"/>
        <v>39</v>
      </c>
      <c r="J303" t="str">
        <f>K303&amp;L303</f>
        <v>Семенова Ирина ВалерьевнаПопов Никита Андреевич</v>
      </c>
      <c r="K303" t="s">
        <v>16</v>
      </c>
      <c r="L303" t="s">
        <v>165</v>
      </c>
      <c r="M303" t="s">
        <v>241</v>
      </c>
      <c r="N303" t="str">
        <f t="shared" si="19"/>
        <v>Громова Мария ИльиничнаАлексеева Полина Викторовна</v>
      </c>
      <c r="O303" t="s">
        <v>43</v>
      </c>
      <c r="P303" t="s">
        <v>14</v>
      </c>
      <c r="Q303" t="s">
        <v>371</v>
      </c>
    </row>
    <row r="304" spans="4:17" x14ac:dyDescent="0.25">
      <c r="D304" t="s">
        <v>29</v>
      </c>
      <c r="E304" t="s">
        <v>82</v>
      </c>
      <c r="F304" t="str">
        <f t="shared" si="16"/>
        <v>2023-10-30</v>
      </c>
      <c r="G304" t="str">
        <f t="shared" si="17"/>
        <v>2024-02-15</v>
      </c>
      <c r="H304">
        <f t="shared" si="18"/>
        <v>108</v>
      </c>
      <c r="J304" t="str">
        <f>K304&amp;L304</f>
        <v>Фролов Сергей ВикторовичСтепанова Алиса Артемовна</v>
      </c>
      <c r="K304" t="s">
        <v>38</v>
      </c>
      <c r="L304" t="s">
        <v>237</v>
      </c>
      <c r="M304" t="s">
        <v>241</v>
      </c>
      <c r="N304" t="str">
        <f t="shared" si="19"/>
        <v>Белов Алексей КонстантиновичАлексеев Никита Алексеевич</v>
      </c>
      <c r="O304" t="s">
        <v>5</v>
      </c>
      <c r="P304" t="s">
        <v>171</v>
      </c>
      <c r="Q304" t="s">
        <v>371</v>
      </c>
    </row>
    <row r="305" spans="4:17" x14ac:dyDescent="0.25">
      <c r="D305" t="s">
        <v>29</v>
      </c>
      <c r="E305" t="s">
        <v>88</v>
      </c>
      <c r="F305" t="str">
        <f t="shared" si="16"/>
        <v>2024-04-01</v>
      </c>
      <c r="G305" t="str">
        <f t="shared" si="17"/>
        <v>2024-06-18</v>
      </c>
      <c r="H305">
        <f t="shared" si="18"/>
        <v>78</v>
      </c>
      <c r="J305" t="str">
        <f>K305&amp;L305</f>
        <v>Орлов Павел ДенисовичСмирнова Екатерина Ивановна</v>
      </c>
      <c r="K305" t="s">
        <v>13</v>
      </c>
      <c r="L305" t="s">
        <v>28</v>
      </c>
      <c r="M305" t="s">
        <v>241</v>
      </c>
      <c r="N305" t="str">
        <f t="shared" si="19"/>
        <v>Белов Алексей КонстантиновичСидоров Дмитрий Александрович</v>
      </c>
      <c r="O305" t="s">
        <v>5</v>
      </c>
      <c r="P305" t="s">
        <v>255</v>
      </c>
      <c r="Q305" t="s">
        <v>369</v>
      </c>
    </row>
    <row r="306" spans="4:17" x14ac:dyDescent="0.25">
      <c r="D306" t="s">
        <v>29</v>
      </c>
      <c r="E306" t="s">
        <v>160</v>
      </c>
      <c r="F306" t="str">
        <f t="shared" si="16"/>
        <v>2024-07-29</v>
      </c>
      <c r="G306" t="str">
        <f t="shared" si="17"/>
        <v>2024-07-29</v>
      </c>
      <c r="H306">
        <f t="shared" si="18"/>
        <v>0</v>
      </c>
      <c r="J306" t="str">
        <f>K306&amp;L306</f>
        <v>Яковлев Артем ИгоревичАлексеев Егор Юрьевич</v>
      </c>
      <c r="K306" t="s">
        <v>21</v>
      </c>
      <c r="L306" t="s">
        <v>193</v>
      </c>
      <c r="M306" t="s">
        <v>242</v>
      </c>
      <c r="N306" t="str">
        <f t="shared" si="19"/>
        <v>Орлов Павел ДенисовичПетрова Валерия Викторовна</v>
      </c>
      <c r="O306" t="s">
        <v>13</v>
      </c>
      <c r="P306" t="s">
        <v>275</v>
      </c>
      <c r="Q306" t="s">
        <v>369</v>
      </c>
    </row>
    <row r="307" spans="4:17" x14ac:dyDescent="0.25">
      <c r="D307" t="s">
        <v>29</v>
      </c>
      <c r="E307" t="s">
        <v>248</v>
      </c>
      <c r="F307" t="str">
        <f t="shared" si="16"/>
        <v>2024-05-16</v>
      </c>
      <c r="G307" t="str">
        <f t="shared" si="17"/>
        <v>2024-05-16</v>
      </c>
      <c r="H307">
        <f t="shared" si="18"/>
        <v>0</v>
      </c>
      <c r="J307" t="str">
        <f>K307&amp;L307</f>
        <v>Фролов Сергей ВикторовичВолкова Светлана Ивановна</v>
      </c>
      <c r="K307" t="s">
        <v>38</v>
      </c>
      <c r="L307" t="s">
        <v>64</v>
      </c>
      <c r="M307" t="s">
        <v>242</v>
      </c>
      <c r="N307" t="str">
        <f t="shared" si="19"/>
        <v>Орлов Павел ДенисовичКузнецов Кирилл Александрович</v>
      </c>
      <c r="O307" t="s">
        <v>13</v>
      </c>
      <c r="P307" t="s">
        <v>92</v>
      </c>
      <c r="Q307" t="s">
        <v>368</v>
      </c>
    </row>
    <row r="308" spans="4:17" x14ac:dyDescent="0.25">
      <c r="D308" t="s">
        <v>29</v>
      </c>
      <c r="E308" t="s">
        <v>143</v>
      </c>
      <c r="F308" t="str">
        <f t="shared" si="16"/>
        <v>2023-10-18</v>
      </c>
      <c r="G308" t="str">
        <f t="shared" si="17"/>
        <v>2023-10-18</v>
      </c>
      <c r="H308">
        <f t="shared" si="18"/>
        <v>0</v>
      </c>
      <c r="J308" t="str">
        <f>K308&amp;L308</f>
        <v>Кузнецов Дмитрий ЛьвовичНовикова София Ивановна</v>
      </c>
      <c r="K308" t="s">
        <v>11</v>
      </c>
      <c r="L308" t="s">
        <v>33</v>
      </c>
      <c r="M308" t="s">
        <v>242</v>
      </c>
      <c r="N308" t="str">
        <f t="shared" si="19"/>
        <v>Иванова Анна СергеевнаПетров Константин Егорович</v>
      </c>
      <c r="O308" t="s">
        <v>55</v>
      </c>
      <c r="P308" t="s">
        <v>102</v>
      </c>
      <c r="Q308" t="s">
        <v>368</v>
      </c>
    </row>
    <row r="309" spans="4:17" x14ac:dyDescent="0.25">
      <c r="D309" t="s">
        <v>29</v>
      </c>
      <c r="E309" t="s">
        <v>311</v>
      </c>
      <c r="F309" t="str">
        <f t="shared" si="16"/>
        <v>2024-04-15</v>
      </c>
      <c r="G309" t="str">
        <f t="shared" si="17"/>
        <v>2024-08-26</v>
      </c>
      <c r="H309">
        <f t="shared" si="18"/>
        <v>133</v>
      </c>
      <c r="J309" t="str">
        <f>K309&amp;L309</f>
        <v>Иванова Анна СергеевнаСидоров Егор Павлович</v>
      </c>
      <c r="K309" t="s">
        <v>55</v>
      </c>
      <c r="L309" t="s">
        <v>173</v>
      </c>
      <c r="M309" t="s">
        <v>242</v>
      </c>
      <c r="N309" t="str">
        <f t="shared" si="19"/>
        <v>Громова Мария ИльиничнаАлексеев Артур Артемович</v>
      </c>
      <c r="O309" t="s">
        <v>43</v>
      </c>
      <c r="P309" t="s">
        <v>190</v>
      </c>
      <c r="Q309" t="s">
        <v>368</v>
      </c>
    </row>
    <row r="310" spans="4:17" x14ac:dyDescent="0.25">
      <c r="D310" t="s">
        <v>29</v>
      </c>
      <c r="E310" t="s">
        <v>73</v>
      </c>
      <c r="F310" t="str">
        <f t="shared" si="16"/>
        <v>2023-11-06</v>
      </c>
      <c r="G310" t="str">
        <f t="shared" si="17"/>
        <v>2023-11-06</v>
      </c>
      <c r="H310">
        <f t="shared" si="18"/>
        <v>0</v>
      </c>
      <c r="J310" t="str">
        <f>K310&amp;L310</f>
        <v>Кузнецов Дмитрий ЛьвовичФедоров Максим Андреевич</v>
      </c>
      <c r="K310" t="s">
        <v>11</v>
      </c>
      <c r="L310" t="s">
        <v>97</v>
      </c>
      <c r="M310" t="s">
        <v>242</v>
      </c>
      <c r="N310" t="str">
        <f t="shared" si="19"/>
        <v>Белов Алексей КонстантиновичСеменова София Алексеевна</v>
      </c>
      <c r="O310" t="s">
        <v>5</v>
      </c>
      <c r="P310" t="s">
        <v>227</v>
      </c>
      <c r="Q310" t="s">
        <v>368</v>
      </c>
    </row>
    <row r="311" spans="4:17" x14ac:dyDescent="0.25">
      <c r="D311" t="s">
        <v>29</v>
      </c>
      <c r="E311" t="s">
        <v>94</v>
      </c>
      <c r="F311" t="str">
        <f t="shared" si="16"/>
        <v>2023-11-06</v>
      </c>
      <c r="G311" t="str">
        <f t="shared" si="17"/>
        <v>2023-11-06</v>
      </c>
      <c r="H311">
        <f t="shared" si="18"/>
        <v>0</v>
      </c>
      <c r="J311" t="str">
        <f>K311&amp;L311</f>
        <v>Фролов Сергей ВикторовичФедоров Максим Андреевич</v>
      </c>
      <c r="K311" t="s">
        <v>38</v>
      </c>
      <c r="L311" t="s">
        <v>97</v>
      </c>
      <c r="M311" t="s">
        <v>242</v>
      </c>
      <c r="N311" t="str">
        <f t="shared" si="19"/>
        <v>Сидорова Елена ВасильевнаИванов Георгий Павлович</v>
      </c>
      <c r="O311" t="s">
        <v>8</v>
      </c>
      <c r="P311" t="s">
        <v>149</v>
      </c>
      <c r="Q311" t="s">
        <v>368</v>
      </c>
    </row>
    <row r="312" spans="4:17" x14ac:dyDescent="0.25">
      <c r="D312" t="s">
        <v>29</v>
      </c>
      <c r="E312" t="s">
        <v>183</v>
      </c>
      <c r="F312" t="str">
        <f t="shared" si="16"/>
        <v>2023-11-30</v>
      </c>
      <c r="G312" t="str">
        <f t="shared" si="17"/>
        <v>2024-04-10</v>
      </c>
      <c r="H312">
        <f t="shared" si="18"/>
        <v>132</v>
      </c>
      <c r="J312" t="str">
        <f>K312&amp;L312</f>
        <v>Орлов Павел ДенисовичЕгоров Иван Андреевич</v>
      </c>
      <c r="K312" t="s">
        <v>13</v>
      </c>
      <c r="L312" t="s">
        <v>186</v>
      </c>
      <c r="M312" t="s">
        <v>242</v>
      </c>
      <c r="N312" t="str">
        <f t="shared" si="19"/>
        <v>Орлов Павел ДенисовичНиколаев Андрей Ильич</v>
      </c>
      <c r="O312" t="s">
        <v>13</v>
      </c>
      <c r="P312" t="s">
        <v>63</v>
      </c>
      <c r="Q312" t="s">
        <v>368</v>
      </c>
    </row>
    <row r="313" spans="4:17" x14ac:dyDescent="0.25">
      <c r="D313" t="s">
        <v>29</v>
      </c>
      <c r="E313" t="s">
        <v>255</v>
      </c>
      <c r="F313" t="str">
        <f t="shared" si="16"/>
        <v>2024-08-12</v>
      </c>
      <c r="G313" t="str">
        <f t="shared" si="17"/>
        <v>2024-08-12</v>
      </c>
      <c r="H313">
        <f t="shared" si="18"/>
        <v>0</v>
      </c>
      <c r="J313" t="str">
        <f>K313&amp;L313</f>
        <v>Орлов Павел ДенисовичВолкова Светлана Ивановна</v>
      </c>
      <c r="K313" t="s">
        <v>13</v>
      </c>
      <c r="L313" t="s">
        <v>64</v>
      </c>
      <c r="M313" t="s">
        <v>243</v>
      </c>
      <c r="N313" t="str">
        <f t="shared" si="19"/>
        <v>Иванова Анна СергеевнаФедоров Владимир Артемович</v>
      </c>
      <c r="O313" t="s">
        <v>55</v>
      </c>
      <c r="P313" t="s">
        <v>217</v>
      </c>
      <c r="Q313" t="s">
        <v>368</v>
      </c>
    </row>
    <row r="314" spans="4:17" x14ac:dyDescent="0.25">
      <c r="D314" t="s">
        <v>29</v>
      </c>
      <c r="E314" t="s">
        <v>125</v>
      </c>
      <c r="F314" t="str">
        <f t="shared" si="16"/>
        <v>2024-01-02</v>
      </c>
      <c r="G314" t="str">
        <f t="shared" si="17"/>
        <v>2024-01-02</v>
      </c>
      <c r="H314">
        <f t="shared" si="18"/>
        <v>0</v>
      </c>
      <c r="J314" t="str">
        <f>K314&amp;L314</f>
        <v>Петров Владимир КирилловичСтепанов Михаил Егорович</v>
      </c>
      <c r="K314" t="s">
        <v>19</v>
      </c>
      <c r="L314" t="s">
        <v>196</v>
      </c>
      <c r="M314" t="s">
        <v>243</v>
      </c>
      <c r="N314" t="str">
        <f t="shared" si="19"/>
        <v>Петров Владимир КирилловичЕгоров Иван Андреевич</v>
      </c>
      <c r="O314" t="s">
        <v>19</v>
      </c>
      <c r="P314" t="s">
        <v>186</v>
      </c>
      <c r="Q314" t="s">
        <v>368</v>
      </c>
    </row>
    <row r="315" spans="4:17" x14ac:dyDescent="0.25">
      <c r="D315" t="s">
        <v>29</v>
      </c>
      <c r="E315" t="s">
        <v>169</v>
      </c>
      <c r="F315" t="str">
        <f t="shared" si="16"/>
        <v>2024-08-05</v>
      </c>
      <c r="G315" t="str">
        <f t="shared" si="17"/>
        <v>2024-08-05</v>
      </c>
      <c r="H315">
        <f t="shared" si="18"/>
        <v>0</v>
      </c>
      <c r="J315" t="str">
        <f>K315&amp;L315</f>
        <v>Орлов Павел ДенисовичПетров Никита Павлович</v>
      </c>
      <c r="K315" t="s">
        <v>13</v>
      </c>
      <c r="L315" t="s">
        <v>75</v>
      </c>
      <c r="M315" t="s">
        <v>244</v>
      </c>
      <c r="N315" t="str">
        <f t="shared" si="19"/>
        <v>Ткаченко Андрей ОлеговичЛебедева Светлана Андреевна</v>
      </c>
      <c r="O315" t="s">
        <v>26</v>
      </c>
      <c r="P315" t="s">
        <v>176</v>
      </c>
      <c r="Q315" t="s">
        <v>368</v>
      </c>
    </row>
    <row r="316" spans="4:17" x14ac:dyDescent="0.25">
      <c r="D316" t="s">
        <v>29</v>
      </c>
      <c r="E316" t="s">
        <v>28</v>
      </c>
      <c r="F316" t="str">
        <f t="shared" si="16"/>
        <v>2023-09-06</v>
      </c>
      <c r="G316" t="str">
        <f t="shared" si="17"/>
        <v>2023-09-06</v>
      </c>
      <c r="H316">
        <f t="shared" si="18"/>
        <v>0</v>
      </c>
      <c r="J316" t="str">
        <f>K316&amp;L316</f>
        <v>Кузнецов Дмитрий ЛьвовичАлексеев Егор Юрьевич</v>
      </c>
      <c r="K316" t="s">
        <v>11</v>
      </c>
      <c r="L316" t="s">
        <v>193</v>
      </c>
      <c r="M316" t="s">
        <v>244</v>
      </c>
      <c r="N316" t="str">
        <f t="shared" si="19"/>
        <v>Ткаченко Андрей ОлеговичПопова Светлана Геннадьевна</v>
      </c>
      <c r="O316" t="s">
        <v>26</v>
      </c>
      <c r="P316" t="s">
        <v>18</v>
      </c>
      <c r="Q316" t="s">
        <v>368</v>
      </c>
    </row>
    <row r="317" spans="4:17" x14ac:dyDescent="0.25">
      <c r="D317" t="s">
        <v>29</v>
      </c>
      <c r="E317" t="s">
        <v>22</v>
      </c>
      <c r="F317" t="str">
        <f t="shared" si="16"/>
        <v>2024-02-23</v>
      </c>
      <c r="G317" t="str">
        <f t="shared" si="17"/>
        <v>2024-02-23</v>
      </c>
      <c r="H317">
        <f t="shared" si="18"/>
        <v>0</v>
      </c>
      <c r="J317" t="str">
        <f>K317&amp;L317</f>
        <v>Ткаченко Андрей ОлеговичПавлов Сергей Олегович</v>
      </c>
      <c r="K317" t="s">
        <v>26</v>
      </c>
      <c r="L317" t="s">
        <v>209</v>
      </c>
      <c r="M317" t="s">
        <v>244</v>
      </c>
      <c r="N317" t="str">
        <f t="shared" si="19"/>
        <v>Громова Мария ИльиничнаВасильева Виктория Артемовна</v>
      </c>
      <c r="O317" t="s">
        <v>43</v>
      </c>
      <c r="P317" t="s">
        <v>274</v>
      </c>
      <c r="Q317" t="s">
        <v>368</v>
      </c>
    </row>
    <row r="318" spans="4:17" x14ac:dyDescent="0.25">
      <c r="D318" t="s">
        <v>29</v>
      </c>
      <c r="E318" t="s">
        <v>44</v>
      </c>
      <c r="F318" t="str">
        <f t="shared" si="16"/>
        <v>2024-07-05</v>
      </c>
      <c r="G318" t="str">
        <f t="shared" si="17"/>
        <v>2024-07-05</v>
      </c>
      <c r="H318">
        <f t="shared" si="18"/>
        <v>0</v>
      </c>
      <c r="J318" t="str">
        <f>K318&amp;L318</f>
        <v>Орлов Павел ДенисовичЕгоров Илья Андреевич</v>
      </c>
      <c r="K318" t="s">
        <v>13</v>
      </c>
      <c r="L318" t="s">
        <v>221</v>
      </c>
      <c r="M318" t="s">
        <v>245</v>
      </c>
      <c r="N318" t="str">
        <f t="shared" si="19"/>
        <v>Иванова Анна СергеевнаПетров Константин Егорович</v>
      </c>
      <c r="O318" t="s">
        <v>55</v>
      </c>
      <c r="P318" t="s">
        <v>102</v>
      </c>
      <c r="Q318" t="s">
        <v>367</v>
      </c>
    </row>
    <row r="319" spans="4:17" x14ac:dyDescent="0.25">
      <c r="D319" t="s">
        <v>29</v>
      </c>
      <c r="E319" t="s">
        <v>217</v>
      </c>
      <c r="F319" t="str">
        <f t="shared" si="16"/>
        <v>2024-03-25</v>
      </c>
      <c r="G319" t="str">
        <f t="shared" si="17"/>
        <v>2024-03-25</v>
      </c>
      <c r="H319">
        <f t="shared" si="18"/>
        <v>0</v>
      </c>
      <c r="J319" t="str">
        <f>K319&amp;L319</f>
        <v>Фролов Сергей ВикторовичПетрова Наталья Владимировна</v>
      </c>
      <c r="K319" t="s">
        <v>38</v>
      </c>
      <c r="L319" t="s">
        <v>246</v>
      </c>
      <c r="M319" t="s">
        <v>245</v>
      </c>
      <c r="N319" t="str">
        <f t="shared" si="19"/>
        <v>Иванова Анна СергеевнаКозлова Полина Михайловна</v>
      </c>
      <c r="O319" t="s">
        <v>55</v>
      </c>
      <c r="P319" t="s">
        <v>87</v>
      </c>
      <c r="Q319" t="s">
        <v>367</v>
      </c>
    </row>
    <row r="320" spans="4:17" x14ac:dyDescent="0.25">
      <c r="D320" t="s">
        <v>29</v>
      </c>
      <c r="E320" t="s">
        <v>97</v>
      </c>
      <c r="F320" t="str">
        <f t="shared" si="16"/>
        <v>2024-07-23</v>
      </c>
      <c r="G320" t="str">
        <f t="shared" si="17"/>
        <v>2024-07-23</v>
      </c>
      <c r="H320">
        <f t="shared" si="18"/>
        <v>0</v>
      </c>
      <c r="J320" t="str">
        <f>K320&amp;L320</f>
        <v>Яковлев Артем ИгоревичСтепанова Александра Дмитриевна</v>
      </c>
      <c r="K320" t="s">
        <v>21</v>
      </c>
      <c r="L320" t="s">
        <v>46</v>
      </c>
      <c r="M320" t="s">
        <v>245</v>
      </c>
      <c r="N320" t="str">
        <f t="shared" si="19"/>
        <v>Ткаченко Андрей ОлеговичОрлов Андрей Никитич</v>
      </c>
      <c r="O320" t="s">
        <v>26</v>
      </c>
      <c r="P320" t="s">
        <v>111</v>
      </c>
      <c r="Q320" t="s">
        <v>367</v>
      </c>
    </row>
    <row r="321" spans="4:17" x14ac:dyDescent="0.25">
      <c r="D321" t="s">
        <v>29</v>
      </c>
      <c r="E321" t="s">
        <v>305</v>
      </c>
      <c r="F321" t="str">
        <f t="shared" si="16"/>
        <v>2024-08-28</v>
      </c>
      <c r="G321" t="str">
        <f t="shared" si="17"/>
        <v>2024-08-28</v>
      </c>
      <c r="H321">
        <f t="shared" si="18"/>
        <v>0</v>
      </c>
      <c r="J321" t="str">
        <f>K321&amp;L321</f>
        <v>Петров Владимир КирилловичНовикова София Ивановна</v>
      </c>
      <c r="K321" t="s">
        <v>19</v>
      </c>
      <c r="L321" t="s">
        <v>33</v>
      </c>
      <c r="M321" t="s">
        <v>247</v>
      </c>
      <c r="N321" t="str">
        <f t="shared" si="19"/>
        <v>Семенова Ирина ВалерьевнаСмирнова Екатерина Ивановна</v>
      </c>
      <c r="O321" t="s">
        <v>16</v>
      </c>
      <c r="P321" t="s">
        <v>28</v>
      </c>
      <c r="Q321" t="s">
        <v>367</v>
      </c>
    </row>
    <row r="322" spans="4:17" x14ac:dyDescent="0.25">
      <c r="D322" t="s">
        <v>13</v>
      </c>
      <c r="E322" t="s">
        <v>85</v>
      </c>
      <c r="F322" t="str">
        <f t="shared" si="16"/>
        <v>2024-01-12</v>
      </c>
      <c r="G322" t="str">
        <f t="shared" si="17"/>
        <v>2024-01-12</v>
      </c>
      <c r="H322">
        <f t="shared" si="18"/>
        <v>0</v>
      </c>
      <c r="J322" t="str">
        <f>K322&amp;L322</f>
        <v>Петров Владимир КирилловичСтепанова Александра Дмитриевна</v>
      </c>
      <c r="K322" t="s">
        <v>19</v>
      </c>
      <c r="L322" t="s">
        <v>46</v>
      </c>
      <c r="M322" t="s">
        <v>247</v>
      </c>
      <c r="N322" t="str">
        <f t="shared" si="19"/>
        <v>Яковлев Артем ИгоревичВолкова Виктория Артемовна</v>
      </c>
      <c r="O322" t="s">
        <v>21</v>
      </c>
      <c r="P322" t="s">
        <v>159</v>
      </c>
      <c r="Q322" t="s">
        <v>367</v>
      </c>
    </row>
    <row r="323" spans="4:17" x14ac:dyDescent="0.25">
      <c r="D323" t="s">
        <v>13</v>
      </c>
      <c r="E323" t="s">
        <v>14</v>
      </c>
      <c r="F323" t="str">
        <f t="shared" ref="F323:F386" si="20">VLOOKUP(D323&amp;E323,J:M,4,0)</f>
        <v>2023-09-04</v>
      </c>
      <c r="G323" t="str">
        <f t="shared" ref="G323:G386" si="21">VLOOKUP(D323&amp;E323,N:Q,4,0)</f>
        <v>2023-09-04</v>
      </c>
      <c r="H323">
        <f t="shared" ref="H323:H386" si="22">G323-F323</f>
        <v>0</v>
      </c>
      <c r="J323" t="str">
        <f>K323&amp;L323</f>
        <v>Петров Владимир КирилловичНовикова Ольга Викторовна</v>
      </c>
      <c r="K323" t="s">
        <v>19</v>
      </c>
      <c r="L323" t="s">
        <v>47</v>
      </c>
      <c r="M323" t="s">
        <v>247</v>
      </c>
      <c r="N323" t="str">
        <f t="shared" ref="N323:N386" si="23">O323&amp;P323</f>
        <v>Громова Мария ИльиничнаПопов Сергей Артемович</v>
      </c>
      <c r="O323" t="s">
        <v>43</v>
      </c>
      <c r="P323" t="s">
        <v>174</v>
      </c>
      <c r="Q323" t="s">
        <v>367</v>
      </c>
    </row>
    <row r="324" spans="4:17" x14ac:dyDescent="0.25">
      <c r="D324" t="s">
        <v>13</v>
      </c>
      <c r="E324" t="s">
        <v>93</v>
      </c>
      <c r="F324" t="str">
        <f t="shared" si="20"/>
        <v>2024-05-17</v>
      </c>
      <c r="G324" t="str">
        <f t="shared" si="21"/>
        <v>2024-05-17</v>
      </c>
      <c r="H324">
        <f t="shared" si="22"/>
        <v>0</v>
      </c>
      <c r="J324" t="str">
        <f>K324&amp;L324</f>
        <v>Фролов Сергей ВикторовичЛебедев Никита Викторович</v>
      </c>
      <c r="K324" t="s">
        <v>38</v>
      </c>
      <c r="L324" t="s">
        <v>239</v>
      </c>
      <c r="M324" t="s">
        <v>247</v>
      </c>
      <c r="N324" t="str">
        <f t="shared" si="23"/>
        <v>Яковлев Артем ИгоревичСидоров Егор Павлович</v>
      </c>
      <c r="O324" t="s">
        <v>21</v>
      </c>
      <c r="P324" t="s">
        <v>173</v>
      </c>
      <c r="Q324" t="s">
        <v>367</v>
      </c>
    </row>
    <row r="325" spans="4:17" x14ac:dyDescent="0.25">
      <c r="D325" t="s">
        <v>13</v>
      </c>
      <c r="E325" t="s">
        <v>65</v>
      </c>
      <c r="F325" t="str">
        <f t="shared" si="20"/>
        <v>2024-08-27</v>
      </c>
      <c r="G325" t="str">
        <f t="shared" si="21"/>
        <v>2024-08-29</v>
      </c>
      <c r="H325">
        <f t="shared" si="22"/>
        <v>2</v>
      </c>
      <c r="J325" t="str">
        <f>K325&amp;L325</f>
        <v>Петров Владимир КирилловичКозлов Артур Сергеевич</v>
      </c>
      <c r="K325" t="s">
        <v>19</v>
      </c>
      <c r="L325" t="s">
        <v>215</v>
      </c>
      <c r="M325" t="s">
        <v>247</v>
      </c>
      <c r="N325" t="str">
        <f t="shared" si="23"/>
        <v>Белов Алексей КонстантиновичПавлова София Геннадьевна</v>
      </c>
      <c r="O325" t="s">
        <v>5</v>
      </c>
      <c r="P325" t="s">
        <v>126</v>
      </c>
      <c r="Q325" t="s">
        <v>367</v>
      </c>
    </row>
    <row r="326" spans="4:17" x14ac:dyDescent="0.25">
      <c r="D326" t="s">
        <v>13</v>
      </c>
      <c r="E326" t="s">
        <v>220</v>
      </c>
      <c r="F326" t="str">
        <f t="shared" si="20"/>
        <v>2023-11-30</v>
      </c>
      <c r="G326" t="str">
        <f t="shared" si="21"/>
        <v>2023-11-30</v>
      </c>
      <c r="H326">
        <f t="shared" si="22"/>
        <v>0</v>
      </c>
      <c r="J326" t="str">
        <f>K326&amp;L326</f>
        <v>Иванова Анна СергеевнаПопова Полина Юрьевна</v>
      </c>
      <c r="K326" t="s">
        <v>55</v>
      </c>
      <c r="L326" t="s">
        <v>248</v>
      </c>
      <c r="M326" t="s">
        <v>247</v>
      </c>
      <c r="N326" t="str">
        <f t="shared" si="23"/>
        <v>Белов Алексей КонстантиновичНовикова Людмила Кирилловна</v>
      </c>
      <c r="O326" t="s">
        <v>5</v>
      </c>
      <c r="P326" t="s">
        <v>6</v>
      </c>
      <c r="Q326" t="s">
        <v>366</v>
      </c>
    </row>
    <row r="327" spans="4:17" x14ac:dyDescent="0.25">
      <c r="D327" t="s">
        <v>13</v>
      </c>
      <c r="E327" t="s">
        <v>187</v>
      </c>
      <c r="F327" t="str">
        <f t="shared" si="20"/>
        <v>2024-02-02</v>
      </c>
      <c r="G327" t="str">
        <f t="shared" si="21"/>
        <v>2024-06-03</v>
      </c>
      <c r="H327">
        <f t="shared" si="22"/>
        <v>122</v>
      </c>
      <c r="J327" t="str">
        <f>K327&amp;L327</f>
        <v>Сидорова Елена ВасильевнаИванова Полина Дмитриевна</v>
      </c>
      <c r="K327" t="s">
        <v>8</v>
      </c>
      <c r="L327" t="s">
        <v>91</v>
      </c>
      <c r="M327" t="s">
        <v>249</v>
      </c>
      <c r="N327" t="str">
        <f t="shared" si="23"/>
        <v>Петров Владимир КирилловичПетрова Ольга Геннадьевна</v>
      </c>
      <c r="O327" t="s">
        <v>19</v>
      </c>
      <c r="P327" t="s">
        <v>184</v>
      </c>
      <c r="Q327" t="s">
        <v>365</v>
      </c>
    </row>
    <row r="328" spans="4:17" x14ac:dyDescent="0.25">
      <c r="D328" t="s">
        <v>13</v>
      </c>
      <c r="E328" t="s">
        <v>113</v>
      </c>
      <c r="F328" t="str">
        <f t="shared" si="20"/>
        <v>2023-10-02</v>
      </c>
      <c r="G328" t="str">
        <f t="shared" si="21"/>
        <v>2023-10-02</v>
      </c>
      <c r="H328">
        <f t="shared" si="22"/>
        <v>0</v>
      </c>
      <c r="J328" t="str">
        <f>K328&amp;L328</f>
        <v>Петров Владимир КирилловичСмирнов Дмитрий Егорович</v>
      </c>
      <c r="K328" t="s">
        <v>19</v>
      </c>
      <c r="L328" t="s">
        <v>250</v>
      </c>
      <c r="M328" t="s">
        <v>249</v>
      </c>
      <c r="N328" t="str">
        <f t="shared" si="23"/>
        <v>Орлов Павел ДенисовичСмирнова Екатерина Ивановна</v>
      </c>
      <c r="O328" t="s">
        <v>13</v>
      </c>
      <c r="P328" t="s">
        <v>28</v>
      </c>
      <c r="Q328" t="s">
        <v>365</v>
      </c>
    </row>
    <row r="329" spans="4:17" x14ac:dyDescent="0.25">
      <c r="D329" t="s">
        <v>13</v>
      </c>
      <c r="E329" t="s">
        <v>58</v>
      </c>
      <c r="F329" t="str">
        <f t="shared" si="20"/>
        <v>2023-10-23</v>
      </c>
      <c r="G329" t="str">
        <f t="shared" si="21"/>
        <v>2024-06-21</v>
      </c>
      <c r="H329">
        <f t="shared" si="22"/>
        <v>242</v>
      </c>
      <c r="J329" t="str">
        <f>K329&amp;L329</f>
        <v>Новикова Ольга ПетровнаСмирнов Роман Кириллович</v>
      </c>
      <c r="K329" t="s">
        <v>29</v>
      </c>
      <c r="L329" t="s">
        <v>125</v>
      </c>
      <c r="M329" t="s">
        <v>249</v>
      </c>
      <c r="N329" t="str">
        <f t="shared" si="23"/>
        <v>Петров Владимир КирилловичВасильев Андрей Павлович</v>
      </c>
      <c r="O329" t="s">
        <v>19</v>
      </c>
      <c r="P329" t="s">
        <v>151</v>
      </c>
      <c r="Q329" t="s">
        <v>364</v>
      </c>
    </row>
    <row r="330" spans="4:17" x14ac:dyDescent="0.25">
      <c r="D330" t="s">
        <v>13</v>
      </c>
      <c r="E330" t="s">
        <v>64</v>
      </c>
      <c r="F330" t="str">
        <f t="shared" si="20"/>
        <v>2023-12-27</v>
      </c>
      <c r="G330" t="str">
        <f t="shared" si="21"/>
        <v>2024-06-14</v>
      </c>
      <c r="H330">
        <f t="shared" si="22"/>
        <v>170</v>
      </c>
      <c r="J330" t="str">
        <f>K330&amp;L330</f>
        <v>Кузнецов Дмитрий ЛьвовичВолкова Людмила Кирилловна</v>
      </c>
      <c r="K330" t="s">
        <v>11</v>
      </c>
      <c r="L330" t="s">
        <v>139</v>
      </c>
      <c r="M330" t="s">
        <v>249</v>
      </c>
      <c r="N330" t="str">
        <f t="shared" si="23"/>
        <v>Иванова Анна СергеевнаИванова Полина Дмитриевна</v>
      </c>
      <c r="O330" t="s">
        <v>55</v>
      </c>
      <c r="P330" t="s">
        <v>91</v>
      </c>
      <c r="Q330" t="s">
        <v>364</v>
      </c>
    </row>
    <row r="331" spans="4:17" x14ac:dyDescent="0.25">
      <c r="D331" t="s">
        <v>13</v>
      </c>
      <c r="E331" t="s">
        <v>186</v>
      </c>
      <c r="F331" t="str">
        <f t="shared" si="20"/>
        <v>2023-12-25</v>
      </c>
      <c r="G331" t="str">
        <f t="shared" si="21"/>
        <v>2024-03-19</v>
      </c>
      <c r="H331">
        <f t="shared" si="22"/>
        <v>85</v>
      </c>
      <c r="J331" t="str">
        <f>K331&amp;L331</f>
        <v>Иванова Анна СергеевнаНовикова София Ивановна</v>
      </c>
      <c r="K331" t="s">
        <v>55</v>
      </c>
      <c r="L331" t="s">
        <v>33</v>
      </c>
      <c r="M331" t="s">
        <v>251</v>
      </c>
      <c r="N331" t="str">
        <f t="shared" si="23"/>
        <v>Сидорова Елена ВасильевнаПопова Светлана Геннадьевна</v>
      </c>
      <c r="O331" t="s">
        <v>8</v>
      </c>
      <c r="P331" t="s">
        <v>18</v>
      </c>
      <c r="Q331" t="s">
        <v>363</v>
      </c>
    </row>
    <row r="332" spans="4:17" x14ac:dyDescent="0.25">
      <c r="D332" t="s">
        <v>13</v>
      </c>
      <c r="E332" t="s">
        <v>221</v>
      </c>
      <c r="F332" t="str">
        <f t="shared" si="20"/>
        <v>2023-12-29</v>
      </c>
      <c r="G332" t="str">
        <f t="shared" si="21"/>
        <v>2023-12-29</v>
      </c>
      <c r="H332">
        <f t="shared" si="22"/>
        <v>0</v>
      </c>
      <c r="J332" t="str">
        <f>K332&amp;L332</f>
        <v>Иванова Анна СергеевнаКозлов Артур Сергеевич</v>
      </c>
      <c r="K332" t="s">
        <v>55</v>
      </c>
      <c r="L332" t="s">
        <v>215</v>
      </c>
      <c r="M332" t="s">
        <v>251</v>
      </c>
      <c r="N332" t="str">
        <f t="shared" si="23"/>
        <v>Иванова Анна СергеевнаФедорова Татьяна Викторовна</v>
      </c>
      <c r="O332" t="s">
        <v>55</v>
      </c>
      <c r="P332" t="s">
        <v>104</v>
      </c>
      <c r="Q332" t="s">
        <v>361</v>
      </c>
    </row>
    <row r="333" spans="4:17" x14ac:dyDescent="0.25">
      <c r="D333" t="s">
        <v>13</v>
      </c>
      <c r="E333" t="s">
        <v>49</v>
      </c>
      <c r="F333" t="str">
        <f t="shared" si="20"/>
        <v>2024-02-26</v>
      </c>
      <c r="G333" t="str">
        <f t="shared" si="21"/>
        <v>2024-02-26</v>
      </c>
      <c r="H333">
        <f t="shared" si="22"/>
        <v>0</v>
      </c>
      <c r="J333" t="str">
        <f>K333&amp;L333</f>
        <v>Иванова Анна СергеевнаВолкова Анна Станиславовна</v>
      </c>
      <c r="K333" t="s">
        <v>55</v>
      </c>
      <c r="L333" t="s">
        <v>54</v>
      </c>
      <c r="M333" t="s">
        <v>252</v>
      </c>
      <c r="N333" t="str">
        <f t="shared" si="23"/>
        <v>Громова Мария ИльиничнаНовикова София Ивановна</v>
      </c>
      <c r="O333" t="s">
        <v>43</v>
      </c>
      <c r="P333" t="s">
        <v>33</v>
      </c>
      <c r="Q333" t="s">
        <v>361</v>
      </c>
    </row>
    <row r="334" spans="4:17" x14ac:dyDescent="0.25">
      <c r="D334" t="s">
        <v>13</v>
      </c>
      <c r="E334" t="s">
        <v>188</v>
      </c>
      <c r="F334" t="str">
        <f t="shared" si="20"/>
        <v>2023-11-17</v>
      </c>
      <c r="G334" t="str">
        <f t="shared" si="21"/>
        <v>2023-11-17</v>
      </c>
      <c r="H334">
        <f t="shared" si="22"/>
        <v>0</v>
      </c>
      <c r="J334" t="str">
        <f>K334&amp;L334</f>
        <v>Громова Мария ИльиничнаНиколаев Никита Викторович</v>
      </c>
      <c r="K334" t="s">
        <v>43</v>
      </c>
      <c r="L334" t="s">
        <v>253</v>
      </c>
      <c r="M334" t="s">
        <v>252</v>
      </c>
      <c r="N334" t="str">
        <f t="shared" si="23"/>
        <v>Фролов Сергей ВикторовичПетров Павел Юрьевич</v>
      </c>
      <c r="O334" t="s">
        <v>38</v>
      </c>
      <c r="P334" t="s">
        <v>206</v>
      </c>
      <c r="Q334" t="s">
        <v>361</v>
      </c>
    </row>
    <row r="335" spans="4:17" x14ac:dyDescent="0.25">
      <c r="D335" t="s">
        <v>13</v>
      </c>
      <c r="E335" t="s">
        <v>146</v>
      </c>
      <c r="F335" t="str">
        <f t="shared" si="20"/>
        <v>2023-10-19</v>
      </c>
      <c r="G335" t="str">
        <f t="shared" si="21"/>
        <v>2023-10-19</v>
      </c>
      <c r="H335">
        <f t="shared" si="22"/>
        <v>0</v>
      </c>
      <c r="J335" t="str">
        <f>K335&amp;L335</f>
        <v>Яковлев Артем ИгоревичМорозов Владимир Станиславович</v>
      </c>
      <c r="K335" t="s">
        <v>21</v>
      </c>
      <c r="L335" t="s">
        <v>141</v>
      </c>
      <c r="M335" t="s">
        <v>252</v>
      </c>
      <c r="N335" t="str">
        <f t="shared" si="23"/>
        <v>Иванова Анна СергеевнаЛебедева Анна Олеговна</v>
      </c>
      <c r="O335" t="s">
        <v>55</v>
      </c>
      <c r="P335" t="s">
        <v>362</v>
      </c>
      <c r="Q335" t="s">
        <v>361</v>
      </c>
    </row>
    <row r="336" spans="4:17" x14ac:dyDescent="0.25">
      <c r="D336" t="s">
        <v>13</v>
      </c>
      <c r="E336" t="s">
        <v>149</v>
      </c>
      <c r="F336" t="str">
        <f t="shared" si="20"/>
        <v>2023-10-19</v>
      </c>
      <c r="G336" t="str">
        <f t="shared" si="21"/>
        <v>2023-11-13</v>
      </c>
      <c r="H336">
        <f t="shared" si="22"/>
        <v>25</v>
      </c>
      <c r="J336" t="str">
        <f>K336&amp;L336</f>
        <v>Новикова Ольга ПетровнаНовикова София Ивановна</v>
      </c>
      <c r="K336" t="s">
        <v>29</v>
      </c>
      <c r="L336" t="s">
        <v>33</v>
      </c>
      <c r="M336" t="s">
        <v>254</v>
      </c>
      <c r="N336" t="str">
        <f t="shared" si="23"/>
        <v>Орлов Павел ДенисовичПетров Константин Егорович</v>
      </c>
      <c r="O336" t="s">
        <v>13</v>
      </c>
      <c r="P336" t="s">
        <v>102</v>
      </c>
      <c r="Q336" t="s">
        <v>361</v>
      </c>
    </row>
    <row r="337" spans="4:17" x14ac:dyDescent="0.25">
      <c r="D337" t="s">
        <v>13</v>
      </c>
      <c r="E337" t="s">
        <v>164</v>
      </c>
      <c r="F337" t="str">
        <f t="shared" si="20"/>
        <v>2024-04-16</v>
      </c>
      <c r="G337" t="str">
        <f t="shared" si="21"/>
        <v>2024-04-16</v>
      </c>
      <c r="H337">
        <f t="shared" si="22"/>
        <v>0</v>
      </c>
      <c r="J337" t="str">
        <f>K337&amp;L337</f>
        <v>Кузнецов Дмитрий ЛьвовичИванова София Михайловна</v>
      </c>
      <c r="K337" t="s">
        <v>11</v>
      </c>
      <c r="L337" t="s">
        <v>161</v>
      </c>
      <c r="M337" t="s">
        <v>254</v>
      </c>
      <c r="N337" t="str">
        <f t="shared" si="23"/>
        <v>Иванова Анна СергеевнаСтепанов Кирилл Алексеевич</v>
      </c>
      <c r="O337" t="s">
        <v>55</v>
      </c>
      <c r="P337" t="s">
        <v>200</v>
      </c>
      <c r="Q337" t="s">
        <v>360</v>
      </c>
    </row>
    <row r="338" spans="4:17" x14ac:dyDescent="0.25">
      <c r="D338" t="s">
        <v>13</v>
      </c>
      <c r="E338" t="s">
        <v>131</v>
      </c>
      <c r="F338" t="str">
        <f t="shared" si="20"/>
        <v>2024-01-08</v>
      </c>
      <c r="G338" t="str">
        <f t="shared" si="21"/>
        <v>2024-03-18</v>
      </c>
      <c r="H338">
        <f t="shared" si="22"/>
        <v>70</v>
      </c>
      <c r="J338" t="str">
        <f>K338&amp;L338</f>
        <v>Сидорова Елена ВасильевнаСидоров Дмитрий Александрович</v>
      </c>
      <c r="K338" t="s">
        <v>8</v>
      </c>
      <c r="L338" t="s">
        <v>255</v>
      </c>
      <c r="M338" t="s">
        <v>254</v>
      </c>
      <c r="N338" t="str">
        <f t="shared" si="23"/>
        <v>Сидорова Елена ВасильевнаОрлов Владимир Никитич</v>
      </c>
      <c r="O338" t="s">
        <v>8</v>
      </c>
      <c r="P338" t="s">
        <v>32</v>
      </c>
      <c r="Q338" t="s">
        <v>359</v>
      </c>
    </row>
    <row r="339" spans="4:17" x14ac:dyDescent="0.25">
      <c r="D339" t="s">
        <v>13</v>
      </c>
      <c r="E339" t="s">
        <v>91</v>
      </c>
      <c r="F339" t="str">
        <f t="shared" si="20"/>
        <v>2023-09-22</v>
      </c>
      <c r="G339" t="str">
        <f t="shared" si="21"/>
        <v>2023-09-22</v>
      </c>
      <c r="H339">
        <f t="shared" si="22"/>
        <v>0</v>
      </c>
      <c r="J339" t="str">
        <f>K339&amp;L339</f>
        <v>Орлов Павел ДенисовичИванова Ольга Дмитриевна</v>
      </c>
      <c r="K339" t="s">
        <v>13</v>
      </c>
      <c r="L339" t="s">
        <v>131</v>
      </c>
      <c r="M339" t="s">
        <v>254</v>
      </c>
      <c r="N339" t="str">
        <f t="shared" si="23"/>
        <v>Петров Владимир КирилловичКузнецов Егор Андреевич</v>
      </c>
      <c r="O339" t="s">
        <v>19</v>
      </c>
      <c r="P339" t="s">
        <v>30</v>
      </c>
      <c r="Q339" t="s">
        <v>358</v>
      </c>
    </row>
    <row r="340" spans="4:17" x14ac:dyDescent="0.25">
      <c r="D340" t="s">
        <v>13</v>
      </c>
      <c r="E340" t="s">
        <v>215</v>
      </c>
      <c r="F340" t="str">
        <f t="shared" si="20"/>
        <v>2024-04-17</v>
      </c>
      <c r="G340" t="str">
        <f t="shared" si="21"/>
        <v>2024-04-17</v>
      </c>
      <c r="H340">
        <f t="shared" si="22"/>
        <v>0</v>
      </c>
      <c r="J340" t="str">
        <f>K340&amp;L340</f>
        <v>Кузнецов Дмитрий ЛьвовичСидорова София Артемовна</v>
      </c>
      <c r="K340" t="s">
        <v>11</v>
      </c>
      <c r="L340" t="s">
        <v>45</v>
      </c>
      <c r="M340" t="s">
        <v>254</v>
      </c>
      <c r="N340" t="str">
        <f t="shared" si="23"/>
        <v>Иванова Анна СергеевнаНиколаева Алиса Ильинична</v>
      </c>
      <c r="O340" t="s">
        <v>55</v>
      </c>
      <c r="P340" t="s">
        <v>67</v>
      </c>
      <c r="Q340" t="s">
        <v>358</v>
      </c>
    </row>
    <row r="341" spans="4:17" x14ac:dyDescent="0.25">
      <c r="D341" t="s">
        <v>13</v>
      </c>
      <c r="E341" t="s">
        <v>134</v>
      </c>
      <c r="F341" t="str">
        <f t="shared" si="20"/>
        <v>2023-11-20</v>
      </c>
      <c r="G341" t="str">
        <f t="shared" si="21"/>
        <v>2023-11-20</v>
      </c>
      <c r="H341">
        <f t="shared" si="22"/>
        <v>0</v>
      </c>
      <c r="J341" t="str">
        <f>K341&amp;L341</f>
        <v>Иванова Анна СергеевнаОрлова Вероника Андреевна</v>
      </c>
      <c r="K341" t="s">
        <v>55</v>
      </c>
      <c r="L341" t="s">
        <v>100</v>
      </c>
      <c r="M341" t="s">
        <v>254</v>
      </c>
      <c r="N341" t="str">
        <f t="shared" si="23"/>
        <v>Кузнецов Дмитрий ЛьвовичПетрова Валерия Викторовна</v>
      </c>
      <c r="O341" t="s">
        <v>11</v>
      </c>
      <c r="P341" t="s">
        <v>275</v>
      </c>
      <c r="Q341" t="s">
        <v>358</v>
      </c>
    </row>
    <row r="342" spans="4:17" x14ac:dyDescent="0.25">
      <c r="D342" t="s">
        <v>13</v>
      </c>
      <c r="E342" t="s">
        <v>326</v>
      </c>
      <c r="F342" t="str">
        <f t="shared" si="20"/>
        <v>2024-03-25</v>
      </c>
      <c r="G342" t="str">
        <f t="shared" si="21"/>
        <v>2024-03-25</v>
      </c>
      <c r="H342">
        <f t="shared" si="22"/>
        <v>0</v>
      </c>
      <c r="J342" t="str">
        <f>K342&amp;L342</f>
        <v>Сидорова Елена ВасильевнаОрлов Иван Викторович</v>
      </c>
      <c r="K342" t="s">
        <v>8</v>
      </c>
      <c r="L342" t="s">
        <v>37</v>
      </c>
      <c r="M342" t="s">
        <v>254</v>
      </c>
      <c r="N342" t="str">
        <f t="shared" si="23"/>
        <v>Сидорова Елена ВасильевнаПопов Матвей Иванович</v>
      </c>
      <c r="O342" t="s">
        <v>8</v>
      </c>
      <c r="P342" t="s">
        <v>138</v>
      </c>
      <c r="Q342" t="s">
        <v>358</v>
      </c>
    </row>
    <row r="343" spans="4:17" x14ac:dyDescent="0.25">
      <c r="D343" t="s">
        <v>13</v>
      </c>
      <c r="E343" t="s">
        <v>202</v>
      </c>
      <c r="F343" t="str">
        <f t="shared" si="20"/>
        <v>2023-12-15</v>
      </c>
      <c r="G343" t="str">
        <f t="shared" si="21"/>
        <v>2023-12-15</v>
      </c>
      <c r="H343">
        <f t="shared" si="22"/>
        <v>0</v>
      </c>
      <c r="J343" t="str">
        <f>K343&amp;L343</f>
        <v>Орлов Павел ДенисовичСеменова Полина Сергеевна</v>
      </c>
      <c r="K343" t="s">
        <v>13</v>
      </c>
      <c r="L343" t="s">
        <v>183</v>
      </c>
      <c r="M343" t="s">
        <v>256</v>
      </c>
      <c r="N343" t="str">
        <f t="shared" si="23"/>
        <v>Петров Владимир КирилловичСидоров Кирилл Михайлович</v>
      </c>
      <c r="O343" t="s">
        <v>19</v>
      </c>
      <c r="P343" t="s">
        <v>59</v>
      </c>
      <c r="Q343" t="s">
        <v>358</v>
      </c>
    </row>
    <row r="344" spans="4:17" x14ac:dyDescent="0.25">
      <c r="D344" t="s">
        <v>13</v>
      </c>
      <c r="E344" t="s">
        <v>78</v>
      </c>
      <c r="F344" t="str">
        <f t="shared" si="20"/>
        <v>2024-01-15</v>
      </c>
      <c r="G344" t="str">
        <f t="shared" si="21"/>
        <v>2024-01-15</v>
      </c>
      <c r="H344">
        <f t="shared" si="22"/>
        <v>0</v>
      </c>
      <c r="J344" t="str">
        <f>K344&amp;L344</f>
        <v>Орлов Павел ДенисовичСеменов Михаил Сергеевич</v>
      </c>
      <c r="K344" t="s">
        <v>13</v>
      </c>
      <c r="L344" t="s">
        <v>20</v>
      </c>
      <c r="M344" t="s">
        <v>256</v>
      </c>
      <c r="N344" t="str">
        <f t="shared" si="23"/>
        <v>Яковлев Артем ИгоревичКозлова Александра Андреевна</v>
      </c>
      <c r="O344" t="s">
        <v>21</v>
      </c>
      <c r="P344" t="s">
        <v>34</v>
      </c>
      <c r="Q344" t="s">
        <v>358</v>
      </c>
    </row>
    <row r="345" spans="4:17" x14ac:dyDescent="0.25">
      <c r="D345" t="s">
        <v>13</v>
      </c>
      <c r="E345" t="s">
        <v>216</v>
      </c>
      <c r="F345" t="str">
        <f t="shared" si="20"/>
        <v>2023-12-08</v>
      </c>
      <c r="G345" t="str">
        <f t="shared" si="21"/>
        <v>2024-01-23</v>
      </c>
      <c r="H345">
        <f t="shared" si="22"/>
        <v>46</v>
      </c>
      <c r="J345" t="str">
        <f>K345&amp;L345</f>
        <v>Ткаченко Андрей ОлеговичСеменов Никита Александрович</v>
      </c>
      <c r="K345" t="s">
        <v>26</v>
      </c>
      <c r="L345" t="s">
        <v>73</v>
      </c>
      <c r="M345" t="s">
        <v>256</v>
      </c>
      <c r="N345" t="str">
        <f t="shared" si="23"/>
        <v>Белов Алексей КонстантиновичНовиков Павел Сергеевич</v>
      </c>
      <c r="O345" t="s">
        <v>5</v>
      </c>
      <c r="P345" t="s">
        <v>145</v>
      </c>
      <c r="Q345" t="s">
        <v>358</v>
      </c>
    </row>
    <row r="346" spans="4:17" x14ac:dyDescent="0.25">
      <c r="D346" t="s">
        <v>13</v>
      </c>
      <c r="E346" t="s">
        <v>30</v>
      </c>
      <c r="F346" t="str">
        <f t="shared" si="20"/>
        <v>2023-12-07</v>
      </c>
      <c r="G346" t="str">
        <f t="shared" si="21"/>
        <v>2024-04-11</v>
      </c>
      <c r="H346">
        <f t="shared" si="22"/>
        <v>126</v>
      </c>
      <c r="J346" t="str">
        <f>K346&amp;L346</f>
        <v>Ткаченко Андрей ОлеговичМорозов Иван Геннадьевич</v>
      </c>
      <c r="K346" t="s">
        <v>26</v>
      </c>
      <c r="L346" t="s">
        <v>257</v>
      </c>
      <c r="M346" t="s">
        <v>256</v>
      </c>
      <c r="N346" t="str">
        <f t="shared" si="23"/>
        <v>Кузнецов Дмитрий ЛьвовичВолкова Екатерина Егоровна</v>
      </c>
      <c r="O346" t="s">
        <v>11</v>
      </c>
      <c r="P346" t="s">
        <v>58</v>
      </c>
      <c r="Q346" t="s">
        <v>357</v>
      </c>
    </row>
    <row r="347" spans="4:17" x14ac:dyDescent="0.25">
      <c r="D347" t="s">
        <v>13</v>
      </c>
      <c r="E347" t="s">
        <v>92</v>
      </c>
      <c r="F347" t="str">
        <f t="shared" si="20"/>
        <v>2024-02-23</v>
      </c>
      <c r="G347" t="str">
        <f t="shared" si="21"/>
        <v>2024-08-12</v>
      </c>
      <c r="H347">
        <f t="shared" si="22"/>
        <v>171</v>
      </c>
      <c r="J347" t="str">
        <f>K347&amp;L347</f>
        <v>Белов Алексей КонстантиновичСмирнов Илья Андреевич</v>
      </c>
      <c r="K347" t="s">
        <v>5</v>
      </c>
      <c r="L347" t="s">
        <v>258</v>
      </c>
      <c r="M347" t="s">
        <v>256</v>
      </c>
      <c r="N347" t="str">
        <f t="shared" si="23"/>
        <v>Яковлев Артем ИгоревичПопов Сергей Артемович</v>
      </c>
      <c r="O347" t="s">
        <v>21</v>
      </c>
      <c r="P347" t="s">
        <v>174</v>
      </c>
      <c r="Q347" t="s">
        <v>357</v>
      </c>
    </row>
    <row r="348" spans="4:17" x14ac:dyDescent="0.25">
      <c r="D348" t="s">
        <v>13</v>
      </c>
      <c r="E348" t="s">
        <v>116</v>
      </c>
      <c r="F348" t="str">
        <f t="shared" si="20"/>
        <v>2024-07-05</v>
      </c>
      <c r="G348" t="str">
        <f t="shared" si="21"/>
        <v>2024-07-05</v>
      </c>
      <c r="H348">
        <f t="shared" si="22"/>
        <v>0</v>
      </c>
      <c r="J348" t="str">
        <f>K348&amp;L348</f>
        <v>Ткаченко Андрей ОлеговичАлексеев Егор Юрьевич</v>
      </c>
      <c r="K348" t="s">
        <v>26</v>
      </c>
      <c r="L348" t="s">
        <v>193</v>
      </c>
      <c r="M348" t="s">
        <v>256</v>
      </c>
      <c r="N348" t="str">
        <f t="shared" si="23"/>
        <v>Громова Мария ИльиничнаНиколаев Андрей Ильич</v>
      </c>
      <c r="O348" t="s">
        <v>43</v>
      </c>
      <c r="P348" t="s">
        <v>63</v>
      </c>
      <c r="Q348" t="s">
        <v>357</v>
      </c>
    </row>
    <row r="349" spans="4:17" x14ac:dyDescent="0.25">
      <c r="D349" t="s">
        <v>13</v>
      </c>
      <c r="E349" t="s">
        <v>362</v>
      </c>
      <c r="F349" t="str">
        <f t="shared" si="20"/>
        <v>2024-08-20</v>
      </c>
      <c r="G349" t="str">
        <f t="shared" si="21"/>
        <v>2024-08-20</v>
      </c>
      <c r="H349">
        <f t="shared" si="22"/>
        <v>0</v>
      </c>
      <c r="J349" t="str">
        <f>K349&amp;L349</f>
        <v>Белов Алексей КонстантиновичКузнецов Кирилл Павлович</v>
      </c>
      <c r="K349" t="s">
        <v>5</v>
      </c>
      <c r="L349" t="s">
        <v>167</v>
      </c>
      <c r="M349" t="s">
        <v>256</v>
      </c>
      <c r="N349" t="str">
        <f t="shared" si="23"/>
        <v>Белов Алексей КонстантиновичВасильев Илья Алексеевич</v>
      </c>
      <c r="O349" t="s">
        <v>5</v>
      </c>
      <c r="P349" t="s">
        <v>232</v>
      </c>
      <c r="Q349" t="s">
        <v>356</v>
      </c>
    </row>
    <row r="350" spans="4:17" x14ac:dyDescent="0.25">
      <c r="D350" t="s">
        <v>13</v>
      </c>
      <c r="E350" t="s">
        <v>177</v>
      </c>
      <c r="F350" t="str">
        <f t="shared" si="20"/>
        <v>2024-05-21</v>
      </c>
      <c r="G350" t="str">
        <f t="shared" si="21"/>
        <v>2024-05-21</v>
      </c>
      <c r="H350">
        <f t="shared" si="22"/>
        <v>0</v>
      </c>
      <c r="J350" t="str">
        <f>K350&amp;L350</f>
        <v>Новикова Ольга ПетровнаВолков Алексей Никитич</v>
      </c>
      <c r="K350" t="s">
        <v>29</v>
      </c>
      <c r="L350" t="s">
        <v>187</v>
      </c>
      <c r="M350" t="s">
        <v>259</v>
      </c>
      <c r="N350" t="str">
        <f t="shared" si="23"/>
        <v>Кузнецов Дмитрий ЛьвовичКозлов Михаил Андреевич</v>
      </c>
      <c r="O350" t="s">
        <v>11</v>
      </c>
      <c r="P350" t="s">
        <v>354</v>
      </c>
      <c r="Q350" t="s">
        <v>355</v>
      </c>
    </row>
    <row r="351" spans="4:17" x14ac:dyDescent="0.25">
      <c r="D351" t="s">
        <v>13</v>
      </c>
      <c r="E351" t="s">
        <v>63</v>
      </c>
      <c r="F351" t="str">
        <f t="shared" si="20"/>
        <v>2024-05-13</v>
      </c>
      <c r="G351" t="str">
        <f t="shared" si="21"/>
        <v>2024-05-13</v>
      </c>
      <c r="H351">
        <f t="shared" si="22"/>
        <v>0</v>
      </c>
      <c r="J351" t="str">
        <f>K351&amp;L351</f>
        <v>Кузнецов Дмитрий ЛьвовичМорозов Иван Геннадьевич</v>
      </c>
      <c r="K351" t="s">
        <v>11</v>
      </c>
      <c r="L351" t="s">
        <v>257</v>
      </c>
      <c r="M351" t="s">
        <v>260</v>
      </c>
      <c r="N351" t="str">
        <f t="shared" si="23"/>
        <v>Фролов Сергей ВикторовичАлексеев Артур Артемович</v>
      </c>
      <c r="O351" t="s">
        <v>38</v>
      </c>
      <c r="P351" t="s">
        <v>190</v>
      </c>
      <c r="Q351" t="s">
        <v>352</v>
      </c>
    </row>
    <row r="352" spans="4:17" x14ac:dyDescent="0.25">
      <c r="D352" t="s">
        <v>13</v>
      </c>
      <c r="E352" t="s">
        <v>129</v>
      </c>
      <c r="F352" t="str">
        <f t="shared" si="20"/>
        <v>2024-04-02</v>
      </c>
      <c r="G352" t="str">
        <f t="shared" si="21"/>
        <v>2024-04-02</v>
      </c>
      <c r="H352">
        <f t="shared" si="22"/>
        <v>0</v>
      </c>
      <c r="J352" t="str">
        <f>K352&amp;L352</f>
        <v>Ткаченко Андрей ОлеговичАлексеев Артур Артемович</v>
      </c>
      <c r="K352" t="s">
        <v>26</v>
      </c>
      <c r="L352" t="s">
        <v>190</v>
      </c>
      <c r="M352" t="s">
        <v>261</v>
      </c>
      <c r="N352" t="str">
        <f t="shared" si="23"/>
        <v>Сидорова Елена ВасильевнаФедоров Максим Андреевич</v>
      </c>
      <c r="O352" t="s">
        <v>8</v>
      </c>
      <c r="P352" t="s">
        <v>97</v>
      </c>
      <c r="Q352" t="s">
        <v>352</v>
      </c>
    </row>
    <row r="353" spans="4:17" x14ac:dyDescent="0.25">
      <c r="D353" t="s">
        <v>13</v>
      </c>
      <c r="E353" t="s">
        <v>211</v>
      </c>
      <c r="F353" t="str">
        <f t="shared" si="20"/>
        <v>2023-11-22</v>
      </c>
      <c r="G353" t="str">
        <f t="shared" si="21"/>
        <v>2023-11-22</v>
      </c>
      <c r="H353">
        <f t="shared" si="22"/>
        <v>0</v>
      </c>
      <c r="J353" t="str">
        <f>K353&amp;L353</f>
        <v>Яковлев Артем ИгоревичИванова Полина Дмитриевна</v>
      </c>
      <c r="K353" t="s">
        <v>21</v>
      </c>
      <c r="L353" t="s">
        <v>91</v>
      </c>
      <c r="M353" t="s">
        <v>261</v>
      </c>
      <c r="N353" t="str">
        <f t="shared" si="23"/>
        <v>Фролов Сергей ВикторовичАлексеев Никита Алексеевич</v>
      </c>
      <c r="O353" t="s">
        <v>38</v>
      </c>
      <c r="P353" t="s">
        <v>171</v>
      </c>
      <c r="Q353" t="s">
        <v>352</v>
      </c>
    </row>
    <row r="354" spans="4:17" x14ac:dyDescent="0.25">
      <c r="D354" t="s">
        <v>13</v>
      </c>
      <c r="E354" t="s">
        <v>145</v>
      </c>
      <c r="F354" t="str">
        <f t="shared" si="20"/>
        <v>2024-05-31</v>
      </c>
      <c r="G354" t="str">
        <f t="shared" si="21"/>
        <v>2024-05-31</v>
      </c>
      <c r="H354">
        <f t="shared" si="22"/>
        <v>0</v>
      </c>
      <c r="J354" t="str">
        <f>K354&amp;L354</f>
        <v>Орлов Павел ДенисовичАлексеев Михаил Алексеевич</v>
      </c>
      <c r="K354" t="s">
        <v>13</v>
      </c>
      <c r="L354" t="s">
        <v>85</v>
      </c>
      <c r="M354" t="s">
        <v>261</v>
      </c>
      <c r="N354" t="str">
        <f t="shared" si="23"/>
        <v>Новикова Ольга ПетровнаВолкова Виктория Артемовна</v>
      </c>
      <c r="O354" t="s">
        <v>29</v>
      </c>
      <c r="P354" t="s">
        <v>159</v>
      </c>
      <c r="Q354" t="s">
        <v>352</v>
      </c>
    </row>
    <row r="355" spans="4:17" x14ac:dyDescent="0.25">
      <c r="D355" t="s">
        <v>13</v>
      </c>
      <c r="E355" t="s">
        <v>6</v>
      </c>
      <c r="F355" t="str">
        <f t="shared" si="20"/>
        <v>2024-01-16</v>
      </c>
      <c r="G355" t="str">
        <f t="shared" si="21"/>
        <v>2024-01-16</v>
      </c>
      <c r="H355">
        <f t="shared" si="22"/>
        <v>0</v>
      </c>
      <c r="J355" t="str">
        <f>K355&amp;L355</f>
        <v>Орлов Павел ДенисовичКузнецов Александр Романович</v>
      </c>
      <c r="K355" t="s">
        <v>13</v>
      </c>
      <c r="L355" t="s">
        <v>78</v>
      </c>
      <c r="M355" t="s">
        <v>262</v>
      </c>
      <c r="N355" t="str">
        <f t="shared" si="23"/>
        <v>Новикова Ольга ПетровнаАлексеева Полина Сергеевна</v>
      </c>
      <c r="O355" t="s">
        <v>29</v>
      </c>
      <c r="P355" t="s">
        <v>353</v>
      </c>
      <c r="Q355" t="s">
        <v>352</v>
      </c>
    </row>
    <row r="356" spans="4:17" x14ac:dyDescent="0.25">
      <c r="D356" t="s">
        <v>13</v>
      </c>
      <c r="E356" t="s">
        <v>47</v>
      </c>
      <c r="F356" t="str">
        <f t="shared" si="20"/>
        <v>2023-11-09</v>
      </c>
      <c r="G356" t="str">
        <f t="shared" si="21"/>
        <v>2024-03-21</v>
      </c>
      <c r="H356">
        <f t="shared" si="22"/>
        <v>133</v>
      </c>
      <c r="J356" t="str">
        <f>K356&amp;L356</f>
        <v>Семенова Ирина ВалерьевнаНиколаева Анна Михайловна</v>
      </c>
      <c r="K356" t="s">
        <v>16</v>
      </c>
      <c r="L356" t="s">
        <v>129</v>
      </c>
      <c r="M356" t="s">
        <v>262</v>
      </c>
      <c r="N356" t="str">
        <f t="shared" si="23"/>
        <v>Сидорова Елена ВасильевнаВолкова Полина Юрьевна</v>
      </c>
      <c r="O356" t="s">
        <v>8</v>
      </c>
      <c r="P356" t="s">
        <v>263</v>
      </c>
      <c r="Q356" t="s">
        <v>352</v>
      </c>
    </row>
    <row r="357" spans="4:17" x14ac:dyDescent="0.25">
      <c r="D357" t="s">
        <v>13</v>
      </c>
      <c r="E357" t="s">
        <v>33</v>
      </c>
      <c r="F357" t="str">
        <f t="shared" si="20"/>
        <v>2023-12-20</v>
      </c>
      <c r="G357" t="str">
        <f t="shared" si="21"/>
        <v>2023-12-20</v>
      </c>
      <c r="H357">
        <f t="shared" si="22"/>
        <v>0</v>
      </c>
      <c r="J357" t="str">
        <f>K357&amp;L357</f>
        <v>Петров Владимир КирилловичКозлова Александра Андреевна</v>
      </c>
      <c r="K357" t="s">
        <v>19</v>
      </c>
      <c r="L357" t="s">
        <v>34</v>
      </c>
      <c r="M357" t="s">
        <v>262</v>
      </c>
      <c r="N357" t="str">
        <f t="shared" si="23"/>
        <v>Иванова Анна СергеевнаНиколаев Андрей Ильич</v>
      </c>
      <c r="O357" t="s">
        <v>55</v>
      </c>
      <c r="P357" t="s">
        <v>63</v>
      </c>
      <c r="Q357" t="s">
        <v>352</v>
      </c>
    </row>
    <row r="358" spans="4:17" x14ac:dyDescent="0.25">
      <c r="D358" t="s">
        <v>13</v>
      </c>
      <c r="E358" t="s">
        <v>32</v>
      </c>
      <c r="F358" t="str">
        <f t="shared" si="20"/>
        <v>2024-06-03</v>
      </c>
      <c r="G358" t="str">
        <f t="shared" si="21"/>
        <v>2024-06-03</v>
      </c>
      <c r="H358">
        <f t="shared" si="22"/>
        <v>0</v>
      </c>
      <c r="J358" t="str">
        <f>K358&amp;L358</f>
        <v>Сидорова Елена ВасильевнаОрлов Владимир Александрович</v>
      </c>
      <c r="K358" t="s">
        <v>8</v>
      </c>
      <c r="L358" t="s">
        <v>106</v>
      </c>
      <c r="M358" t="s">
        <v>262</v>
      </c>
      <c r="N358" t="str">
        <f t="shared" si="23"/>
        <v>Петров Владимир КирилловичКузнецов Михаил Иванович</v>
      </c>
      <c r="O358" t="s">
        <v>19</v>
      </c>
      <c r="P358" t="s">
        <v>207</v>
      </c>
      <c r="Q358" t="s">
        <v>351</v>
      </c>
    </row>
    <row r="359" spans="4:17" x14ac:dyDescent="0.25">
      <c r="D359" t="s">
        <v>13</v>
      </c>
      <c r="E359" t="s">
        <v>37</v>
      </c>
      <c r="F359" t="str">
        <f t="shared" si="20"/>
        <v>2023-09-07</v>
      </c>
      <c r="G359" t="str">
        <f t="shared" si="21"/>
        <v>2023-10-11</v>
      </c>
      <c r="H359">
        <f t="shared" si="22"/>
        <v>34</v>
      </c>
      <c r="J359" t="str">
        <f>K359&amp;L359</f>
        <v>Петров Владимир КирилловичФедоров Андрей Владимирович</v>
      </c>
      <c r="K359" t="s">
        <v>19</v>
      </c>
      <c r="L359" t="s">
        <v>79</v>
      </c>
      <c r="M359" t="s">
        <v>262</v>
      </c>
      <c r="N359" t="str">
        <f t="shared" si="23"/>
        <v>Семенова Ирина ВалерьевнаСеменов Иван Артемович</v>
      </c>
      <c r="O359" t="s">
        <v>16</v>
      </c>
      <c r="P359" t="s">
        <v>295</v>
      </c>
      <c r="Q359" t="s">
        <v>351</v>
      </c>
    </row>
    <row r="360" spans="4:17" x14ac:dyDescent="0.25">
      <c r="D360" t="s">
        <v>13</v>
      </c>
      <c r="E360" t="s">
        <v>197</v>
      </c>
      <c r="F360" t="str">
        <f t="shared" si="20"/>
        <v>2024-08-05</v>
      </c>
      <c r="G360" t="str">
        <f t="shared" si="21"/>
        <v>2024-08-05</v>
      </c>
      <c r="H360">
        <f t="shared" si="22"/>
        <v>0</v>
      </c>
      <c r="J360" t="str">
        <f>K360&amp;L360</f>
        <v>Белов Алексей КонстантиновичМорозов Иван Геннадьевич</v>
      </c>
      <c r="K360" t="s">
        <v>5</v>
      </c>
      <c r="L360" t="s">
        <v>257</v>
      </c>
      <c r="M360" t="s">
        <v>262</v>
      </c>
      <c r="N360" t="str">
        <f t="shared" si="23"/>
        <v>Петров Владимир КирилловичПетров Дмитрий Сергеевич</v>
      </c>
      <c r="O360" t="s">
        <v>19</v>
      </c>
      <c r="P360" t="s">
        <v>84</v>
      </c>
      <c r="Q360" t="s">
        <v>351</v>
      </c>
    </row>
    <row r="361" spans="4:17" x14ac:dyDescent="0.25">
      <c r="D361" t="s">
        <v>13</v>
      </c>
      <c r="E361" t="s">
        <v>100</v>
      </c>
      <c r="F361" t="str">
        <f t="shared" si="20"/>
        <v>2024-05-23</v>
      </c>
      <c r="G361" t="str">
        <f t="shared" si="21"/>
        <v>2024-07-01</v>
      </c>
      <c r="H361">
        <f t="shared" si="22"/>
        <v>39</v>
      </c>
      <c r="J361" t="str">
        <f>K361&amp;L361</f>
        <v>Фролов Сергей ВикторовичФедоров Андрей Владимирович</v>
      </c>
      <c r="K361" t="s">
        <v>38</v>
      </c>
      <c r="L361" t="s">
        <v>79</v>
      </c>
      <c r="M361" t="s">
        <v>262</v>
      </c>
      <c r="N361" t="str">
        <f t="shared" si="23"/>
        <v>Белов Алексей КонстантиновичНиколаева Алиса Ильинична</v>
      </c>
      <c r="O361" t="s">
        <v>5</v>
      </c>
      <c r="P361" t="s">
        <v>67</v>
      </c>
      <c r="Q361" t="s">
        <v>350</v>
      </c>
    </row>
    <row r="362" spans="4:17" x14ac:dyDescent="0.25">
      <c r="D362" t="s">
        <v>13</v>
      </c>
      <c r="E362" t="s">
        <v>105</v>
      </c>
      <c r="F362" t="str">
        <f t="shared" si="20"/>
        <v>2023-09-28</v>
      </c>
      <c r="G362" t="str">
        <f t="shared" si="21"/>
        <v>2024-07-31</v>
      </c>
      <c r="H362">
        <f t="shared" si="22"/>
        <v>307</v>
      </c>
      <c r="J362" t="str">
        <f>K362&amp;L362</f>
        <v>Белов Алексей КонстантиновичНовикова София Ивановна</v>
      </c>
      <c r="K362" t="s">
        <v>5</v>
      </c>
      <c r="L362" t="s">
        <v>33</v>
      </c>
      <c r="M362" t="s">
        <v>262</v>
      </c>
      <c r="N362" t="str">
        <f t="shared" si="23"/>
        <v>Яковлев Артем ИгоревичПопов Георгий Ильич</v>
      </c>
      <c r="O362" t="s">
        <v>21</v>
      </c>
      <c r="P362" t="s">
        <v>148</v>
      </c>
      <c r="Q362" t="s">
        <v>350</v>
      </c>
    </row>
    <row r="363" spans="4:17" x14ac:dyDescent="0.25">
      <c r="D363" t="s">
        <v>13</v>
      </c>
      <c r="E363" t="s">
        <v>144</v>
      </c>
      <c r="F363" t="str">
        <f t="shared" si="20"/>
        <v>2024-06-26</v>
      </c>
      <c r="G363" t="str">
        <f t="shared" si="21"/>
        <v>2024-07-10</v>
      </c>
      <c r="H363">
        <f t="shared" si="22"/>
        <v>14</v>
      </c>
      <c r="J363" t="str">
        <f>K363&amp;L363</f>
        <v>Яковлев Артем ИгоревичВолкова Полина Юрьевна</v>
      </c>
      <c r="K363" t="s">
        <v>21</v>
      </c>
      <c r="L363" t="s">
        <v>263</v>
      </c>
      <c r="M363" t="s">
        <v>262</v>
      </c>
      <c r="N363" t="str">
        <f t="shared" si="23"/>
        <v>Сидорова Елена ВасильевнаСмирнова Елена Олеговна</v>
      </c>
      <c r="O363" t="s">
        <v>8</v>
      </c>
      <c r="P363" t="s">
        <v>22</v>
      </c>
      <c r="Q363" t="s">
        <v>349</v>
      </c>
    </row>
    <row r="364" spans="4:17" x14ac:dyDescent="0.25">
      <c r="D364" t="s">
        <v>13</v>
      </c>
      <c r="E364" t="s">
        <v>405</v>
      </c>
      <c r="F364" t="str">
        <f t="shared" si="20"/>
        <v>2024-07-01</v>
      </c>
      <c r="G364" t="str">
        <f t="shared" si="21"/>
        <v>2024-07-01</v>
      </c>
      <c r="H364">
        <f t="shared" si="22"/>
        <v>0</v>
      </c>
      <c r="J364" t="str">
        <f>K364&amp;L364</f>
        <v>Кузнецов Дмитрий ЛьвовичКозлова Александра Андреевна</v>
      </c>
      <c r="K364" t="s">
        <v>11</v>
      </c>
      <c r="L364" t="s">
        <v>34</v>
      </c>
      <c r="M364" t="s">
        <v>262</v>
      </c>
      <c r="N364" t="str">
        <f t="shared" si="23"/>
        <v>Петров Владимир КирилловичПавлов Алексей Юрьевич</v>
      </c>
      <c r="O364" t="s">
        <v>19</v>
      </c>
      <c r="P364" t="s">
        <v>105</v>
      </c>
      <c r="Q364" t="s">
        <v>349</v>
      </c>
    </row>
    <row r="365" spans="4:17" x14ac:dyDescent="0.25">
      <c r="D365" t="s">
        <v>13</v>
      </c>
      <c r="E365" t="s">
        <v>102</v>
      </c>
      <c r="F365" t="str">
        <f t="shared" si="20"/>
        <v>2024-05-02</v>
      </c>
      <c r="G365" t="str">
        <f t="shared" si="21"/>
        <v>2024-05-02</v>
      </c>
      <c r="H365">
        <f t="shared" si="22"/>
        <v>0</v>
      </c>
      <c r="J365" t="str">
        <f>K365&amp;L365</f>
        <v>Иванова Анна СергеевнаЕгорова Юлия Никитична</v>
      </c>
      <c r="K365" t="s">
        <v>55</v>
      </c>
      <c r="L365" t="s">
        <v>264</v>
      </c>
      <c r="M365" t="s">
        <v>262</v>
      </c>
      <c r="N365" t="str">
        <f t="shared" si="23"/>
        <v>Ткаченко Андрей ОлеговичПопов Роман Владимирович</v>
      </c>
      <c r="O365" t="s">
        <v>26</v>
      </c>
      <c r="P365" t="s">
        <v>88</v>
      </c>
      <c r="Q365" t="s">
        <v>349</v>
      </c>
    </row>
    <row r="366" spans="4:17" x14ac:dyDescent="0.25">
      <c r="D366" t="s">
        <v>13</v>
      </c>
      <c r="E366" t="s">
        <v>15</v>
      </c>
      <c r="F366" t="str">
        <f t="shared" si="20"/>
        <v>2024-06-10</v>
      </c>
      <c r="G366" t="str">
        <f t="shared" si="21"/>
        <v>2024-06-10</v>
      </c>
      <c r="H366">
        <f t="shared" si="22"/>
        <v>0</v>
      </c>
      <c r="J366" t="str">
        <f>K366&amp;L366</f>
        <v>Петров Владимир КирилловичКузнецов Артем Юрьевич</v>
      </c>
      <c r="K366" t="s">
        <v>19</v>
      </c>
      <c r="L366" t="s">
        <v>265</v>
      </c>
      <c r="M366" t="s">
        <v>266</v>
      </c>
      <c r="N366" t="str">
        <f t="shared" si="23"/>
        <v>Орлов Павел ДенисовичКозлов Артур Сергеевич</v>
      </c>
      <c r="O366" t="s">
        <v>13</v>
      </c>
      <c r="P366" t="s">
        <v>215</v>
      </c>
      <c r="Q366" t="s">
        <v>349</v>
      </c>
    </row>
    <row r="367" spans="4:17" x14ac:dyDescent="0.25">
      <c r="D367" t="s">
        <v>13</v>
      </c>
      <c r="E367" t="s">
        <v>75</v>
      </c>
      <c r="F367" t="str">
        <f t="shared" si="20"/>
        <v>2023-12-28</v>
      </c>
      <c r="G367" t="str">
        <f t="shared" si="21"/>
        <v>2024-03-01</v>
      </c>
      <c r="H367">
        <f t="shared" si="22"/>
        <v>64</v>
      </c>
      <c r="J367" t="str">
        <f>K367&amp;L367</f>
        <v>Кузнецов Дмитрий ЛьвовичВасильева Елена Андреевна</v>
      </c>
      <c r="K367" t="s">
        <v>11</v>
      </c>
      <c r="L367" t="s">
        <v>27</v>
      </c>
      <c r="M367" t="s">
        <v>266</v>
      </c>
      <c r="N367" t="str">
        <f t="shared" si="23"/>
        <v>Фролов Сергей ВикторовичВасильева Елена Андреевна</v>
      </c>
      <c r="O367" t="s">
        <v>38</v>
      </c>
      <c r="P367" t="s">
        <v>27</v>
      </c>
      <c r="Q367" t="s">
        <v>349</v>
      </c>
    </row>
    <row r="368" spans="4:17" x14ac:dyDescent="0.25">
      <c r="D368" t="s">
        <v>13</v>
      </c>
      <c r="E368" t="s">
        <v>275</v>
      </c>
      <c r="F368" t="str">
        <f t="shared" si="20"/>
        <v>2024-04-12</v>
      </c>
      <c r="G368" t="str">
        <f t="shared" si="21"/>
        <v>2024-05-14</v>
      </c>
      <c r="H368">
        <f t="shared" si="22"/>
        <v>32</v>
      </c>
      <c r="J368" t="str">
        <f>K368&amp;L368</f>
        <v>Орлов Павел ДенисовичНовикова Людмила Кирилловна</v>
      </c>
      <c r="K368" t="s">
        <v>13</v>
      </c>
      <c r="L368" t="s">
        <v>6</v>
      </c>
      <c r="M368" t="s">
        <v>266</v>
      </c>
      <c r="N368" t="str">
        <f t="shared" si="23"/>
        <v>Громова Мария ИльиничнаСеменова Анна Викторовна</v>
      </c>
      <c r="O368" t="s">
        <v>43</v>
      </c>
      <c r="P368" t="s">
        <v>347</v>
      </c>
      <c r="Q368" t="s">
        <v>349</v>
      </c>
    </row>
    <row r="369" spans="4:17" x14ac:dyDescent="0.25">
      <c r="D369" t="s">
        <v>13</v>
      </c>
      <c r="E369" t="s">
        <v>71</v>
      </c>
      <c r="F369" t="str">
        <f t="shared" si="20"/>
        <v>2023-09-20</v>
      </c>
      <c r="G369" t="str">
        <f t="shared" si="21"/>
        <v>2023-12-13</v>
      </c>
      <c r="H369">
        <f t="shared" si="22"/>
        <v>84</v>
      </c>
      <c r="J369" t="str">
        <f>K369&amp;L369</f>
        <v>Кузнецов Дмитрий ЛьвовичПавлова Ксения Романовна</v>
      </c>
      <c r="K369" t="s">
        <v>11</v>
      </c>
      <c r="L369" t="s">
        <v>267</v>
      </c>
      <c r="M369" t="s">
        <v>268</v>
      </c>
      <c r="N369" t="str">
        <f t="shared" si="23"/>
        <v>Орлов Павел ДенисовичИванова Елена Артемовна</v>
      </c>
      <c r="O369" t="s">
        <v>13</v>
      </c>
      <c r="P369" t="s">
        <v>164</v>
      </c>
      <c r="Q369" t="s">
        <v>348</v>
      </c>
    </row>
    <row r="370" spans="4:17" x14ac:dyDescent="0.25">
      <c r="D370" t="s">
        <v>13</v>
      </c>
      <c r="E370" t="s">
        <v>119</v>
      </c>
      <c r="F370" t="str">
        <f t="shared" si="20"/>
        <v>2023-11-17</v>
      </c>
      <c r="G370" t="str">
        <f t="shared" si="21"/>
        <v>2023-11-17</v>
      </c>
      <c r="H370">
        <f t="shared" si="22"/>
        <v>0</v>
      </c>
      <c r="J370" t="str">
        <f>K370&amp;L370</f>
        <v>Белов Алексей КонстантиновичВасильев Матвей Кириллович</v>
      </c>
      <c r="K370" t="s">
        <v>5</v>
      </c>
      <c r="L370" t="s">
        <v>269</v>
      </c>
      <c r="M370" t="s">
        <v>268</v>
      </c>
      <c r="N370" t="str">
        <f t="shared" si="23"/>
        <v>Громова Мария ИльиничнаЕгоров Никита Олегович</v>
      </c>
      <c r="O370" t="s">
        <v>43</v>
      </c>
      <c r="P370" t="s">
        <v>121</v>
      </c>
      <c r="Q370" t="s">
        <v>348</v>
      </c>
    </row>
    <row r="371" spans="4:17" x14ac:dyDescent="0.25">
      <c r="D371" t="s">
        <v>13</v>
      </c>
      <c r="E371" t="s">
        <v>61</v>
      </c>
      <c r="F371" t="str">
        <f t="shared" si="20"/>
        <v>2024-03-15</v>
      </c>
      <c r="G371" t="str">
        <f t="shared" si="21"/>
        <v>2024-03-15</v>
      </c>
      <c r="H371">
        <f t="shared" si="22"/>
        <v>0</v>
      </c>
      <c r="J371" t="str">
        <f>K371&amp;L371</f>
        <v>Ткаченко Андрей ОлеговичНовикова София Ивановна</v>
      </c>
      <c r="K371" t="s">
        <v>26</v>
      </c>
      <c r="L371" t="s">
        <v>33</v>
      </c>
      <c r="M371" t="s">
        <v>268</v>
      </c>
      <c r="N371" t="str">
        <f t="shared" si="23"/>
        <v>Ткаченко Андрей ОлеговичФедорова Людмила Сергеевна</v>
      </c>
      <c r="O371" t="s">
        <v>26</v>
      </c>
      <c r="P371" t="s">
        <v>305</v>
      </c>
      <c r="Q371" t="s">
        <v>348</v>
      </c>
    </row>
    <row r="372" spans="4:17" x14ac:dyDescent="0.25">
      <c r="D372" t="s">
        <v>13</v>
      </c>
      <c r="E372" t="s">
        <v>82</v>
      </c>
      <c r="F372" t="str">
        <f t="shared" si="20"/>
        <v>2023-09-20</v>
      </c>
      <c r="G372" t="str">
        <f t="shared" si="21"/>
        <v>2024-04-01</v>
      </c>
      <c r="H372">
        <f t="shared" si="22"/>
        <v>194</v>
      </c>
      <c r="J372" t="str">
        <f>K372&amp;L372</f>
        <v>Громова Мария ИльиничнаВолков Алексей Никитич</v>
      </c>
      <c r="K372" t="s">
        <v>43</v>
      </c>
      <c r="L372" t="s">
        <v>187</v>
      </c>
      <c r="M372" t="s">
        <v>270</v>
      </c>
      <c r="N372" t="str">
        <f t="shared" si="23"/>
        <v>Яковлев Артем ИгоревичСтепанов Кирилл Алексеевич</v>
      </c>
      <c r="O372" t="s">
        <v>21</v>
      </c>
      <c r="P372" t="s">
        <v>200</v>
      </c>
      <c r="Q372" t="s">
        <v>348</v>
      </c>
    </row>
    <row r="373" spans="4:17" x14ac:dyDescent="0.25">
      <c r="D373" t="s">
        <v>13</v>
      </c>
      <c r="E373" t="s">
        <v>165</v>
      </c>
      <c r="F373" t="str">
        <f t="shared" si="20"/>
        <v>2024-03-13</v>
      </c>
      <c r="G373" t="str">
        <f t="shared" si="21"/>
        <v>2024-03-13</v>
      </c>
      <c r="H373">
        <f t="shared" si="22"/>
        <v>0</v>
      </c>
      <c r="J373" t="str">
        <f>K373&amp;L373</f>
        <v>Новикова Ольга ПетровнаЕгоров Андрей Егорович</v>
      </c>
      <c r="K373" t="s">
        <v>29</v>
      </c>
      <c r="L373" t="s">
        <v>181</v>
      </c>
      <c r="M373" t="s">
        <v>271</v>
      </c>
      <c r="N373" t="str">
        <f t="shared" si="23"/>
        <v>Петров Владимир КирилловичВасильев Андрей Дмитриевич</v>
      </c>
      <c r="O373" t="s">
        <v>19</v>
      </c>
      <c r="P373" t="s">
        <v>172</v>
      </c>
      <c r="Q373" t="s">
        <v>348</v>
      </c>
    </row>
    <row r="374" spans="4:17" x14ac:dyDescent="0.25">
      <c r="D374" t="s">
        <v>13</v>
      </c>
      <c r="E374" t="s">
        <v>88</v>
      </c>
      <c r="F374" t="str">
        <f t="shared" si="20"/>
        <v>2024-08-15</v>
      </c>
      <c r="G374" t="str">
        <f t="shared" si="21"/>
        <v>2024-08-15</v>
      </c>
      <c r="H374">
        <f t="shared" si="22"/>
        <v>0</v>
      </c>
      <c r="J374" t="str">
        <f>K374&amp;L374</f>
        <v>Орлов Павел ДенисовичСмирнов Матвей Юрьевич</v>
      </c>
      <c r="K374" t="s">
        <v>13</v>
      </c>
      <c r="L374" t="s">
        <v>272</v>
      </c>
      <c r="M374" t="s">
        <v>271</v>
      </c>
      <c r="N374" t="str">
        <f t="shared" si="23"/>
        <v>Семенова Ирина ВалерьевнаВасильева Виктория Артемовна</v>
      </c>
      <c r="O374" t="s">
        <v>16</v>
      </c>
      <c r="P374" t="s">
        <v>274</v>
      </c>
      <c r="Q374" t="s">
        <v>346</v>
      </c>
    </row>
    <row r="375" spans="4:17" x14ac:dyDescent="0.25">
      <c r="D375" t="s">
        <v>13</v>
      </c>
      <c r="E375" t="s">
        <v>174</v>
      </c>
      <c r="F375" t="str">
        <f t="shared" si="20"/>
        <v>2024-02-26</v>
      </c>
      <c r="G375" t="str">
        <f t="shared" si="21"/>
        <v>2024-02-26</v>
      </c>
      <c r="H375">
        <f t="shared" si="22"/>
        <v>0</v>
      </c>
      <c r="J375" t="str">
        <f>K375&amp;L375</f>
        <v>Семенова Ирина ВалерьевнаВолкова Людмила Кирилловна</v>
      </c>
      <c r="K375" t="s">
        <v>16</v>
      </c>
      <c r="L375" t="s">
        <v>139</v>
      </c>
      <c r="M375" t="s">
        <v>271</v>
      </c>
      <c r="N375" t="str">
        <f t="shared" si="23"/>
        <v>Орлов Павел ДенисовичСеменова Анна Викторовна</v>
      </c>
      <c r="O375" t="s">
        <v>13</v>
      </c>
      <c r="P375" t="s">
        <v>347</v>
      </c>
      <c r="Q375" t="s">
        <v>346</v>
      </c>
    </row>
    <row r="376" spans="4:17" x14ac:dyDescent="0.25">
      <c r="D376" t="s">
        <v>13</v>
      </c>
      <c r="E376" t="s">
        <v>295</v>
      </c>
      <c r="F376" t="str">
        <f t="shared" si="20"/>
        <v>2024-02-14</v>
      </c>
      <c r="G376" t="str">
        <f t="shared" si="21"/>
        <v>2024-02-14</v>
      </c>
      <c r="H376">
        <f t="shared" si="22"/>
        <v>0</v>
      </c>
      <c r="J376" t="str">
        <f>K376&amp;L376</f>
        <v>Фролов Сергей ВикторовичИванова Светлана Артемовна</v>
      </c>
      <c r="K376" t="s">
        <v>38</v>
      </c>
      <c r="L376" t="s">
        <v>127</v>
      </c>
      <c r="M376" t="s">
        <v>271</v>
      </c>
      <c r="N376" t="str">
        <f t="shared" si="23"/>
        <v>Кузнецов Дмитрий ЛьвовичЕгоров Никита Олегович</v>
      </c>
      <c r="O376" t="s">
        <v>11</v>
      </c>
      <c r="P376" t="s">
        <v>121</v>
      </c>
      <c r="Q376" t="s">
        <v>346</v>
      </c>
    </row>
    <row r="377" spans="4:17" x14ac:dyDescent="0.25">
      <c r="D377" t="s">
        <v>13</v>
      </c>
      <c r="E377" t="s">
        <v>311</v>
      </c>
      <c r="F377" t="str">
        <f t="shared" si="20"/>
        <v>2024-07-01</v>
      </c>
      <c r="G377" t="str">
        <f t="shared" si="21"/>
        <v>2024-07-01</v>
      </c>
      <c r="H377">
        <f t="shared" si="22"/>
        <v>0</v>
      </c>
      <c r="J377" t="str">
        <f>K377&amp;L377</f>
        <v>Новикова Ольга ПетровнаНовикова Ольга Викторовна</v>
      </c>
      <c r="K377" t="s">
        <v>29</v>
      </c>
      <c r="L377" t="s">
        <v>47</v>
      </c>
      <c r="M377" t="s">
        <v>271</v>
      </c>
      <c r="N377" t="str">
        <f t="shared" si="23"/>
        <v>Новикова Ольга ПетровнаОрлова Алиса Егоровна</v>
      </c>
      <c r="O377" t="s">
        <v>29</v>
      </c>
      <c r="P377" t="s">
        <v>197</v>
      </c>
      <c r="Q377" t="s">
        <v>346</v>
      </c>
    </row>
    <row r="378" spans="4:17" x14ac:dyDescent="0.25">
      <c r="D378" t="s">
        <v>13</v>
      </c>
      <c r="E378" t="s">
        <v>20</v>
      </c>
      <c r="F378" t="str">
        <f t="shared" si="20"/>
        <v>2024-01-09</v>
      </c>
      <c r="G378" t="str">
        <f t="shared" si="21"/>
        <v>2024-01-09</v>
      </c>
      <c r="H378">
        <f t="shared" si="22"/>
        <v>0</v>
      </c>
      <c r="J378" t="str">
        <f>K378&amp;L378</f>
        <v>Яковлев Артем ИгоревичМорозов Илья Станиславович</v>
      </c>
      <c r="K378" t="s">
        <v>21</v>
      </c>
      <c r="L378" t="s">
        <v>114</v>
      </c>
      <c r="M378" t="s">
        <v>273</v>
      </c>
      <c r="N378" t="str">
        <f t="shared" si="23"/>
        <v>Новикова Ольга ПетровнаСеменов Матвей Михайлович</v>
      </c>
      <c r="O378" t="s">
        <v>29</v>
      </c>
      <c r="P378" t="s">
        <v>311</v>
      </c>
      <c r="Q378" t="s">
        <v>346</v>
      </c>
    </row>
    <row r="379" spans="4:17" x14ac:dyDescent="0.25">
      <c r="D379" t="s">
        <v>13</v>
      </c>
      <c r="E379" t="s">
        <v>347</v>
      </c>
      <c r="F379" t="str">
        <f t="shared" si="20"/>
        <v>2024-04-15</v>
      </c>
      <c r="G379" t="str">
        <f t="shared" si="21"/>
        <v>2024-04-15</v>
      </c>
      <c r="H379">
        <f t="shared" si="22"/>
        <v>0</v>
      </c>
      <c r="J379" t="str">
        <f>K379&amp;L379</f>
        <v>Ткаченко Андрей ОлеговичАлексеева Юлия Никитична</v>
      </c>
      <c r="K379" t="s">
        <v>26</v>
      </c>
      <c r="L379" t="s">
        <v>93</v>
      </c>
      <c r="M379" t="s">
        <v>273</v>
      </c>
      <c r="N379" t="str">
        <f t="shared" si="23"/>
        <v>Яковлев Артем ИгоревичПопов Павел Артемович</v>
      </c>
      <c r="O379" t="s">
        <v>21</v>
      </c>
      <c r="P379" t="s">
        <v>158</v>
      </c>
      <c r="Q379" t="s">
        <v>346</v>
      </c>
    </row>
    <row r="380" spans="4:17" x14ac:dyDescent="0.25">
      <c r="D380" t="s">
        <v>13</v>
      </c>
      <c r="E380" t="s">
        <v>183</v>
      </c>
      <c r="F380" t="str">
        <f t="shared" si="20"/>
        <v>2024-01-09</v>
      </c>
      <c r="G380" t="str">
        <f t="shared" si="21"/>
        <v>2024-01-09</v>
      </c>
      <c r="H380">
        <f t="shared" si="22"/>
        <v>0</v>
      </c>
      <c r="J380" t="str">
        <f>K380&amp;L380</f>
        <v>Сидорова Елена ВасильевнаВасильева Виктория Артемовна</v>
      </c>
      <c r="K380" t="s">
        <v>8</v>
      </c>
      <c r="L380" t="s">
        <v>274</v>
      </c>
      <c r="M380" t="s">
        <v>273</v>
      </c>
      <c r="N380" t="str">
        <f t="shared" si="23"/>
        <v>Петров Владимир КирилловичСидорова Ирина Кирилловна</v>
      </c>
      <c r="O380" t="s">
        <v>19</v>
      </c>
      <c r="P380" t="s">
        <v>50</v>
      </c>
      <c r="Q380" t="s">
        <v>346</v>
      </c>
    </row>
    <row r="381" spans="4:17" x14ac:dyDescent="0.25">
      <c r="D381" t="s">
        <v>13</v>
      </c>
      <c r="E381" t="s">
        <v>227</v>
      </c>
      <c r="F381" t="str">
        <f t="shared" si="20"/>
        <v>2023-12-19</v>
      </c>
      <c r="G381" t="str">
        <f t="shared" si="21"/>
        <v>2023-12-19</v>
      </c>
      <c r="H381">
        <f t="shared" si="22"/>
        <v>0</v>
      </c>
      <c r="J381" t="str">
        <f>K381&amp;L381</f>
        <v>Фролов Сергей ВикторовичПетров Павел Юрьевич</v>
      </c>
      <c r="K381" t="s">
        <v>38</v>
      </c>
      <c r="L381" t="s">
        <v>206</v>
      </c>
      <c r="M381" t="s">
        <v>273</v>
      </c>
      <c r="N381" t="str">
        <f t="shared" si="23"/>
        <v>Белов Алексей КонстантиновичВасильева Елена Андреевна</v>
      </c>
      <c r="O381" t="s">
        <v>5</v>
      </c>
      <c r="P381" t="s">
        <v>27</v>
      </c>
      <c r="Q381" t="s">
        <v>346</v>
      </c>
    </row>
    <row r="382" spans="4:17" x14ac:dyDescent="0.25">
      <c r="D382" t="s">
        <v>13</v>
      </c>
      <c r="E382" t="s">
        <v>50</v>
      </c>
      <c r="F382" t="str">
        <f t="shared" si="20"/>
        <v>2024-03-04</v>
      </c>
      <c r="G382" t="str">
        <f t="shared" si="21"/>
        <v>2024-03-04</v>
      </c>
      <c r="H382">
        <f t="shared" si="22"/>
        <v>0</v>
      </c>
      <c r="J382" t="str">
        <f>K382&amp;L382</f>
        <v>Кузнецов Дмитрий ЛьвовичПетрова Валерия Викторовна</v>
      </c>
      <c r="K382" t="s">
        <v>11</v>
      </c>
      <c r="L382" t="s">
        <v>275</v>
      </c>
      <c r="M382" t="s">
        <v>273</v>
      </c>
      <c r="N382" t="str">
        <f t="shared" si="23"/>
        <v>Ткаченко Андрей ОлеговичАлексеева Мария Олеговна</v>
      </c>
      <c r="O382" t="s">
        <v>26</v>
      </c>
      <c r="P382" t="s">
        <v>72</v>
      </c>
      <c r="Q382" t="s">
        <v>346</v>
      </c>
    </row>
    <row r="383" spans="4:17" x14ac:dyDescent="0.25">
      <c r="D383" t="s">
        <v>13</v>
      </c>
      <c r="E383" t="s">
        <v>45</v>
      </c>
      <c r="F383" t="str">
        <f t="shared" si="20"/>
        <v>2023-12-18</v>
      </c>
      <c r="G383" t="str">
        <f t="shared" si="21"/>
        <v>2023-12-18</v>
      </c>
      <c r="H383">
        <f t="shared" si="22"/>
        <v>0</v>
      </c>
      <c r="J383" t="str">
        <f>K383&amp;L383</f>
        <v>Белов Алексей КонстантиновичПопов Роман Владимирович</v>
      </c>
      <c r="K383" t="s">
        <v>5</v>
      </c>
      <c r="L383" t="s">
        <v>88</v>
      </c>
      <c r="M383" t="s">
        <v>273</v>
      </c>
      <c r="N383" t="str">
        <f t="shared" si="23"/>
        <v>Петров Владимир КирилловичПетров Павел Юрьевич</v>
      </c>
      <c r="O383" t="s">
        <v>19</v>
      </c>
      <c r="P383" t="s">
        <v>206</v>
      </c>
      <c r="Q383" t="s">
        <v>346</v>
      </c>
    </row>
    <row r="384" spans="4:17" x14ac:dyDescent="0.25">
      <c r="D384" t="s">
        <v>13</v>
      </c>
      <c r="E384" t="s">
        <v>250</v>
      </c>
      <c r="F384" t="str">
        <f t="shared" si="20"/>
        <v>2024-05-27</v>
      </c>
      <c r="G384" t="str">
        <f t="shared" si="21"/>
        <v>2024-05-27</v>
      </c>
      <c r="H384">
        <f t="shared" si="22"/>
        <v>0</v>
      </c>
      <c r="J384" t="str">
        <f>K384&amp;L384</f>
        <v>Белов Алексей КонстантиновичСтепанова Ирина Алексеевна</v>
      </c>
      <c r="K384" t="s">
        <v>5</v>
      </c>
      <c r="L384" t="s">
        <v>276</v>
      </c>
      <c r="M384" t="s">
        <v>273</v>
      </c>
      <c r="N384" t="str">
        <f t="shared" si="23"/>
        <v>Петров Владимир КирилловичОрлов Владимир Никитич</v>
      </c>
      <c r="O384" t="s">
        <v>19</v>
      </c>
      <c r="P384" t="s">
        <v>32</v>
      </c>
      <c r="Q384" t="s">
        <v>345</v>
      </c>
    </row>
    <row r="385" spans="4:17" x14ac:dyDescent="0.25">
      <c r="D385" t="s">
        <v>13</v>
      </c>
      <c r="E385" t="s">
        <v>272</v>
      </c>
      <c r="F385" t="str">
        <f t="shared" si="20"/>
        <v>2024-01-19</v>
      </c>
      <c r="G385" t="str">
        <f t="shared" si="21"/>
        <v>2024-01-19</v>
      </c>
      <c r="H385">
        <f t="shared" si="22"/>
        <v>0</v>
      </c>
      <c r="J385" t="str">
        <f>K385&amp;L385</f>
        <v>Яковлев Артем ИгоревичСеменов Никита Александрович</v>
      </c>
      <c r="K385" t="s">
        <v>21</v>
      </c>
      <c r="L385" t="s">
        <v>73</v>
      </c>
      <c r="M385" t="s">
        <v>273</v>
      </c>
      <c r="N385" t="str">
        <f t="shared" si="23"/>
        <v>Белов Алексей КонстантиновичПетров Дмитрий Сергеевич</v>
      </c>
      <c r="O385" t="s">
        <v>5</v>
      </c>
      <c r="P385" t="s">
        <v>84</v>
      </c>
      <c r="Q385" t="s">
        <v>345</v>
      </c>
    </row>
    <row r="386" spans="4:17" x14ac:dyDescent="0.25">
      <c r="D386" t="s">
        <v>13</v>
      </c>
      <c r="E386" t="s">
        <v>28</v>
      </c>
      <c r="F386" t="str">
        <f t="shared" si="20"/>
        <v>2023-12-22</v>
      </c>
      <c r="G386" t="str">
        <f t="shared" si="21"/>
        <v>2024-07-30</v>
      </c>
      <c r="H386">
        <f t="shared" si="22"/>
        <v>221</v>
      </c>
      <c r="J386" t="str">
        <f>K386&amp;L386</f>
        <v>Ткаченко Андрей ОлеговичИванова Полина Дмитриевна</v>
      </c>
      <c r="K386" t="s">
        <v>26</v>
      </c>
      <c r="L386" t="s">
        <v>91</v>
      </c>
      <c r="M386" t="s">
        <v>273</v>
      </c>
      <c r="N386" t="str">
        <f t="shared" si="23"/>
        <v>Кузнецов Дмитрий ЛьвовичВасильев Андрей Дмитриевич</v>
      </c>
      <c r="O386" t="s">
        <v>11</v>
      </c>
      <c r="P386" t="s">
        <v>172</v>
      </c>
      <c r="Q386" t="s">
        <v>345</v>
      </c>
    </row>
    <row r="387" spans="4:17" x14ac:dyDescent="0.25">
      <c r="D387" t="s">
        <v>13</v>
      </c>
      <c r="E387" t="s">
        <v>200</v>
      </c>
      <c r="F387" t="str">
        <f t="shared" ref="F387:F450" si="24">VLOOKUP(D387&amp;E387,J:M,4,0)</f>
        <v>2023-11-27</v>
      </c>
      <c r="G387" t="str">
        <f t="shared" ref="G387:G450" si="25">VLOOKUP(D387&amp;E387,N:Q,4,0)</f>
        <v>2023-11-27</v>
      </c>
      <c r="H387">
        <f t="shared" ref="H387:H450" si="26">G387-F387</f>
        <v>0</v>
      </c>
      <c r="J387" t="str">
        <f>K387&amp;L387</f>
        <v>Фролов Сергей ВикторовичКозлов Артур Сергеевич</v>
      </c>
      <c r="K387" t="s">
        <v>38</v>
      </c>
      <c r="L387" t="s">
        <v>215</v>
      </c>
      <c r="M387" t="s">
        <v>273</v>
      </c>
      <c r="N387" t="str">
        <f t="shared" ref="N387:N450" si="27">O387&amp;P387</f>
        <v>Семенова Ирина ВалерьевнаПопова Светлана Геннадьевна</v>
      </c>
      <c r="O387" t="s">
        <v>16</v>
      </c>
      <c r="P387" t="s">
        <v>18</v>
      </c>
      <c r="Q387" t="s">
        <v>345</v>
      </c>
    </row>
    <row r="388" spans="4:17" x14ac:dyDescent="0.25">
      <c r="D388" t="s">
        <v>13</v>
      </c>
      <c r="E388" t="s">
        <v>196</v>
      </c>
      <c r="F388" t="str">
        <f t="shared" si="24"/>
        <v>2023-11-10</v>
      </c>
      <c r="G388" t="str">
        <f t="shared" si="25"/>
        <v>2023-11-10</v>
      </c>
      <c r="H388">
        <f t="shared" si="26"/>
        <v>0</v>
      </c>
      <c r="J388" t="str">
        <f>K388&amp;L388</f>
        <v>Семенова Ирина ВалерьевнаПопов Иван Егорович</v>
      </c>
      <c r="K388" t="s">
        <v>16</v>
      </c>
      <c r="L388" t="s">
        <v>82</v>
      </c>
      <c r="M388" t="s">
        <v>273</v>
      </c>
      <c r="N388" t="str">
        <f t="shared" si="27"/>
        <v>Яковлев Артем ИгоревичНовикова Екатерина Павловна</v>
      </c>
      <c r="O388" t="s">
        <v>21</v>
      </c>
      <c r="P388" t="s">
        <v>76</v>
      </c>
      <c r="Q388" t="s">
        <v>345</v>
      </c>
    </row>
    <row r="389" spans="4:17" x14ac:dyDescent="0.25">
      <c r="D389" t="s">
        <v>13</v>
      </c>
      <c r="E389" t="s">
        <v>237</v>
      </c>
      <c r="F389" t="str">
        <f t="shared" si="24"/>
        <v>2024-02-08</v>
      </c>
      <c r="G389" t="str">
        <f t="shared" si="25"/>
        <v>2024-02-08</v>
      </c>
      <c r="H389">
        <f t="shared" si="26"/>
        <v>0</v>
      </c>
      <c r="J389" t="str">
        <f>K389&amp;L389</f>
        <v>Фролов Сергей ВикторовичКозлов Илья Геннадьевич</v>
      </c>
      <c r="K389" t="s">
        <v>38</v>
      </c>
      <c r="L389" t="s">
        <v>153</v>
      </c>
      <c r="M389" t="s">
        <v>273</v>
      </c>
      <c r="N389" t="str">
        <f t="shared" si="27"/>
        <v>Орлов Павел ДенисовичПетрова Валерия Викторовна</v>
      </c>
      <c r="O389" t="s">
        <v>13</v>
      </c>
      <c r="P389" t="s">
        <v>275</v>
      </c>
      <c r="Q389" t="s">
        <v>345</v>
      </c>
    </row>
    <row r="390" spans="4:17" x14ac:dyDescent="0.25">
      <c r="D390" t="s">
        <v>13</v>
      </c>
      <c r="E390" t="s">
        <v>135</v>
      </c>
      <c r="F390" t="str">
        <f t="shared" si="24"/>
        <v>2024-08-20</v>
      </c>
      <c r="G390" t="str">
        <f t="shared" si="25"/>
        <v>2024-08-20</v>
      </c>
      <c r="H390">
        <f t="shared" si="26"/>
        <v>0</v>
      </c>
      <c r="J390" t="str">
        <f>K390&amp;L390</f>
        <v>Семенова Ирина ВалерьевнаИванова Ольга Дмитриевна</v>
      </c>
      <c r="K390" t="s">
        <v>16</v>
      </c>
      <c r="L390" t="s">
        <v>131</v>
      </c>
      <c r="M390" t="s">
        <v>273</v>
      </c>
      <c r="N390" t="str">
        <f t="shared" si="27"/>
        <v>Орлов Павел ДенисовичКузнецов Егор Андреевич</v>
      </c>
      <c r="O390" t="s">
        <v>13</v>
      </c>
      <c r="P390" t="s">
        <v>30</v>
      </c>
      <c r="Q390" t="s">
        <v>344</v>
      </c>
    </row>
    <row r="391" spans="4:17" x14ac:dyDescent="0.25">
      <c r="D391" t="s">
        <v>13</v>
      </c>
      <c r="E391" t="s">
        <v>234</v>
      </c>
      <c r="F391" t="str">
        <f t="shared" si="24"/>
        <v>2024-07-04</v>
      </c>
      <c r="G391" t="str">
        <f t="shared" si="25"/>
        <v>2024-07-04</v>
      </c>
      <c r="H391">
        <f t="shared" si="26"/>
        <v>0</v>
      </c>
      <c r="J391" t="str">
        <f>K391&amp;L391</f>
        <v>Орлов Павел ДенисовичКузнецов Алексей Олегович</v>
      </c>
      <c r="K391" t="s">
        <v>13</v>
      </c>
      <c r="L391" t="s">
        <v>216</v>
      </c>
      <c r="M391" t="s">
        <v>277</v>
      </c>
      <c r="N391" t="str">
        <f t="shared" si="27"/>
        <v>Петров Владимир КирилловичНиколаева Анна Дмитриевна</v>
      </c>
      <c r="O391" t="s">
        <v>19</v>
      </c>
      <c r="P391" t="s">
        <v>123</v>
      </c>
      <c r="Q391" t="s">
        <v>343</v>
      </c>
    </row>
    <row r="392" spans="4:17" x14ac:dyDescent="0.25">
      <c r="D392" t="s">
        <v>13</v>
      </c>
      <c r="E392" t="s">
        <v>24</v>
      </c>
      <c r="F392" t="str">
        <f t="shared" si="24"/>
        <v>2023-09-05</v>
      </c>
      <c r="G392" t="str">
        <f t="shared" si="25"/>
        <v>2023-09-05</v>
      </c>
      <c r="H392">
        <f t="shared" si="26"/>
        <v>0</v>
      </c>
      <c r="J392" t="str">
        <f>K392&amp;L392</f>
        <v>Новикова Ольга ПетровнаВасильев Андрей Павлович</v>
      </c>
      <c r="K392" t="s">
        <v>29</v>
      </c>
      <c r="L392" t="s">
        <v>151</v>
      </c>
      <c r="M392" t="s">
        <v>277</v>
      </c>
      <c r="N392" t="str">
        <f t="shared" si="27"/>
        <v>Новикова Ольга ПетровнаПавлова Наталья Павловна</v>
      </c>
      <c r="O392" t="s">
        <v>29</v>
      </c>
      <c r="P392" t="s">
        <v>144</v>
      </c>
      <c r="Q392" t="s">
        <v>343</v>
      </c>
    </row>
    <row r="393" spans="4:17" x14ac:dyDescent="0.25">
      <c r="D393" t="s">
        <v>13</v>
      </c>
      <c r="E393" t="s">
        <v>97</v>
      </c>
      <c r="F393" t="str">
        <f t="shared" si="24"/>
        <v>2023-09-25</v>
      </c>
      <c r="G393" t="str">
        <f t="shared" si="25"/>
        <v>2023-09-25</v>
      </c>
      <c r="H393">
        <f t="shared" si="26"/>
        <v>0</v>
      </c>
      <c r="J393" t="str">
        <f>K393&amp;L393</f>
        <v>Петров Владимир КирилловичВасильева Дарья Андреевна</v>
      </c>
      <c r="K393" t="s">
        <v>19</v>
      </c>
      <c r="L393" t="s">
        <v>57</v>
      </c>
      <c r="M393" t="s">
        <v>277</v>
      </c>
      <c r="N393" t="str">
        <f t="shared" si="27"/>
        <v>Новикова Ольга ПетровнаСеменова Полина Сергеевна</v>
      </c>
      <c r="O393" t="s">
        <v>29</v>
      </c>
      <c r="P393" t="s">
        <v>183</v>
      </c>
      <c r="Q393" t="s">
        <v>343</v>
      </c>
    </row>
    <row r="394" spans="4:17" x14ac:dyDescent="0.25">
      <c r="D394" t="s">
        <v>13</v>
      </c>
      <c r="E394" t="s">
        <v>25</v>
      </c>
      <c r="F394" t="str">
        <f t="shared" si="24"/>
        <v>2024-01-23</v>
      </c>
      <c r="G394" t="str">
        <f t="shared" si="25"/>
        <v>2024-01-23</v>
      </c>
      <c r="H394">
        <f t="shared" si="26"/>
        <v>0</v>
      </c>
      <c r="J394" t="str">
        <f>K394&amp;L394</f>
        <v>Орлов Павел ДенисовичФедорова Екатерина Владимировна</v>
      </c>
      <c r="K394" t="s">
        <v>13</v>
      </c>
      <c r="L394" t="s">
        <v>25</v>
      </c>
      <c r="M394" t="s">
        <v>277</v>
      </c>
      <c r="N394" t="str">
        <f t="shared" si="27"/>
        <v>Иванова Анна СергеевнаЛебедева София Алексеевна</v>
      </c>
      <c r="O394" t="s">
        <v>55</v>
      </c>
      <c r="P394" t="s">
        <v>340</v>
      </c>
      <c r="Q394" t="s">
        <v>341</v>
      </c>
    </row>
    <row r="395" spans="4:17" x14ac:dyDescent="0.25">
      <c r="D395" t="s">
        <v>19</v>
      </c>
      <c r="E395" t="s">
        <v>190</v>
      </c>
      <c r="F395" t="str">
        <f t="shared" si="24"/>
        <v>2023-11-07</v>
      </c>
      <c r="G395" t="str">
        <f t="shared" si="25"/>
        <v>2023-11-07</v>
      </c>
      <c r="H395">
        <f t="shared" si="26"/>
        <v>0</v>
      </c>
      <c r="J395" t="str">
        <f>K395&amp;L395</f>
        <v>Белов Алексей КонстантиновичМорозов Андрей Алексеевич</v>
      </c>
      <c r="K395" t="s">
        <v>5</v>
      </c>
      <c r="L395" t="s">
        <v>278</v>
      </c>
      <c r="M395" t="s">
        <v>277</v>
      </c>
      <c r="N395" t="str">
        <f t="shared" si="27"/>
        <v>Иванова Анна СергеевнаКозлова Наталья Романовна</v>
      </c>
      <c r="O395" t="s">
        <v>55</v>
      </c>
      <c r="P395" t="s">
        <v>342</v>
      </c>
      <c r="Q395" t="s">
        <v>341</v>
      </c>
    </row>
    <row r="396" spans="4:17" x14ac:dyDescent="0.25">
      <c r="D396" t="s">
        <v>19</v>
      </c>
      <c r="E396" t="s">
        <v>193</v>
      </c>
      <c r="F396" t="str">
        <f t="shared" si="24"/>
        <v>2024-06-11</v>
      </c>
      <c r="G396" t="str">
        <f t="shared" si="25"/>
        <v>2024-07-01</v>
      </c>
      <c r="H396">
        <f t="shared" si="26"/>
        <v>20</v>
      </c>
      <c r="J396" t="str">
        <f>K396&amp;L396</f>
        <v>Кузнецов Дмитрий ЛьвовичНовикова Екатерина Павловна</v>
      </c>
      <c r="K396" t="s">
        <v>11</v>
      </c>
      <c r="L396" t="s">
        <v>76</v>
      </c>
      <c r="M396" t="s">
        <v>279</v>
      </c>
      <c r="N396" t="str">
        <f t="shared" si="27"/>
        <v>Иванова Анна СергеевнаСмирнова Елена Олеговна</v>
      </c>
      <c r="O396" t="s">
        <v>55</v>
      </c>
      <c r="P396" t="s">
        <v>22</v>
      </c>
      <c r="Q396" t="s">
        <v>341</v>
      </c>
    </row>
    <row r="397" spans="4:17" x14ac:dyDescent="0.25">
      <c r="D397" t="s">
        <v>19</v>
      </c>
      <c r="E397" t="s">
        <v>171</v>
      </c>
      <c r="F397" t="str">
        <f t="shared" si="24"/>
        <v>2024-02-08</v>
      </c>
      <c r="G397" t="str">
        <f t="shared" si="25"/>
        <v>2024-02-08</v>
      </c>
      <c r="H397">
        <f t="shared" si="26"/>
        <v>0</v>
      </c>
      <c r="J397" t="str">
        <f>K397&amp;L397</f>
        <v>Громова Мария ИльиничнаАлексеев Михаил Алексеевич</v>
      </c>
      <c r="K397" t="s">
        <v>43</v>
      </c>
      <c r="L397" t="s">
        <v>85</v>
      </c>
      <c r="M397" t="s">
        <v>279</v>
      </c>
      <c r="N397" t="str">
        <f t="shared" si="27"/>
        <v>Петров Владимир КирилловичСтепанова Алиса Артемовна</v>
      </c>
      <c r="O397" t="s">
        <v>19</v>
      </c>
      <c r="P397" t="s">
        <v>237</v>
      </c>
      <c r="Q397" t="s">
        <v>341</v>
      </c>
    </row>
    <row r="398" spans="4:17" x14ac:dyDescent="0.25">
      <c r="D398" t="s">
        <v>19</v>
      </c>
      <c r="E398" t="s">
        <v>72</v>
      </c>
      <c r="F398" t="str">
        <f t="shared" si="24"/>
        <v>2023-11-14</v>
      </c>
      <c r="G398" t="str">
        <f t="shared" si="25"/>
        <v>2023-11-14</v>
      </c>
      <c r="H398">
        <f t="shared" si="26"/>
        <v>0</v>
      </c>
      <c r="J398" t="str">
        <f>K398&amp;L398</f>
        <v>Яковлев Артем ИгоревичКозлова Екатерина Викторовна</v>
      </c>
      <c r="K398" t="s">
        <v>21</v>
      </c>
      <c r="L398" t="s">
        <v>202</v>
      </c>
      <c r="M398" t="s">
        <v>279</v>
      </c>
      <c r="N398" t="str">
        <f t="shared" si="27"/>
        <v>Фролов Сергей ВикторовичСидоров Кирилл Михайлович</v>
      </c>
      <c r="O398" t="s">
        <v>38</v>
      </c>
      <c r="P398" t="s">
        <v>59</v>
      </c>
      <c r="Q398" t="s">
        <v>341</v>
      </c>
    </row>
    <row r="399" spans="4:17" x14ac:dyDescent="0.25">
      <c r="D399" t="s">
        <v>19</v>
      </c>
      <c r="E399" t="s">
        <v>172</v>
      </c>
      <c r="F399" t="str">
        <f t="shared" si="24"/>
        <v>2024-04-16</v>
      </c>
      <c r="G399" t="str">
        <f t="shared" si="25"/>
        <v>2024-06-21</v>
      </c>
      <c r="H399">
        <f t="shared" si="26"/>
        <v>66</v>
      </c>
      <c r="J399" t="str">
        <f>K399&amp;L399</f>
        <v>Громова Мария ИльиничнаОрлова Вероника Андреевна</v>
      </c>
      <c r="K399" t="s">
        <v>43</v>
      </c>
      <c r="L399" t="s">
        <v>100</v>
      </c>
      <c r="M399" t="s">
        <v>280</v>
      </c>
      <c r="N399" t="str">
        <f t="shared" si="27"/>
        <v>Ткаченко Андрей ОлеговичСмирнова Екатерина Геннадьевна</v>
      </c>
      <c r="O399" t="s">
        <v>26</v>
      </c>
      <c r="P399" t="s">
        <v>169</v>
      </c>
      <c r="Q399" t="s">
        <v>338</v>
      </c>
    </row>
    <row r="400" spans="4:17" x14ac:dyDescent="0.25">
      <c r="D400" t="s">
        <v>19</v>
      </c>
      <c r="E400" t="s">
        <v>151</v>
      </c>
      <c r="F400" t="str">
        <f t="shared" si="24"/>
        <v>2024-05-06</v>
      </c>
      <c r="G400" t="str">
        <f t="shared" si="25"/>
        <v>2024-05-06</v>
      </c>
      <c r="H400">
        <f t="shared" si="26"/>
        <v>0</v>
      </c>
      <c r="J400" t="str">
        <f>K400&amp;L400</f>
        <v>Кузнецов Дмитрий ЛьвовичАлексеева Валерия Викторовна</v>
      </c>
      <c r="K400" t="s">
        <v>11</v>
      </c>
      <c r="L400" t="s">
        <v>96</v>
      </c>
      <c r="M400" t="s">
        <v>281</v>
      </c>
      <c r="N400" t="str">
        <f t="shared" si="27"/>
        <v>Ткаченко Андрей ОлеговичАлексеев Егор Юрьевич</v>
      </c>
      <c r="O400" t="s">
        <v>26</v>
      </c>
      <c r="P400" t="s">
        <v>193</v>
      </c>
      <c r="Q400" t="s">
        <v>338</v>
      </c>
    </row>
    <row r="401" spans="4:17" x14ac:dyDescent="0.25">
      <c r="D401" t="s">
        <v>19</v>
      </c>
      <c r="E401" t="s">
        <v>57</v>
      </c>
      <c r="F401" t="str">
        <f t="shared" si="24"/>
        <v>2024-01-23</v>
      </c>
      <c r="G401" t="str">
        <f t="shared" si="25"/>
        <v>2024-01-23</v>
      </c>
      <c r="H401">
        <f t="shared" si="26"/>
        <v>0</v>
      </c>
      <c r="J401" t="str">
        <f>K401&amp;L401</f>
        <v>Громова Мария ИльиничнаСмирнов Илья Андреевич</v>
      </c>
      <c r="K401" t="s">
        <v>43</v>
      </c>
      <c r="L401" t="s">
        <v>258</v>
      </c>
      <c r="M401" t="s">
        <v>282</v>
      </c>
      <c r="N401" t="str">
        <f t="shared" si="27"/>
        <v>Белов Алексей КонстантиновичПетрова Валерия Викторовна</v>
      </c>
      <c r="O401" t="s">
        <v>5</v>
      </c>
      <c r="P401" t="s">
        <v>275</v>
      </c>
      <c r="Q401" t="s">
        <v>338</v>
      </c>
    </row>
    <row r="402" spans="4:17" x14ac:dyDescent="0.25">
      <c r="D402" t="s">
        <v>19</v>
      </c>
      <c r="E402" t="s">
        <v>187</v>
      </c>
      <c r="F402" t="str">
        <f t="shared" si="24"/>
        <v>2024-08-06</v>
      </c>
      <c r="G402" t="str">
        <f t="shared" si="25"/>
        <v>2024-08-06</v>
      </c>
      <c r="H402">
        <f t="shared" si="26"/>
        <v>0</v>
      </c>
      <c r="J402" t="str">
        <f>K402&amp;L402</f>
        <v>Иванова Анна СергеевнаОрлов Андрей Александрович</v>
      </c>
      <c r="K402" t="s">
        <v>55</v>
      </c>
      <c r="L402" t="s">
        <v>283</v>
      </c>
      <c r="M402" t="s">
        <v>282</v>
      </c>
      <c r="N402" t="str">
        <f t="shared" si="27"/>
        <v>Петров Владимир КирилловичПопов Никита Андреевич</v>
      </c>
      <c r="O402" t="s">
        <v>19</v>
      </c>
      <c r="P402" t="s">
        <v>165</v>
      </c>
      <c r="Q402" t="s">
        <v>338</v>
      </c>
    </row>
    <row r="403" spans="4:17" x14ac:dyDescent="0.25">
      <c r="D403" t="s">
        <v>19</v>
      </c>
      <c r="E403" t="s">
        <v>42</v>
      </c>
      <c r="F403" t="str">
        <f t="shared" si="24"/>
        <v>2023-11-10</v>
      </c>
      <c r="G403" t="str">
        <f t="shared" si="25"/>
        <v>2023-11-10</v>
      </c>
      <c r="H403">
        <f t="shared" si="26"/>
        <v>0</v>
      </c>
      <c r="J403" t="str">
        <f>K403&amp;L403</f>
        <v>Яковлев Артем ИгоревичСмирнова Валерия Станиславовна</v>
      </c>
      <c r="K403" t="s">
        <v>21</v>
      </c>
      <c r="L403" t="s">
        <v>12</v>
      </c>
      <c r="M403" t="s">
        <v>282</v>
      </c>
      <c r="N403" t="str">
        <f t="shared" si="27"/>
        <v>Петров Владимир КирилловичПавлов Михаил Андреевич</v>
      </c>
      <c r="O403" t="s">
        <v>19</v>
      </c>
      <c r="P403" t="s">
        <v>39</v>
      </c>
      <c r="Q403" t="s">
        <v>338</v>
      </c>
    </row>
    <row r="404" spans="4:17" x14ac:dyDescent="0.25">
      <c r="D404" t="s">
        <v>19</v>
      </c>
      <c r="E404" t="s">
        <v>54</v>
      </c>
      <c r="F404" t="str">
        <f t="shared" si="24"/>
        <v>2024-02-02</v>
      </c>
      <c r="G404" t="str">
        <f t="shared" si="25"/>
        <v>2024-02-02</v>
      </c>
      <c r="H404">
        <f t="shared" si="26"/>
        <v>0</v>
      </c>
      <c r="J404" t="str">
        <f>K404&amp;L404</f>
        <v>Яковлев Артем ИгоревичПетрова Ольга Геннадьевна</v>
      </c>
      <c r="K404" t="s">
        <v>21</v>
      </c>
      <c r="L404" t="s">
        <v>184</v>
      </c>
      <c r="M404" t="s">
        <v>282</v>
      </c>
      <c r="N404" t="str">
        <f t="shared" si="27"/>
        <v>Ткаченко Андрей ОлеговичСеменова Людмила Олеговна</v>
      </c>
      <c r="O404" t="s">
        <v>26</v>
      </c>
      <c r="P404" t="s">
        <v>339</v>
      </c>
      <c r="Q404" t="s">
        <v>338</v>
      </c>
    </row>
    <row r="405" spans="4:17" x14ac:dyDescent="0.25">
      <c r="D405" t="s">
        <v>19</v>
      </c>
      <c r="E405" t="s">
        <v>159</v>
      </c>
      <c r="F405" t="str">
        <f t="shared" si="24"/>
        <v>2023-10-24</v>
      </c>
      <c r="G405" t="str">
        <f t="shared" si="25"/>
        <v>2023-10-24</v>
      </c>
      <c r="H405">
        <f t="shared" si="26"/>
        <v>0</v>
      </c>
      <c r="J405" t="str">
        <f>K405&amp;L405</f>
        <v>Семенова Ирина ВалерьевнаВолков Алексей Никитич</v>
      </c>
      <c r="K405" t="s">
        <v>16</v>
      </c>
      <c r="L405" t="s">
        <v>187</v>
      </c>
      <c r="M405" t="s">
        <v>282</v>
      </c>
      <c r="N405" t="str">
        <f t="shared" si="27"/>
        <v>Сидорова Елена ВасильевнаСмирнов Роман Кириллович</v>
      </c>
      <c r="O405" t="s">
        <v>8</v>
      </c>
      <c r="P405" t="s">
        <v>125</v>
      </c>
      <c r="Q405" t="s">
        <v>338</v>
      </c>
    </row>
    <row r="406" spans="4:17" x14ac:dyDescent="0.25">
      <c r="D406" t="s">
        <v>19</v>
      </c>
      <c r="E406" t="s">
        <v>58</v>
      </c>
      <c r="F406" t="str">
        <f t="shared" si="24"/>
        <v>2023-11-06</v>
      </c>
      <c r="G406" t="str">
        <f t="shared" si="25"/>
        <v>2024-08-14</v>
      </c>
      <c r="H406">
        <f t="shared" si="26"/>
        <v>282</v>
      </c>
      <c r="J406" t="str">
        <f>K406&amp;L406</f>
        <v>Сидорова Елена ВасильевнаФедоров Андрей Владимирович</v>
      </c>
      <c r="K406" t="s">
        <v>8</v>
      </c>
      <c r="L406" t="s">
        <v>79</v>
      </c>
      <c r="M406" t="s">
        <v>282</v>
      </c>
      <c r="N406" t="str">
        <f t="shared" si="27"/>
        <v>Яковлев Артем ИгоревичСеменов Иван Артемович</v>
      </c>
      <c r="O406" t="s">
        <v>21</v>
      </c>
      <c r="P406" t="s">
        <v>295</v>
      </c>
      <c r="Q406" t="s">
        <v>338</v>
      </c>
    </row>
    <row r="407" spans="4:17" x14ac:dyDescent="0.25">
      <c r="D407" t="s">
        <v>19</v>
      </c>
      <c r="E407" t="s">
        <v>64</v>
      </c>
      <c r="F407" t="str">
        <f t="shared" si="24"/>
        <v>2023-11-24</v>
      </c>
      <c r="G407" t="str">
        <f t="shared" si="25"/>
        <v>2023-11-24</v>
      </c>
      <c r="H407">
        <f t="shared" si="26"/>
        <v>0</v>
      </c>
      <c r="J407" t="str">
        <f>K407&amp;L407</f>
        <v>Фролов Сергей ВикторовичЕгорова Татьяна Ильинична</v>
      </c>
      <c r="K407" t="s">
        <v>38</v>
      </c>
      <c r="L407" t="s">
        <v>188</v>
      </c>
      <c r="M407" t="s">
        <v>282</v>
      </c>
      <c r="N407" t="str">
        <f t="shared" si="27"/>
        <v>Яковлев Артем ИгоревичВолкова Полина Юрьевна</v>
      </c>
      <c r="O407" t="s">
        <v>21</v>
      </c>
      <c r="P407" t="s">
        <v>263</v>
      </c>
      <c r="Q407" t="s">
        <v>337</v>
      </c>
    </row>
    <row r="408" spans="4:17" x14ac:dyDescent="0.25">
      <c r="D408" t="s">
        <v>19</v>
      </c>
      <c r="E408" t="s">
        <v>186</v>
      </c>
      <c r="F408" t="str">
        <f t="shared" si="24"/>
        <v>2024-05-13</v>
      </c>
      <c r="G408" t="str">
        <f t="shared" si="25"/>
        <v>2024-05-13</v>
      </c>
      <c r="H408">
        <f t="shared" si="26"/>
        <v>0</v>
      </c>
      <c r="J408" t="str">
        <f>K408&amp;L408</f>
        <v>Петров Владимир КирилловичКузнецов Кирилл Павлович</v>
      </c>
      <c r="K408" t="s">
        <v>19</v>
      </c>
      <c r="L408" t="s">
        <v>167</v>
      </c>
      <c r="M408" t="s">
        <v>282</v>
      </c>
      <c r="N408" t="str">
        <f t="shared" si="27"/>
        <v>Иванова Анна СергеевнаВолкова Людмила Кирилловна</v>
      </c>
      <c r="O408" t="s">
        <v>55</v>
      </c>
      <c r="P408" t="s">
        <v>139</v>
      </c>
      <c r="Q408" t="s">
        <v>337</v>
      </c>
    </row>
    <row r="409" spans="4:17" x14ac:dyDescent="0.25">
      <c r="D409" t="s">
        <v>19</v>
      </c>
      <c r="E409" t="s">
        <v>53</v>
      </c>
      <c r="F409" t="str">
        <f t="shared" si="24"/>
        <v>2023-09-11</v>
      </c>
      <c r="G409" t="str">
        <f t="shared" si="25"/>
        <v>2024-07-15</v>
      </c>
      <c r="H409">
        <f t="shared" si="26"/>
        <v>308</v>
      </c>
      <c r="J409" t="str">
        <f>K409&amp;L409</f>
        <v>Новикова Ольга ПетровнаПавлова Наталья Павловна</v>
      </c>
      <c r="K409" t="s">
        <v>29</v>
      </c>
      <c r="L409" t="s">
        <v>144</v>
      </c>
      <c r="M409" t="s">
        <v>282</v>
      </c>
      <c r="N409" t="str">
        <f t="shared" si="27"/>
        <v>Белов Алексей КонстантиновичВолков Павел Иванович</v>
      </c>
      <c r="O409" t="s">
        <v>5</v>
      </c>
      <c r="P409" t="s">
        <v>74</v>
      </c>
      <c r="Q409" t="s">
        <v>336</v>
      </c>
    </row>
    <row r="410" spans="4:17" x14ac:dyDescent="0.25">
      <c r="D410" t="s">
        <v>19</v>
      </c>
      <c r="E410" t="s">
        <v>121</v>
      </c>
      <c r="F410" t="str">
        <f t="shared" si="24"/>
        <v>2023-10-04</v>
      </c>
      <c r="G410" t="str">
        <f t="shared" si="25"/>
        <v>2023-10-04</v>
      </c>
      <c r="H410">
        <f t="shared" si="26"/>
        <v>0</v>
      </c>
      <c r="J410" t="str">
        <f>K410&amp;L410</f>
        <v>Яковлев Артем ИгоревичСмирнов Илья Андреевич</v>
      </c>
      <c r="K410" t="s">
        <v>21</v>
      </c>
      <c r="L410" t="s">
        <v>258</v>
      </c>
      <c r="M410" t="s">
        <v>282</v>
      </c>
      <c r="N410" t="str">
        <f t="shared" si="27"/>
        <v>Яковлев Артем ИгоревичСидоров Кирилл Михайлович</v>
      </c>
      <c r="O410" t="s">
        <v>21</v>
      </c>
      <c r="P410" t="s">
        <v>59</v>
      </c>
      <c r="Q410" t="s">
        <v>336</v>
      </c>
    </row>
    <row r="411" spans="4:17" x14ac:dyDescent="0.25">
      <c r="D411" t="s">
        <v>19</v>
      </c>
      <c r="E411" t="s">
        <v>49</v>
      </c>
      <c r="F411" t="str">
        <f t="shared" si="24"/>
        <v>2023-09-18</v>
      </c>
      <c r="G411" t="str">
        <f t="shared" si="25"/>
        <v>2024-01-31</v>
      </c>
      <c r="H411">
        <f t="shared" si="26"/>
        <v>135</v>
      </c>
      <c r="J411" t="str">
        <f>K411&amp;L411</f>
        <v>Фролов Сергей ВикторовичФедоров Максим Андреевич</v>
      </c>
      <c r="K411" t="s">
        <v>38</v>
      </c>
      <c r="L411" t="s">
        <v>97</v>
      </c>
      <c r="M411" t="s">
        <v>282</v>
      </c>
      <c r="N411" t="str">
        <f t="shared" si="27"/>
        <v>Петров Владимир КирилловичЕгорова Юлия Никитична</v>
      </c>
      <c r="O411" t="s">
        <v>19</v>
      </c>
      <c r="P411" t="s">
        <v>264</v>
      </c>
      <c r="Q411" t="s">
        <v>335</v>
      </c>
    </row>
    <row r="412" spans="4:17" x14ac:dyDescent="0.25">
      <c r="D412" t="s">
        <v>19</v>
      </c>
      <c r="E412" t="s">
        <v>264</v>
      </c>
      <c r="F412" t="str">
        <f t="shared" si="24"/>
        <v>2024-04-03</v>
      </c>
      <c r="G412" t="str">
        <f t="shared" si="25"/>
        <v>2024-04-03</v>
      </c>
      <c r="H412">
        <f t="shared" si="26"/>
        <v>0</v>
      </c>
      <c r="J412" t="str">
        <f>K412&amp;L412</f>
        <v>Сидорова Елена ВасильевнаПетрова Виктория Юрьевна</v>
      </c>
      <c r="K412" t="s">
        <v>8</v>
      </c>
      <c r="L412" t="s">
        <v>71</v>
      </c>
      <c r="M412" t="s">
        <v>282</v>
      </c>
      <c r="N412" t="str">
        <f t="shared" si="27"/>
        <v>Семенова Ирина ВалерьевнаПетрова Алиса Егоровна</v>
      </c>
      <c r="O412" t="s">
        <v>16</v>
      </c>
      <c r="P412" t="s">
        <v>109</v>
      </c>
      <c r="Q412" t="s">
        <v>335</v>
      </c>
    </row>
    <row r="413" spans="4:17" x14ac:dyDescent="0.25">
      <c r="D413" t="s">
        <v>19</v>
      </c>
      <c r="E413" t="s">
        <v>149</v>
      </c>
      <c r="F413" t="str">
        <f t="shared" si="24"/>
        <v>2024-04-02</v>
      </c>
      <c r="G413" t="str">
        <f t="shared" si="25"/>
        <v>2024-04-02</v>
      </c>
      <c r="H413">
        <f t="shared" si="26"/>
        <v>0</v>
      </c>
      <c r="J413" t="str">
        <f>K413&amp;L413</f>
        <v>Громова Мария ИльиничнаПопов Никита Андреевич</v>
      </c>
      <c r="K413" t="s">
        <v>43</v>
      </c>
      <c r="L413" t="s">
        <v>165</v>
      </c>
      <c r="M413" t="s">
        <v>284</v>
      </c>
      <c r="N413" t="str">
        <f t="shared" si="27"/>
        <v>Орлов Павел ДенисовичНиколаева Анна Михайловна</v>
      </c>
      <c r="O413" t="s">
        <v>13</v>
      </c>
      <c r="P413" t="s">
        <v>129</v>
      </c>
      <c r="Q413" t="s">
        <v>334</v>
      </c>
    </row>
    <row r="414" spans="4:17" x14ac:dyDescent="0.25">
      <c r="D414" t="s">
        <v>19</v>
      </c>
      <c r="E414" t="s">
        <v>164</v>
      </c>
      <c r="F414" t="str">
        <f t="shared" si="24"/>
        <v>2024-07-23</v>
      </c>
      <c r="G414" t="str">
        <f t="shared" si="25"/>
        <v>2024-07-23</v>
      </c>
      <c r="H414">
        <f t="shared" si="26"/>
        <v>0</v>
      </c>
      <c r="J414" t="str">
        <f>K414&amp;L414</f>
        <v>Белов Алексей КонстантиновичПетрова Виктория Юрьевна</v>
      </c>
      <c r="K414" t="s">
        <v>5</v>
      </c>
      <c r="L414" t="s">
        <v>71</v>
      </c>
      <c r="M414" t="s">
        <v>284</v>
      </c>
      <c r="N414" t="str">
        <f t="shared" si="27"/>
        <v>Семенова Ирина ВалерьевнаЕгоров Илья Андреевич</v>
      </c>
      <c r="O414" t="s">
        <v>16</v>
      </c>
      <c r="P414" t="s">
        <v>221</v>
      </c>
      <c r="Q414" t="s">
        <v>334</v>
      </c>
    </row>
    <row r="415" spans="4:17" x14ac:dyDescent="0.25">
      <c r="D415" t="s">
        <v>19</v>
      </c>
      <c r="E415" t="s">
        <v>91</v>
      </c>
      <c r="F415" t="str">
        <f t="shared" si="24"/>
        <v>2023-12-22</v>
      </c>
      <c r="G415" t="str">
        <f t="shared" si="25"/>
        <v>2023-12-22</v>
      </c>
      <c r="H415">
        <f t="shared" si="26"/>
        <v>0</v>
      </c>
      <c r="J415" t="str">
        <f>K415&amp;L415</f>
        <v>Петров Владимир КирилловичПавлов Сергей Олегович</v>
      </c>
      <c r="K415" t="s">
        <v>19</v>
      </c>
      <c r="L415" t="s">
        <v>209</v>
      </c>
      <c r="M415" t="s">
        <v>284</v>
      </c>
      <c r="N415" t="str">
        <f t="shared" si="27"/>
        <v>Семенова Ирина ВалерьевнаОрлов Андрей Никитич</v>
      </c>
      <c r="O415" t="s">
        <v>16</v>
      </c>
      <c r="P415" t="s">
        <v>111</v>
      </c>
      <c r="Q415" t="s">
        <v>334</v>
      </c>
    </row>
    <row r="416" spans="4:17" x14ac:dyDescent="0.25">
      <c r="D416" t="s">
        <v>19</v>
      </c>
      <c r="E416" t="s">
        <v>161</v>
      </c>
      <c r="F416" t="str">
        <f t="shared" si="24"/>
        <v>2024-03-05</v>
      </c>
      <c r="G416" t="str">
        <f t="shared" si="25"/>
        <v>2024-03-05</v>
      </c>
      <c r="H416">
        <f t="shared" si="26"/>
        <v>0</v>
      </c>
      <c r="J416" t="str">
        <f>K416&amp;L416</f>
        <v>Фролов Сергей ВикторовичВасильев Андрей Дмитриевич</v>
      </c>
      <c r="K416" t="s">
        <v>38</v>
      </c>
      <c r="L416" t="s">
        <v>172</v>
      </c>
      <c r="M416" t="s">
        <v>284</v>
      </c>
      <c r="N416" t="str">
        <f t="shared" si="27"/>
        <v>Петров Владимир КирилловичИванов Георгий Павлович</v>
      </c>
      <c r="O416" t="s">
        <v>19</v>
      </c>
      <c r="P416" t="s">
        <v>149</v>
      </c>
      <c r="Q416" t="s">
        <v>334</v>
      </c>
    </row>
    <row r="417" spans="4:17" x14ac:dyDescent="0.25">
      <c r="D417" t="s">
        <v>19</v>
      </c>
      <c r="E417" t="s">
        <v>215</v>
      </c>
      <c r="F417" t="str">
        <f t="shared" si="24"/>
        <v>2023-11-27</v>
      </c>
      <c r="G417" t="str">
        <f t="shared" si="25"/>
        <v>2024-01-01</v>
      </c>
      <c r="H417">
        <f t="shared" si="26"/>
        <v>35</v>
      </c>
      <c r="J417" t="str">
        <f>K417&amp;L417</f>
        <v>Петров Владимир КирилловичЕгоров Сергей Андреевич</v>
      </c>
      <c r="K417" t="s">
        <v>19</v>
      </c>
      <c r="L417" t="s">
        <v>49</v>
      </c>
      <c r="M417" t="s">
        <v>285</v>
      </c>
      <c r="N417" t="str">
        <f t="shared" si="27"/>
        <v>Кузнецов Дмитрий ЛьвовичПопов Никита Андреевич</v>
      </c>
      <c r="O417" t="s">
        <v>11</v>
      </c>
      <c r="P417" t="s">
        <v>165</v>
      </c>
      <c r="Q417" t="s">
        <v>332</v>
      </c>
    </row>
    <row r="418" spans="4:17" x14ac:dyDescent="0.25">
      <c r="D418" t="s">
        <v>19</v>
      </c>
      <c r="E418" t="s">
        <v>34</v>
      </c>
      <c r="F418" t="str">
        <f t="shared" si="24"/>
        <v>2024-01-15</v>
      </c>
      <c r="G418" t="str">
        <f t="shared" si="25"/>
        <v>2024-01-15</v>
      </c>
      <c r="H418">
        <f t="shared" si="26"/>
        <v>0</v>
      </c>
      <c r="J418" t="str">
        <f>K418&amp;L418</f>
        <v>Сидорова Елена ВасильевнаКузнецов Кирилл Александрович</v>
      </c>
      <c r="K418" t="s">
        <v>8</v>
      </c>
      <c r="L418" t="s">
        <v>92</v>
      </c>
      <c r="M418" t="s">
        <v>285</v>
      </c>
      <c r="N418" t="str">
        <f t="shared" si="27"/>
        <v>Фролов Сергей ВикторовичПавлов Михаил Андреевич</v>
      </c>
      <c r="O418" t="s">
        <v>38</v>
      </c>
      <c r="P418" t="s">
        <v>39</v>
      </c>
      <c r="Q418" t="s">
        <v>332</v>
      </c>
    </row>
    <row r="419" spans="4:17" x14ac:dyDescent="0.25">
      <c r="D419" t="s">
        <v>19</v>
      </c>
      <c r="E419" t="s">
        <v>78</v>
      </c>
      <c r="F419" t="str">
        <f t="shared" si="24"/>
        <v>2023-09-18</v>
      </c>
      <c r="G419" t="str">
        <f t="shared" si="25"/>
        <v>2023-09-18</v>
      </c>
      <c r="H419">
        <f t="shared" si="26"/>
        <v>0</v>
      </c>
      <c r="J419" t="str">
        <f>K419&amp;L419</f>
        <v>Сидорова Елена ВасильевнаВолков Павел Иванович</v>
      </c>
      <c r="K419" t="s">
        <v>8</v>
      </c>
      <c r="L419" t="s">
        <v>74</v>
      </c>
      <c r="M419" t="s">
        <v>285</v>
      </c>
      <c r="N419" t="str">
        <f t="shared" si="27"/>
        <v>Новикова Ольга ПетровнаПопов Роман Владимирович</v>
      </c>
      <c r="O419" t="s">
        <v>29</v>
      </c>
      <c r="P419" t="s">
        <v>88</v>
      </c>
      <c r="Q419" t="s">
        <v>332</v>
      </c>
    </row>
    <row r="420" spans="4:17" x14ac:dyDescent="0.25">
      <c r="D420" t="s">
        <v>19</v>
      </c>
      <c r="E420" t="s">
        <v>265</v>
      </c>
      <c r="F420" t="str">
        <f t="shared" si="24"/>
        <v>2024-01-16</v>
      </c>
      <c r="G420" t="str">
        <f t="shared" si="25"/>
        <v>2024-01-16</v>
      </c>
      <c r="H420">
        <f t="shared" si="26"/>
        <v>0</v>
      </c>
      <c r="J420" t="str">
        <f>K420&amp;L420</f>
        <v>Семенова Ирина ВалерьевнаФедоров Владимир Артемович</v>
      </c>
      <c r="K420" t="s">
        <v>16</v>
      </c>
      <c r="L420" t="s">
        <v>217</v>
      </c>
      <c r="M420" t="s">
        <v>285</v>
      </c>
      <c r="N420" t="str">
        <f t="shared" si="27"/>
        <v>Громова Мария ИльиничнаВолкова Полина Юрьевна</v>
      </c>
      <c r="O420" t="s">
        <v>43</v>
      </c>
      <c r="P420" t="s">
        <v>263</v>
      </c>
      <c r="Q420" t="s">
        <v>332</v>
      </c>
    </row>
    <row r="421" spans="4:17" x14ac:dyDescent="0.25">
      <c r="D421" t="s">
        <v>19</v>
      </c>
      <c r="E421" t="s">
        <v>30</v>
      </c>
      <c r="F421" t="str">
        <f t="shared" si="24"/>
        <v>2024-04-29</v>
      </c>
      <c r="G421" t="str">
        <f t="shared" si="25"/>
        <v>2024-06-21</v>
      </c>
      <c r="H421">
        <f t="shared" si="26"/>
        <v>53</v>
      </c>
      <c r="J421" t="str">
        <f>K421&amp;L421</f>
        <v>Орлов Павел ДенисовичВолков Алексей Никитич</v>
      </c>
      <c r="K421" t="s">
        <v>13</v>
      </c>
      <c r="L421" t="s">
        <v>187</v>
      </c>
      <c r="M421" t="s">
        <v>286</v>
      </c>
      <c r="N421" t="str">
        <f t="shared" si="27"/>
        <v>Фролов Сергей ВикторовичСмирнова Екатерина Ивановна</v>
      </c>
      <c r="O421" t="s">
        <v>38</v>
      </c>
      <c r="P421" t="s">
        <v>28</v>
      </c>
      <c r="Q421" t="s">
        <v>332</v>
      </c>
    </row>
    <row r="422" spans="4:17" x14ac:dyDescent="0.25">
      <c r="D422" t="s">
        <v>19</v>
      </c>
      <c r="E422" t="s">
        <v>92</v>
      </c>
      <c r="F422" t="str">
        <f t="shared" si="24"/>
        <v>2023-12-11</v>
      </c>
      <c r="G422" t="str">
        <f t="shared" si="25"/>
        <v>2024-02-19</v>
      </c>
      <c r="H422">
        <f t="shared" si="26"/>
        <v>70</v>
      </c>
      <c r="J422" t="str">
        <f>K422&amp;L422</f>
        <v>Петров Владимир КирилловичСмирнова Екатерина Ивановна</v>
      </c>
      <c r="K422" t="s">
        <v>19</v>
      </c>
      <c r="L422" t="s">
        <v>28</v>
      </c>
      <c r="M422" t="s">
        <v>286</v>
      </c>
      <c r="N422" t="str">
        <f t="shared" si="27"/>
        <v>Кузнецов Дмитрий ЛьвовичПетрова Валерия Викторовна</v>
      </c>
      <c r="O422" t="s">
        <v>11</v>
      </c>
      <c r="P422" t="s">
        <v>275</v>
      </c>
      <c r="Q422" t="s">
        <v>332</v>
      </c>
    </row>
    <row r="423" spans="4:17" x14ac:dyDescent="0.25">
      <c r="D423" t="s">
        <v>19</v>
      </c>
      <c r="E423" t="s">
        <v>167</v>
      </c>
      <c r="F423" t="str">
        <f t="shared" si="24"/>
        <v>2024-01-29</v>
      </c>
      <c r="G423" t="str">
        <f t="shared" si="25"/>
        <v>2024-01-29</v>
      </c>
      <c r="H423">
        <f t="shared" si="26"/>
        <v>0</v>
      </c>
      <c r="J423" t="str">
        <f>K423&amp;L423</f>
        <v>Петров Владимир КирилловичВолкова Анна Станиславовна</v>
      </c>
      <c r="K423" t="s">
        <v>19</v>
      </c>
      <c r="L423" t="s">
        <v>54</v>
      </c>
      <c r="M423" t="s">
        <v>286</v>
      </c>
      <c r="N423" t="str">
        <f t="shared" si="27"/>
        <v>Семенова Ирина ВалерьевнаПетров Дмитрий Никитич</v>
      </c>
      <c r="O423" t="s">
        <v>16</v>
      </c>
      <c r="P423" t="s">
        <v>130</v>
      </c>
      <c r="Q423" t="s">
        <v>332</v>
      </c>
    </row>
    <row r="424" spans="4:17" x14ac:dyDescent="0.25">
      <c r="D424" t="s">
        <v>19</v>
      </c>
      <c r="E424" t="s">
        <v>207</v>
      </c>
      <c r="F424" t="str">
        <f t="shared" si="24"/>
        <v>2023-11-20</v>
      </c>
      <c r="G424" t="str">
        <f t="shared" si="25"/>
        <v>2024-04-19</v>
      </c>
      <c r="H424">
        <f t="shared" si="26"/>
        <v>151</v>
      </c>
      <c r="J424" t="str">
        <f>K424&amp;L424</f>
        <v>Белов Алексей КонстантиновичПопова Полина Юрьевна</v>
      </c>
      <c r="K424" t="s">
        <v>5</v>
      </c>
      <c r="L424" t="s">
        <v>248</v>
      </c>
      <c r="M424" t="s">
        <v>287</v>
      </c>
      <c r="N424" t="str">
        <f t="shared" si="27"/>
        <v>Ткаченко Андрей ОлеговичКузнецов Артем Юрьевич</v>
      </c>
      <c r="O424" t="s">
        <v>26</v>
      </c>
      <c r="P424" t="s">
        <v>265</v>
      </c>
      <c r="Q424" t="s">
        <v>332</v>
      </c>
    </row>
    <row r="425" spans="4:17" x14ac:dyDescent="0.25">
      <c r="D425" t="s">
        <v>19</v>
      </c>
      <c r="E425" t="s">
        <v>77</v>
      </c>
      <c r="F425" t="str">
        <f t="shared" si="24"/>
        <v>2023-09-18</v>
      </c>
      <c r="G425" t="str">
        <f t="shared" si="25"/>
        <v>2023-09-18</v>
      </c>
      <c r="H425">
        <f t="shared" si="26"/>
        <v>0</v>
      </c>
      <c r="J425" t="str">
        <f>K425&amp;L425</f>
        <v>Яковлев Артем ИгоревичВасильев Матвей Кириллович</v>
      </c>
      <c r="K425" t="s">
        <v>21</v>
      </c>
      <c r="L425" t="s">
        <v>269</v>
      </c>
      <c r="M425" t="s">
        <v>287</v>
      </c>
      <c r="N425" t="str">
        <f t="shared" si="27"/>
        <v>Сидорова Елена ВасильевнаПетрова Людмила Олеговна</v>
      </c>
      <c r="O425" t="s">
        <v>8</v>
      </c>
      <c r="P425" t="s">
        <v>333</v>
      </c>
      <c r="Q425" t="s">
        <v>332</v>
      </c>
    </row>
    <row r="426" spans="4:17" x14ac:dyDescent="0.25">
      <c r="D426" t="s">
        <v>19</v>
      </c>
      <c r="E426" t="s">
        <v>278</v>
      </c>
      <c r="F426" t="str">
        <f t="shared" si="24"/>
        <v>2024-07-26</v>
      </c>
      <c r="G426" t="str">
        <f t="shared" si="25"/>
        <v>2024-07-26</v>
      </c>
      <c r="H426">
        <f t="shared" si="26"/>
        <v>0</v>
      </c>
      <c r="J426" t="str">
        <f>K426&amp;L426</f>
        <v>Иванова Анна СергеевнаСмирнов Роман Кириллович</v>
      </c>
      <c r="K426" t="s">
        <v>55</v>
      </c>
      <c r="L426" t="s">
        <v>125</v>
      </c>
      <c r="M426" t="s">
        <v>287</v>
      </c>
      <c r="N426" t="str">
        <f t="shared" si="27"/>
        <v>Петров Владимир КирилловичСтепанова Алиса Артемовна</v>
      </c>
      <c r="O426" t="s">
        <v>19</v>
      </c>
      <c r="P426" t="s">
        <v>237</v>
      </c>
      <c r="Q426" t="s">
        <v>332</v>
      </c>
    </row>
    <row r="427" spans="4:17" x14ac:dyDescent="0.25">
      <c r="D427" t="s">
        <v>19</v>
      </c>
      <c r="E427" t="s">
        <v>257</v>
      </c>
      <c r="F427" t="str">
        <f t="shared" si="24"/>
        <v>2024-03-18</v>
      </c>
      <c r="G427" t="str">
        <f t="shared" si="25"/>
        <v>2024-03-18</v>
      </c>
      <c r="H427">
        <f t="shared" si="26"/>
        <v>0</v>
      </c>
      <c r="J427" t="str">
        <f>K427&amp;L427</f>
        <v>Сидорова Елена ВасильевнаСмирнова Екатерина Ивановна</v>
      </c>
      <c r="K427" t="s">
        <v>8</v>
      </c>
      <c r="L427" t="s">
        <v>28</v>
      </c>
      <c r="M427" t="s">
        <v>287</v>
      </c>
      <c r="N427" t="str">
        <f t="shared" si="27"/>
        <v>Орлов Павел ДенисовичПопов Иван Егорович</v>
      </c>
      <c r="O427" t="s">
        <v>13</v>
      </c>
      <c r="P427" t="s">
        <v>82</v>
      </c>
      <c r="Q427" t="s">
        <v>332</v>
      </c>
    </row>
    <row r="428" spans="4:17" x14ac:dyDescent="0.25">
      <c r="D428" t="s">
        <v>19</v>
      </c>
      <c r="E428" t="s">
        <v>442</v>
      </c>
      <c r="F428" t="str">
        <f t="shared" si="24"/>
        <v>2024-08-15</v>
      </c>
      <c r="G428" t="str">
        <f t="shared" si="25"/>
        <v>2024-08-15</v>
      </c>
      <c r="H428">
        <f t="shared" si="26"/>
        <v>0</v>
      </c>
      <c r="J428" t="str">
        <f>K428&amp;L428</f>
        <v>Кузнецов Дмитрий ЛьвовичАлексеева Мария Олеговна</v>
      </c>
      <c r="K428" t="s">
        <v>11</v>
      </c>
      <c r="L428" t="s">
        <v>72</v>
      </c>
      <c r="M428" t="s">
        <v>287</v>
      </c>
      <c r="N428" t="str">
        <f t="shared" si="27"/>
        <v>Семенова Ирина ВалерьевнаНиколаева Алиса Ильинична</v>
      </c>
      <c r="O428" t="s">
        <v>16</v>
      </c>
      <c r="P428" t="s">
        <v>67</v>
      </c>
      <c r="Q428" t="s">
        <v>332</v>
      </c>
    </row>
    <row r="429" spans="4:17" x14ac:dyDescent="0.25">
      <c r="D429" t="s">
        <v>19</v>
      </c>
      <c r="E429" t="s">
        <v>89</v>
      </c>
      <c r="F429" t="str">
        <f t="shared" si="24"/>
        <v>2024-07-29</v>
      </c>
      <c r="G429" t="str">
        <f t="shared" si="25"/>
        <v>2024-07-29</v>
      </c>
      <c r="H429">
        <f t="shared" si="26"/>
        <v>0</v>
      </c>
      <c r="J429" t="str">
        <f>K429&amp;L429</f>
        <v>Иванова Анна СергеевнаСеменов Никита Александрович</v>
      </c>
      <c r="K429" t="s">
        <v>55</v>
      </c>
      <c r="L429" t="s">
        <v>73</v>
      </c>
      <c r="M429" t="s">
        <v>287</v>
      </c>
      <c r="N429" t="str">
        <f t="shared" si="27"/>
        <v>Громова Мария ИльиничнаЕгорова Юлия Никитична</v>
      </c>
      <c r="O429" t="s">
        <v>43</v>
      </c>
      <c r="P429" t="s">
        <v>264</v>
      </c>
      <c r="Q429" t="s">
        <v>332</v>
      </c>
    </row>
    <row r="430" spans="4:17" x14ac:dyDescent="0.25">
      <c r="D430" t="s">
        <v>19</v>
      </c>
      <c r="E430" t="s">
        <v>123</v>
      </c>
      <c r="F430" t="str">
        <f t="shared" si="24"/>
        <v>2024-04-10</v>
      </c>
      <c r="G430" t="str">
        <f t="shared" si="25"/>
        <v>2024-04-10</v>
      </c>
      <c r="H430">
        <f t="shared" si="26"/>
        <v>0</v>
      </c>
      <c r="J430" t="str">
        <f>K430&amp;L430</f>
        <v>Семенова Ирина ВалерьевнаАлексеева Валерия Викторовна</v>
      </c>
      <c r="K430" t="s">
        <v>16</v>
      </c>
      <c r="L430" t="s">
        <v>96</v>
      </c>
      <c r="M430" t="s">
        <v>287</v>
      </c>
      <c r="N430" t="str">
        <f t="shared" si="27"/>
        <v>Кузнецов Дмитрий ЛьвовичСмирнова Мария Артемовна</v>
      </c>
      <c r="O430" t="s">
        <v>11</v>
      </c>
      <c r="P430" t="s">
        <v>44</v>
      </c>
      <c r="Q430" t="s">
        <v>331</v>
      </c>
    </row>
    <row r="431" spans="4:17" x14ac:dyDescent="0.25">
      <c r="D431" t="s">
        <v>19</v>
      </c>
      <c r="E431" t="s">
        <v>129</v>
      </c>
      <c r="F431" t="str">
        <f t="shared" si="24"/>
        <v>2024-08-29</v>
      </c>
      <c r="G431" t="str">
        <f t="shared" si="25"/>
        <v>2024-08-29</v>
      </c>
      <c r="H431">
        <f t="shared" si="26"/>
        <v>0</v>
      </c>
      <c r="J431" t="str">
        <f>K431&amp;L431</f>
        <v>Фролов Сергей ВикторовичЕгорова Татьяна Ильинична</v>
      </c>
      <c r="K431" t="s">
        <v>38</v>
      </c>
      <c r="L431" t="s">
        <v>188</v>
      </c>
      <c r="M431" t="s">
        <v>287</v>
      </c>
      <c r="N431" t="str">
        <f t="shared" si="27"/>
        <v>Громова Мария ИльиничнаОрлов Владимир Александрович</v>
      </c>
      <c r="O431" t="s">
        <v>43</v>
      </c>
      <c r="P431" t="s">
        <v>106</v>
      </c>
      <c r="Q431" t="s">
        <v>331</v>
      </c>
    </row>
    <row r="432" spans="4:17" x14ac:dyDescent="0.25">
      <c r="D432" t="s">
        <v>19</v>
      </c>
      <c r="E432" t="s">
        <v>145</v>
      </c>
      <c r="F432" t="str">
        <f t="shared" si="24"/>
        <v>2023-10-18</v>
      </c>
      <c r="G432" t="str">
        <f t="shared" si="25"/>
        <v>2023-10-18</v>
      </c>
      <c r="H432">
        <f t="shared" si="26"/>
        <v>0</v>
      </c>
      <c r="J432" t="str">
        <f>K432&amp;L432</f>
        <v>Сидорова Елена ВасильевнаКузнецов Егор Андреевич</v>
      </c>
      <c r="K432" t="s">
        <v>8</v>
      </c>
      <c r="L432" t="s">
        <v>30</v>
      </c>
      <c r="M432" t="s">
        <v>288</v>
      </c>
      <c r="N432" t="str">
        <f t="shared" si="27"/>
        <v>Белов Алексей КонстантиновичВасильев Егор Павлович</v>
      </c>
      <c r="O432" t="s">
        <v>5</v>
      </c>
      <c r="P432" t="s">
        <v>65</v>
      </c>
      <c r="Q432" t="s">
        <v>330</v>
      </c>
    </row>
    <row r="433" spans="4:17" x14ac:dyDescent="0.25">
      <c r="D433" t="s">
        <v>19</v>
      </c>
      <c r="E433" t="s">
        <v>76</v>
      </c>
      <c r="F433" t="str">
        <f t="shared" si="24"/>
        <v>2023-09-18</v>
      </c>
      <c r="G433" t="str">
        <f t="shared" si="25"/>
        <v>2023-11-06</v>
      </c>
      <c r="H433">
        <f t="shared" si="26"/>
        <v>49</v>
      </c>
      <c r="J433" t="str">
        <f>K433&amp;L433</f>
        <v>Ткаченко Андрей ОлеговичЛебедева Валерия Геннадьевна</v>
      </c>
      <c r="K433" t="s">
        <v>26</v>
      </c>
      <c r="L433" t="s">
        <v>177</v>
      </c>
      <c r="M433" t="s">
        <v>288</v>
      </c>
      <c r="N433" t="str">
        <f t="shared" si="27"/>
        <v>Иванова Анна СергеевнаНиколаева Мария Никитична</v>
      </c>
      <c r="O433" t="s">
        <v>55</v>
      </c>
      <c r="P433" t="s">
        <v>211</v>
      </c>
      <c r="Q433" t="s">
        <v>330</v>
      </c>
    </row>
    <row r="434" spans="4:17" x14ac:dyDescent="0.25">
      <c r="D434" t="s">
        <v>19</v>
      </c>
      <c r="E434" t="s">
        <v>47</v>
      </c>
      <c r="F434" t="str">
        <f t="shared" si="24"/>
        <v>2024-01-01</v>
      </c>
      <c r="G434" t="str">
        <f t="shared" si="25"/>
        <v>2024-01-01</v>
      </c>
      <c r="H434">
        <f t="shared" si="26"/>
        <v>0</v>
      </c>
      <c r="J434" t="str">
        <f>K434&amp;L434</f>
        <v>Петров Владимир КирилловичПавлов Андрей Владимирович</v>
      </c>
      <c r="K434" t="s">
        <v>19</v>
      </c>
      <c r="L434" t="s">
        <v>199</v>
      </c>
      <c r="M434" t="s">
        <v>288</v>
      </c>
      <c r="N434" t="str">
        <f t="shared" si="27"/>
        <v>Петров Владимир КирилловичНовикова София Ивановна</v>
      </c>
      <c r="O434" t="s">
        <v>19</v>
      </c>
      <c r="P434" t="s">
        <v>33</v>
      </c>
      <c r="Q434" t="s">
        <v>330</v>
      </c>
    </row>
    <row r="435" spans="4:17" x14ac:dyDescent="0.25">
      <c r="D435" t="s">
        <v>19</v>
      </c>
      <c r="E435" t="s">
        <v>33</v>
      </c>
      <c r="F435" t="str">
        <f t="shared" si="24"/>
        <v>2023-09-06</v>
      </c>
      <c r="G435" t="str">
        <f t="shared" si="25"/>
        <v>2024-03-28</v>
      </c>
      <c r="H435">
        <f t="shared" si="26"/>
        <v>204</v>
      </c>
      <c r="J435" t="str">
        <f>K435&amp;L435</f>
        <v>Сидорова Елена ВасильевнаАлексеева Ольга Дмитриевна</v>
      </c>
      <c r="K435" t="s">
        <v>8</v>
      </c>
      <c r="L435" t="s">
        <v>289</v>
      </c>
      <c r="M435" t="s">
        <v>288</v>
      </c>
      <c r="N435" t="str">
        <f t="shared" si="27"/>
        <v>Кузнецов Дмитрий ЛьвовичНовикова София Ивановна</v>
      </c>
      <c r="O435" t="s">
        <v>11</v>
      </c>
      <c r="P435" t="s">
        <v>33</v>
      </c>
      <c r="Q435" t="s">
        <v>330</v>
      </c>
    </row>
    <row r="436" spans="4:17" x14ac:dyDescent="0.25">
      <c r="D436" t="s">
        <v>19</v>
      </c>
      <c r="E436" t="s">
        <v>32</v>
      </c>
      <c r="F436" t="str">
        <f t="shared" si="24"/>
        <v>2024-03-28</v>
      </c>
      <c r="G436" t="str">
        <f t="shared" si="25"/>
        <v>2024-04-12</v>
      </c>
      <c r="H436">
        <f t="shared" si="26"/>
        <v>15</v>
      </c>
      <c r="J436" t="str">
        <f>K436&amp;L436</f>
        <v>Семенова Ирина ВалерьевнаМорозов Иван Геннадьевич</v>
      </c>
      <c r="K436" t="s">
        <v>16</v>
      </c>
      <c r="L436" t="s">
        <v>257</v>
      </c>
      <c r="M436" t="s">
        <v>288</v>
      </c>
      <c r="N436" t="str">
        <f t="shared" si="27"/>
        <v>Петров Владимир КирилловичОрлов Владимир Никитич</v>
      </c>
      <c r="O436" t="s">
        <v>19</v>
      </c>
      <c r="P436" t="s">
        <v>32</v>
      </c>
      <c r="Q436" t="s">
        <v>330</v>
      </c>
    </row>
    <row r="437" spans="4:17" x14ac:dyDescent="0.25">
      <c r="D437" t="s">
        <v>19</v>
      </c>
      <c r="E437" t="s">
        <v>105</v>
      </c>
      <c r="F437" t="str">
        <f t="shared" si="24"/>
        <v>2024-04-17</v>
      </c>
      <c r="G437" t="str">
        <f t="shared" si="25"/>
        <v>2024-04-17</v>
      </c>
      <c r="H437">
        <f t="shared" si="26"/>
        <v>0</v>
      </c>
      <c r="J437" t="str">
        <f>K437&amp;L437</f>
        <v>Петров Владимир КирилловичАлексеев Никита Алексеевич</v>
      </c>
      <c r="K437" t="s">
        <v>19</v>
      </c>
      <c r="L437" t="s">
        <v>171</v>
      </c>
      <c r="M437" t="s">
        <v>290</v>
      </c>
      <c r="N437" t="str">
        <f t="shared" si="27"/>
        <v>Фролов Сергей ВикторовичИванов Андрей Дмитриевич</v>
      </c>
      <c r="O437" t="s">
        <v>38</v>
      </c>
      <c r="P437" t="s">
        <v>328</v>
      </c>
      <c r="Q437" t="s">
        <v>329</v>
      </c>
    </row>
    <row r="438" spans="4:17" x14ac:dyDescent="0.25">
      <c r="D438" t="s">
        <v>19</v>
      </c>
      <c r="E438" t="s">
        <v>199</v>
      </c>
      <c r="F438" t="str">
        <f t="shared" si="24"/>
        <v>2024-02-06</v>
      </c>
      <c r="G438" t="str">
        <f t="shared" si="25"/>
        <v>2024-02-06</v>
      </c>
      <c r="H438">
        <f t="shared" si="26"/>
        <v>0</v>
      </c>
      <c r="J438" t="str">
        <f>K438&amp;L438</f>
        <v>Новикова Ольга ПетровнаВолкова София Александровна</v>
      </c>
      <c r="K438" t="s">
        <v>29</v>
      </c>
      <c r="L438" t="s">
        <v>112</v>
      </c>
      <c r="M438" t="s">
        <v>290</v>
      </c>
      <c r="N438" t="str">
        <f t="shared" si="27"/>
        <v>Ткаченко Андрей ОлеговичНиколаева Анна Дмитриевна</v>
      </c>
      <c r="O438" t="s">
        <v>26</v>
      </c>
      <c r="P438" t="s">
        <v>123</v>
      </c>
      <c r="Q438" t="s">
        <v>329</v>
      </c>
    </row>
    <row r="439" spans="4:17" x14ac:dyDescent="0.25">
      <c r="D439" t="s">
        <v>19</v>
      </c>
      <c r="E439" t="s">
        <v>39</v>
      </c>
      <c r="F439" t="str">
        <f t="shared" si="24"/>
        <v>2024-04-08</v>
      </c>
      <c r="G439" t="str">
        <f t="shared" si="25"/>
        <v>2024-04-08</v>
      </c>
      <c r="H439">
        <f t="shared" si="26"/>
        <v>0</v>
      </c>
      <c r="J439" t="str">
        <f>K439&amp;L439</f>
        <v>Кузнецов Дмитрий ЛьвовичЕгоров Никита Олегович</v>
      </c>
      <c r="K439" t="s">
        <v>11</v>
      </c>
      <c r="L439" t="s">
        <v>121</v>
      </c>
      <c r="M439" t="s">
        <v>290</v>
      </c>
      <c r="N439" t="str">
        <f t="shared" si="27"/>
        <v>Сидорова Елена ВасильевнаВасильева Виктория Артемовна</v>
      </c>
      <c r="O439" t="s">
        <v>8</v>
      </c>
      <c r="P439" t="s">
        <v>274</v>
      </c>
      <c r="Q439" t="s">
        <v>329</v>
      </c>
    </row>
    <row r="440" spans="4:17" x14ac:dyDescent="0.25">
      <c r="D440" t="s">
        <v>19</v>
      </c>
      <c r="E440" t="s">
        <v>209</v>
      </c>
      <c r="F440" t="str">
        <f t="shared" si="24"/>
        <v>2023-11-21</v>
      </c>
      <c r="G440" t="str">
        <f t="shared" si="25"/>
        <v>2024-01-30</v>
      </c>
      <c r="H440">
        <f t="shared" si="26"/>
        <v>70</v>
      </c>
      <c r="J440" t="str">
        <f>K440&amp;L440</f>
        <v>Сидорова Елена ВасильевнаВолкова Светлана Ивановна</v>
      </c>
      <c r="K440" t="s">
        <v>8</v>
      </c>
      <c r="L440" t="s">
        <v>64</v>
      </c>
      <c r="M440" t="s">
        <v>290</v>
      </c>
      <c r="N440" t="str">
        <f t="shared" si="27"/>
        <v>Громова Мария ИльиничнаФедорова Татьяна Викторовна</v>
      </c>
      <c r="O440" t="s">
        <v>43</v>
      </c>
      <c r="P440" t="s">
        <v>104</v>
      </c>
      <c r="Q440" t="s">
        <v>327</v>
      </c>
    </row>
    <row r="441" spans="4:17" x14ac:dyDescent="0.25">
      <c r="D441" t="s">
        <v>19</v>
      </c>
      <c r="E441" t="s">
        <v>144</v>
      </c>
      <c r="F441" t="str">
        <f t="shared" si="24"/>
        <v>2024-07-30</v>
      </c>
      <c r="G441" t="str">
        <f t="shared" si="25"/>
        <v>2024-07-30</v>
      </c>
      <c r="H441">
        <f t="shared" si="26"/>
        <v>0</v>
      </c>
      <c r="J441" t="str">
        <f>K441&amp;L441</f>
        <v>Орлов Павел ДенисовичСтепанова Алиса Артемовна</v>
      </c>
      <c r="K441" t="s">
        <v>13</v>
      </c>
      <c r="L441" t="s">
        <v>237</v>
      </c>
      <c r="M441" t="s">
        <v>290</v>
      </c>
      <c r="N441" t="str">
        <f t="shared" si="27"/>
        <v>Семенова Ирина ВалерьевнаПопова Наталья Станиславовна</v>
      </c>
      <c r="O441" t="s">
        <v>16</v>
      </c>
      <c r="P441" t="s">
        <v>178</v>
      </c>
      <c r="Q441" t="s">
        <v>325</v>
      </c>
    </row>
    <row r="442" spans="4:17" x14ac:dyDescent="0.25">
      <c r="D442" t="s">
        <v>19</v>
      </c>
      <c r="E442" t="s">
        <v>136</v>
      </c>
      <c r="F442" t="str">
        <f t="shared" si="24"/>
        <v>2024-06-10</v>
      </c>
      <c r="G442" t="str">
        <f t="shared" si="25"/>
        <v>2024-06-10</v>
      </c>
      <c r="H442">
        <f t="shared" si="26"/>
        <v>0</v>
      </c>
      <c r="J442" t="str">
        <f>K442&amp;L442</f>
        <v>Ткаченко Андрей ОлеговичВасильева Виктория Артемовна</v>
      </c>
      <c r="K442" t="s">
        <v>26</v>
      </c>
      <c r="L442" t="s">
        <v>274</v>
      </c>
      <c r="M442" t="s">
        <v>291</v>
      </c>
      <c r="N442" t="str">
        <f t="shared" si="27"/>
        <v>Кузнецов Дмитрий ЛьвовичПавлова Наталья Павловна</v>
      </c>
      <c r="O442" t="s">
        <v>11</v>
      </c>
      <c r="P442" t="s">
        <v>144</v>
      </c>
      <c r="Q442" t="s">
        <v>325</v>
      </c>
    </row>
    <row r="443" spans="4:17" x14ac:dyDescent="0.25">
      <c r="D443" t="s">
        <v>19</v>
      </c>
      <c r="E443" t="s">
        <v>84</v>
      </c>
      <c r="F443" t="str">
        <f t="shared" si="24"/>
        <v>2023-10-26</v>
      </c>
      <c r="G443" t="str">
        <f t="shared" si="25"/>
        <v>2024-04-19</v>
      </c>
      <c r="H443">
        <f t="shared" si="26"/>
        <v>176</v>
      </c>
      <c r="J443" t="str">
        <f>K443&amp;L443</f>
        <v>Семенова Ирина ВалерьевнаНиколаев Андрей Ильич</v>
      </c>
      <c r="K443" t="s">
        <v>16</v>
      </c>
      <c r="L443" t="s">
        <v>63</v>
      </c>
      <c r="M443" t="s">
        <v>291</v>
      </c>
      <c r="N443" t="str">
        <f t="shared" si="27"/>
        <v>Новикова Ольга ПетровнаАлексеев Артур Артемович</v>
      </c>
      <c r="O443" t="s">
        <v>29</v>
      </c>
      <c r="P443" t="s">
        <v>190</v>
      </c>
      <c r="Q443" t="s">
        <v>325</v>
      </c>
    </row>
    <row r="444" spans="4:17" x14ac:dyDescent="0.25">
      <c r="D444" t="s">
        <v>19</v>
      </c>
      <c r="E444" t="s">
        <v>206</v>
      </c>
      <c r="F444" t="str">
        <f t="shared" si="24"/>
        <v>2024-04-15</v>
      </c>
      <c r="G444" t="str">
        <f t="shared" si="25"/>
        <v>2024-04-15</v>
      </c>
      <c r="H444">
        <f t="shared" si="26"/>
        <v>0</v>
      </c>
      <c r="J444" t="str">
        <f>K444&amp;L444</f>
        <v>Яковлев Артем ИгоревичВасильев Матвей Кириллович</v>
      </c>
      <c r="K444" t="s">
        <v>21</v>
      </c>
      <c r="L444" t="s">
        <v>269</v>
      </c>
      <c r="M444" t="s">
        <v>291</v>
      </c>
      <c r="N444" t="str">
        <f t="shared" si="27"/>
        <v>Белов Алексей КонстантиновичПетров Павел Юрьевич</v>
      </c>
      <c r="O444" t="s">
        <v>5</v>
      </c>
      <c r="P444" t="s">
        <v>206</v>
      </c>
      <c r="Q444" t="s">
        <v>325</v>
      </c>
    </row>
    <row r="445" spans="4:17" x14ac:dyDescent="0.25">
      <c r="D445" t="s">
        <v>19</v>
      </c>
      <c r="E445" t="s">
        <v>71</v>
      </c>
      <c r="F445" t="str">
        <f t="shared" si="24"/>
        <v>2023-09-18</v>
      </c>
      <c r="G445" t="str">
        <f t="shared" si="25"/>
        <v>2023-10-30</v>
      </c>
      <c r="H445">
        <f t="shared" si="26"/>
        <v>42</v>
      </c>
      <c r="J445" t="str">
        <f>K445&amp;L445</f>
        <v>Фролов Сергей ВикторовичПавлова Наталья Павловна</v>
      </c>
      <c r="K445" t="s">
        <v>38</v>
      </c>
      <c r="L445" t="s">
        <v>144</v>
      </c>
      <c r="M445" t="s">
        <v>291</v>
      </c>
      <c r="N445" t="str">
        <f t="shared" si="27"/>
        <v>Новикова Ольга ПетровнаФедоров Владимир Артемович</v>
      </c>
      <c r="O445" t="s">
        <v>29</v>
      </c>
      <c r="P445" t="s">
        <v>217</v>
      </c>
      <c r="Q445" t="s">
        <v>325</v>
      </c>
    </row>
    <row r="446" spans="4:17" x14ac:dyDescent="0.25">
      <c r="D446" t="s">
        <v>19</v>
      </c>
      <c r="E446" t="s">
        <v>184</v>
      </c>
      <c r="F446" t="str">
        <f t="shared" si="24"/>
        <v>2024-05-07</v>
      </c>
      <c r="G446" t="str">
        <f t="shared" si="25"/>
        <v>2024-05-07</v>
      </c>
      <c r="H446">
        <f t="shared" si="26"/>
        <v>0</v>
      </c>
      <c r="J446" t="str">
        <f>K446&amp;L446</f>
        <v>Фролов Сергей ВикторовичСмирнова Екатерина Ивановна</v>
      </c>
      <c r="K446" t="s">
        <v>38</v>
      </c>
      <c r="L446" t="s">
        <v>28</v>
      </c>
      <c r="M446" t="s">
        <v>292</v>
      </c>
      <c r="N446" t="str">
        <f t="shared" si="27"/>
        <v>Яковлев Артем ИгоревичПетрова Ольга Геннадьевна</v>
      </c>
      <c r="O446" t="s">
        <v>21</v>
      </c>
      <c r="P446" t="s">
        <v>184</v>
      </c>
      <c r="Q446" t="s">
        <v>325</v>
      </c>
    </row>
    <row r="447" spans="4:17" x14ac:dyDescent="0.25">
      <c r="D447" t="s">
        <v>19</v>
      </c>
      <c r="E447" t="s">
        <v>61</v>
      </c>
      <c r="F447" t="str">
        <f t="shared" si="24"/>
        <v>2023-12-12</v>
      </c>
      <c r="G447" t="str">
        <f t="shared" si="25"/>
        <v>2023-12-12</v>
      </c>
      <c r="H447">
        <f t="shared" si="26"/>
        <v>0</v>
      </c>
      <c r="J447" t="str">
        <f>K447&amp;L447</f>
        <v>Ткаченко Андрей ОлеговичЕгоров Никита Олегович</v>
      </c>
      <c r="K447" t="s">
        <v>26</v>
      </c>
      <c r="L447" t="s">
        <v>121</v>
      </c>
      <c r="M447" t="s">
        <v>292</v>
      </c>
      <c r="N447" t="str">
        <f t="shared" si="27"/>
        <v>Семенова Ирина ВалерьевнаСмирнова Елена Олеговна</v>
      </c>
      <c r="O447" t="s">
        <v>16</v>
      </c>
      <c r="P447" t="s">
        <v>22</v>
      </c>
      <c r="Q447" t="s">
        <v>325</v>
      </c>
    </row>
    <row r="448" spans="4:17" x14ac:dyDescent="0.25">
      <c r="D448" t="s">
        <v>19</v>
      </c>
      <c r="E448" t="s">
        <v>148</v>
      </c>
      <c r="F448" t="str">
        <f t="shared" si="24"/>
        <v>2024-05-29</v>
      </c>
      <c r="G448" t="str">
        <f t="shared" si="25"/>
        <v>2024-07-08</v>
      </c>
      <c r="H448">
        <f t="shared" si="26"/>
        <v>40</v>
      </c>
      <c r="J448" t="str">
        <f>K448&amp;L448</f>
        <v>Фролов Сергей ВикторовичНовикова Екатерина Павловна</v>
      </c>
      <c r="K448" t="s">
        <v>38</v>
      </c>
      <c r="L448" t="s">
        <v>76</v>
      </c>
      <c r="M448" t="s">
        <v>292</v>
      </c>
      <c r="N448" t="str">
        <f t="shared" si="27"/>
        <v>Орлов Павел ДенисовичКозлова Алиса Геннадьевна</v>
      </c>
      <c r="O448" t="s">
        <v>13</v>
      </c>
      <c r="P448" t="s">
        <v>326</v>
      </c>
      <c r="Q448" t="s">
        <v>325</v>
      </c>
    </row>
    <row r="449" spans="4:17" x14ac:dyDescent="0.25">
      <c r="D449" t="s">
        <v>19</v>
      </c>
      <c r="E449" t="s">
        <v>138</v>
      </c>
      <c r="F449" t="str">
        <f t="shared" si="24"/>
        <v>2024-08-19</v>
      </c>
      <c r="G449" t="str">
        <f t="shared" si="25"/>
        <v>2024-08-19</v>
      </c>
      <c r="H449">
        <f t="shared" si="26"/>
        <v>0</v>
      </c>
      <c r="J449" t="str">
        <f>K449&amp;L449</f>
        <v>Семенова Ирина ВалерьевнаСтепанов Михаил Ильич</v>
      </c>
      <c r="K449" t="s">
        <v>16</v>
      </c>
      <c r="L449" t="s">
        <v>293</v>
      </c>
      <c r="M449" t="s">
        <v>292</v>
      </c>
      <c r="N449" t="str">
        <f t="shared" si="27"/>
        <v>Яковлев Артем ИгоревичМорозов Владимир Станиславович</v>
      </c>
      <c r="O449" t="s">
        <v>21</v>
      </c>
      <c r="P449" t="s">
        <v>141</v>
      </c>
      <c r="Q449" t="s">
        <v>325</v>
      </c>
    </row>
    <row r="450" spans="4:17" x14ac:dyDescent="0.25">
      <c r="D450" t="s">
        <v>19</v>
      </c>
      <c r="E450" t="s">
        <v>165</v>
      </c>
      <c r="F450" t="str">
        <f t="shared" si="24"/>
        <v>2024-04-08</v>
      </c>
      <c r="G450" t="str">
        <f t="shared" si="25"/>
        <v>2024-04-08</v>
      </c>
      <c r="H450">
        <f t="shared" si="26"/>
        <v>0</v>
      </c>
      <c r="J450" t="str">
        <f>K450&amp;L450</f>
        <v>Кузнецов Дмитрий ЛьвовичМорозов Иван Геннадьевич</v>
      </c>
      <c r="K450" t="s">
        <v>11</v>
      </c>
      <c r="L450" t="s">
        <v>257</v>
      </c>
      <c r="M450" t="s">
        <v>292</v>
      </c>
      <c r="N450" t="str">
        <f t="shared" si="27"/>
        <v>Семенова Ирина ВалерьевнаСтепанов Кирилл Алексеевич</v>
      </c>
      <c r="O450" t="s">
        <v>16</v>
      </c>
      <c r="P450" t="s">
        <v>200</v>
      </c>
      <c r="Q450" t="s">
        <v>325</v>
      </c>
    </row>
    <row r="451" spans="4:17" x14ac:dyDescent="0.25">
      <c r="D451" t="s">
        <v>19</v>
      </c>
      <c r="E451" t="s">
        <v>88</v>
      </c>
      <c r="F451" t="str">
        <f t="shared" ref="F451:F514" si="28">VLOOKUP(D451&amp;E451,J:M,4,0)</f>
        <v>2024-06-25</v>
      </c>
      <c r="G451" t="str">
        <f t="shared" ref="G451:G514" si="29">VLOOKUP(D451&amp;E451,N:Q,4,0)</f>
        <v>2024-06-25</v>
      </c>
      <c r="H451">
        <f t="shared" ref="H451:H514" si="30">G451-F451</f>
        <v>0</v>
      </c>
      <c r="J451" t="str">
        <f>K451&amp;L451</f>
        <v>Новикова Ольга ПетровнаНиколаев Андрей Ильич</v>
      </c>
      <c r="K451" t="s">
        <v>29</v>
      </c>
      <c r="L451" t="s">
        <v>63</v>
      </c>
      <c r="M451" t="s">
        <v>292</v>
      </c>
      <c r="N451" t="str">
        <f t="shared" ref="N451:N514" si="31">O451&amp;P451</f>
        <v>Яковлев Артем ИгоревичЕгоров Сергей Андреевич</v>
      </c>
      <c r="O451" t="s">
        <v>21</v>
      </c>
      <c r="P451" t="s">
        <v>49</v>
      </c>
      <c r="Q451" t="s">
        <v>325</v>
      </c>
    </row>
    <row r="452" spans="4:17" x14ac:dyDescent="0.25">
      <c r="D452" t="s">
        <v>19</v>
      </c>
      <c r="E452" t="s">
        <v>160</v>
      </c>
      <c r="F452" t="str">
        <f t="shared" si="28"/>
        <v>2024-06-24</v>
      </c>
      <c r="G452" t="str">
        <f t="shared" si="29"/>
        <v>2024-06-24</v>
      </c>
      <c r="H452">
        <f t="shared" si="30"/>
        <v>0</v>
      </c>
      <c r="J452" t="str">
        <f>K452&amp;L452</f>
        <v>Белов Алексей КонстантиновичНиколаева Анна Дмитриевна</v>
      </c>
      <c r="K452" t="s">
        <v>5</v>
      </c>
      <c r="L452" t="s">
        <v>123</v>
      </c>
      <c r="M452" t="s">
        <v>292</v>
      </c>
      <c r="N452" t="str">
        <f t="shared" si="31"/>
        <v>Ткаченко Андрей ОлеговичСеменов Иван Артемович</v>
      </c>
      <c r="O452" t="s">
        <v>26</v>
      </c>
      <c r="P452" t="s">
        <v>295</v>
      </c>
      <c r="Q452" t="s">
        <v>325</v>
      </c>
    </row>
    <row r="453" spans="4:17" x14ac:dyDescent="0.25">
      <c r="D453" t="s">
        <v>19</v>
      </c>
      <c r="E453" t="s">
        <v>18</v>
      </c>
      <c r="F453" t="str">
        <f t="shared" si="28"/>
        <v>2023-10-18</v>
      </c>
      <c r="G453" t="str">
        <f t="shared" si="29"/>
        <v>2023-10-18</v>
      </c>
      <c r="H453">
        <f t="shared" si="30"/>
        <v>0</v>
      </c>
      <c r="J453" t="str">
        <f>K453&amp;L453</f>
        <v>Иванова Анна СергеевнаВолкова Виктория Павловна</v>
      </c>
      <c r="K453" t="s">
        <v>55</v>
      </c>
      <c r="L453" t="s">
        <v>294</v>
      </c>
      <c r="M453" t="s">
        <v>292</v>
      </c>
      <c r="N453" t="str">
        <f t="shared" si="31"/>
        <v>Яковлев Артем ИгоревичПетров Константин Егорович</v>
      </c>
      <c r="O453" t="s">
        <v>21</v>
      </c>
      <c r="P453" t="s">
        <v>102</v>
      </c>
      <c r="Q453" t="s">
        <v>324</v>
      </c>
    </row>
    <row r="454" spans="4:17" x14ac:dyDescent="0.25">
      <c r="D454" t="s">
        <v>19</v>
      </c>
      <c r="E454" t="s">
        <v>295</v>
      </c>
      <c r="F454" t="str">
        <f t="shared" si="28"/>
        <v>2024-06-17</v>
      </c>
      <c r="G454" t="str">
        <f t="shared" si="29"/>
        <v>2024-06-17</v>
      </c>
      <c r="H454">
        <f t="shared" si="30"/>
        <v>0</v>
      </c>
      <c r="J454" t="str">
        <f>K454&amp;L454</f>
        <v>Орлов Павел ДенисовичСеменов Иван Артемович</v>
      </c>
      <c r="K454" t="s">
        <v>13</v>
      </c>
      <c r="L454" t="s">
        <v>295</v>
      </c>
      <c r="M454" t="s">
        <v>296</v>
      </c>
      <c r="N454" t="str">
        <f t="shared" si="31"/>
        <v>Громова Мария ИльиничнаСмирнов Илья Андреевич</v>
      </c>
      <c r="O454" t="s">
        <v>43</v>
      </c>
      <c r="P454" t="s">
        <v>258</v>
      </c>
      <c r="Q454" t="s">
        <v>324</v>
      </c>
    </row>
    <row r="455" spans="4:17" x14ac:dyDescent="0.25">
      <c r="D455" t="s">
        <v>19</v>
      </c>
      <c r="E455" t="s">
        <v>20</v>
      </c>
      <c r="F455" t="str">
        <f t="shared" si="28"/>
        <v>2023-09-04</v>
      </c>
      <c r="G455" t="str">
        <f t="shared" si="29"/>
        <v>2023-09-04</v>
      </c>
      <c r="H455">
        <f t="shared" si="30"/>
        <v>0</v>
      </c>
      <c r="J455" t="str">
        <f>K455&amp;L455</f>
        <v>Семенова Ирина ВалерьевнаСтепанова Анна Романовна</v>
      </c>
      <c r="K455" t="s">
        <v>16</v>
      </c>
      <c r="L455" t="s">
        <v>234</v>
      </c>
      <c r="M455" t="s">
        <v>296</v>
      </c>
      <c r="N455" t="str">
        <f t="shared" si="31"/>
        <v>Фролов Сергей ВикторовичПетров Константин Егорович</v>
      </c>
      <c r="O455" t="s">
        <v>38</v>
      </c>
      <c r="P455" t="s">
        <v>102</v>
      </c>
      <c r="Q455" t="s">
        <v>324</v>
      </c>
    </row>
    <row r="456" spans="4:17" x14ac:dyDescent="0.25">
      <c r="D456" t="s">
        <v>19</v>
      </c>
      <c r="E456" t="s">
        <v>73</v>
      </c>
      <c r="F456" t="str">
        <f t="shared" si="28"/>
        <v>2024-07-12</v>
      </c>
      <c r="G456" t="str">
        <f t="shared" si="29"/>
        <v>2024-07-12</v>
      </c>
      <c r="H456">
        <f t="shared" si="30"/>
        <v>0</v>
      </c>
      <c r="J456" t="str">
        <f>K456&amp;L456</f>
        <v>Кузнецов Дмитрий ЛьвовичКузнецова Мария Сергеевна</v>
      </c>
      <c r="K456" t="s">
        <v>11</v>
      </c>
      <c r="L456" t="s">
        <v>168</v>
      </c>
      <c r="M456" t="s">
        <v>296</v>
      </c>
      <c r="N456" t="str">
        <f t="shared" si="31"/>
        <v>Орлов Павел ДенисовичНовикова Ольга Викторовна</v>
      </c>
      <c r="O456" t="s">
        <v>13</v>
      </c>
      <c r="P456" t="s">
        <v>47</v>
      </c>
      <c r="Q456" t="s">
        <v>324</v>
      </c>
    </row>
    <row r="457" spans="4:17" x14ac:dyDescent="0.25">
      <c r="D457" t="s">
        <v>19</v>
      </c>
      <c r="E457" t="s">
        <v>173</v>
      </c>
      <c r="F457" t="str">
        <f t="shared" si="28"/>
        <v>2024-09-02</v>
      </c>
      <c r="G457" t="str">
        <f t="shared" si="29"/>
        <v>2024-09-02</v>
      </c>
      <c r="H457">
        <f t="shared" si="30"/>
        <v>0</v>
      </c>
      <c r="J457" t="str">
        <f>K457&amp;L457</f>
        <v>Яковлев Артем ИгоревичФедоров Максим Андреевич</v>
      </c>
      <c r="K457" t="s">
        <v>21</v>
      </c>
      <c r="L457" t="s">
        <v>97</v>
      </c>
      <c r="M457" t="s">
        <v>296</v>
      </c>
      <c r="N457" t="str">
        <f t="shared" si="31"/>
        <v>Ткаченко Андрей ОлеговичСмирнова Елена Олеговна</v>
      </c>
      <c r="O457" t="s">
        <v>26</v>
      </c>
      <c r="P457" t="s">
        <v>22</v>
      </c>
      <c r="Q457" t="s">
        <v>323</v>
      </c>
    </row>
    <row r="458" spans="4:17" x14ac:dyDescent="0.25">
      <c r="D458" t="s">
        <v>19</v>
      </c>
      <c r="E458" t="s">
        <v>59</v>
      </c>
      <c r="F458" t="str">
        <f t="shared" si="28"/>
        <v>2024-04-29</v>
      </c>
      <c r="G458" t="str">
        <f t="shared" si="29"/>
        <v>2024-04-29</v>
      </c>
      <c r="H458">
        <f t="shared" si="30"/>
        <v>0</v>
      </c>
      <c r="J458" t="str">
        <f>K458&amp;L458</f>
        <v>Громова Мария ИльиничнаНовикова Людмила Кирилловна</v>
      </c>
      <c r="K458" t="s">
        <v>43</v>
      </c>
      <c r="L458" t="s">
        <v>6</v>
      </c>
      <c r="M458" t="s">
        <v>296</v>
      </c>
      <c r="N458" t="str">
        <f t="shared" si="31"/>
        <v>Ткаченко Андрей ОлеговичСтепанова Алиса Артемовна</v>
      </c>
      <c r="O458" t="s">
        <v>26</v>
      </c>
      <c r="P458" t="s">
        <v>237</v>
      </c>
      <c r="Q458" t="s">
        <v>323</v>
      </c>
    </row>
    <row r="459" spans="4:17" x14ac:dyDescent="0.25">
      <c r="D459" t="s">
        <v>19</v>
      </c>
      <c r="E459" t="s">
        <v>50</v>
      </c>
      <c r="F459" t="str">
        <f t="shared" si="28"/>
        <v>2023-09-11</v>
      </c>
      <c r="G459" t="str">
        <f t="shared" si="29"/>
        <v>2024-04-15</v>
      </c>
      <c r="H459">
        <f t="shared" si="30"/>
        <v>217</v>
      </c>
      <c r="J459" t="str">
        <f>K459&amp;L459</f>
        <v>Петров Владимир КирилловичФедорова Татьяна Викторовна</v>
      </c>
      <c r="K459" t="s">
        <v>19</v>
      </c>
      <c r="L459" t="s">
        <v>104</v>
      </c>
      <c r="M459" t="s">
        <v>296</v>
      </c>
      <c r="N459" t="str">
        <f t="shared" si="31"/>
        <v>Орлов Павел ДенисовичЕгоров Иван Андреевич</v>
      </c>
      <c r="O459" t="s">
        <v>13</v>
      </c>
      <c r="P459" t="s">
        <v>186</v>
      </c>
      <c r="Q459" t="s">
        <v>323</v>
      </c>
    </row>
    <row r="460" spans="4:17" x14ac:dyDescent="0.25">
      <c r="D460" t="s">
        <v>19</v>
      </c>
      <c r="E460" t="s">
        <v>45</v>
      </c>
      <c r="F460" t="str">
        <f t="shared" si="28"/>
        <v>2024-08-01</v>
      </c>
      <c r="G460" t="str">
        <f t="shared" si="29"/>
        <v>2024-08-01</v>
      </c>
      <c r="H460">
        <f t="shared" si="30"/>
        <v>0</v>
      </c>
      <c r="J460" t="str">
        <f>K460&amp;L460</f>
        <v>Яковлев Артем ИгоревичВолков Алексей Никитич</v>
      </c>
      <c r="K460" t="s">
        <v>21</v>
      </c>
      <c r="L460" t="s">
        <v>187</v>
      </c>
      <c r="M460" t="s">
        <v>297</v>
      </c>
      <c r="N460" t="str">
        <f t="shared" si="31"/>
        <v>Семенова Ирина ВалерьевнаПопова Полина Сергеевна</v>
      </c>
      <c r="O460" t="s">
        <v>16</v>
      </c>
      <c r="P460" t="s">
        <v>160</v>
      </c>
      <c r="Q460" t="s">
        <v>323</v>
      </c>
    </row>
    <row r="461" spans="4:17" x14ac:dyDescent="0.25">
      <c r="D461" t="s">
        <v>19</v>
      </c>
      <c r="E461" t="s">
        <v>250</v>
      </c>
      <c r="F461" t="str">
        <f t="shared" si="28"/>
        <v>2024-01-02</v>
      </c>
      <c r="G461" t="str">
        <f t="shared" si="29"/>
        <v>2024-05-22</v>
      </c>
      <c r="H461">
        <f t="shared" si="30"/>
        <v>141</v>
      </c>
      <c r="J461" t="str">
        <f>K461&amp;L461</f>
        <v>Новикова Ольга ПетровнаПопов Иван Егорович</v>
      </c>
      <c r="K461" t="s">
        <v>29</v>
      </c>
      <c r="L461" t="s">
        <v>82</v>
      </c>
      <c r="M461" t="s">
        <v>297</v>
      </c>
      <c r="N461" t="str">
        <f t="shared" si="31"/>
        <v>Орлов Павел ДенисовичИванова Ольга Дмитриевна</v>
      </c>
      <c r="O461" t="s">
        <v>13</v>
      </c>
      <c r="P461" t="s">
        <v>131</v>
      </c>
      <c r="Q461" t="s">
        <v>322</v>
      </c>
    </row>
    <row r="462" spans="4:17" x14ac:dyDescent="0.25">
      <c r="D462" t="s">
        <v>19</v>
      </c>
      <c r="E462" t="s">
        <v>12</v>
      </c>
      <c r="F462" t="str">
        <f t="shared" si="28"/>
        <v>2024-07-31</v>
      </c>
      <c r="G462" t="str">
        <f t="shared" si="29"/>
        <v>2024-07-31</v>
      </c>
      <c r="H462">
        <f t="shared" si="30"/>
        <v>0</v>
      </c>
      <c r="J462" t="str">
        <f>K462&amp;L462</f>
        <v>Иванова Анна СергеевнаИванов Артем Павлович</v>
      </c>
      <c r="K462" t="s">
        <v>55</v>
      </c>
      <c r="L462" t="s">
        <v>146</v>
      </c>
      <c r="M462" t="s">
        <v>297</v>
      </c>
      <c r="N462" t="str">
        <f t="shared" si="31"/>
        <v>Громова Мария ИльиничнаПетров Константин Егорович</v>
      </c>
      <c r="O462" t="s">
        <v>43</v>
      </c>
      <c r="P462" t="s">
        <v>102</v>
      </c>
      <c r="Q462" t="s">
        <v>322</v>
      </c>
    </row>
    <row r="463" spans="4:17" x14ac:dyDescent="0.25">
      <c r="D463" t="s">
        <v>19</v>
      </c>
      <c r="E463" t="s">
        <v>169</v>
      </c>
      <c r="F463" t="str">
        <f t="shared" si="28"/>
        <v>2024-07-10</v>
      </c>
      <c r="G463" t="str">
        <f t="shared" si="29"/>
        <v>2024-07-10</v>
      </c>
      <c r="H463">
        <f t="shared" si="30"/>
        <v>0</v>
      </c>
      <c r="J463" t="str">
        <f>K463&amp;L463</f>
        <v>Кузнецов Дмитрий ЛьвовичСеменова София Алексеевна</v>
      </c>
      <c r="K463" t="s">
        <v>11</v>
      </c>
      <c r="L463" t="s">
        <v>227</v>
      </c>
      <c r="M463" t="s">
        <v>298</v>
      </c>
      <c r="N463" t="str">
        <f t="shared" si="31"/>
        <v>Петров Владимир КирилловичМорозов Иван Геннадьевич</v>
      </c>
      <c r="O463" t="s">
        <v>19</v>
      </c>
      <c r="P463" t="s">
        <v>257</v>
      </c>
      <c r="Q463" t="s">
        <v>322</v>
      </c>
    </row>
    <row r="464" spans="4:17" x14ac:dyDescent="0.25">
      <c r="D464" t="s">
        <v>19</v>
      </c>
      <c r="E464" t="s">
        <v>28</v>
      </c>
      <c r="F464" t="str">
        <f t="shared" si="28"/>
        <v>2023-12-14</v>
      </c>
      <c r="G464" t="str">
        <f t="shared" si="29"/>
        <v>2024-02-02</v>
      </c>
      <c r="H464">
        <f t="shared" si="30"/>
        <v>50</v>
      </c>
      <c r="J464" t="str">
        <f>K464&amp;L464</f>
        <v>Петров Владимир КирилловичКузнецов Кирилл Александрович</v>
      </c>
      <c r="K464" t="s">
        <v>19</v>
      </c>
      <c r="L464" t="s">
        <v>92</v>
      </c>
      <c r="M464" t="s">
        <v>298</v>
      </c>
      <c r="N464" t="str">
        <f t="shared" si="31"/>
        <v>Громова Мария ИльиничнаКозлов Илья Геннадьевич</v>
      </c>
      <c r="O464" t="s">
        <v>43</v>
      </c>
      <c r="P464" t="s">
        <v>153</v>
      </c>
      <c r="Q464" t="s">
        <v>322</v>
      </c>
    </row>
    <row r="465" spans="4:17" x14ac:dyDescent="0.25">
      <c r="D465" t="s">
        <v>19</v>
      </c>
      <c r="E465" t="s">
        <v>196</v>
      </c>
      <c r="F465" t="str">
        <f t="shared" si="28"/>
        <v>2023-12-27</v>
      </c>
      <c r="G465" t="str">
        <f t="shared" si="29"/>
        <v>2023-12-27</v>
      </c>
      <c r="H465">
        <f t="shared" si="30"/>
        <v>0</v>
      </c>
      <c r="J465" t="str">
        <f>K465&amp;L465</f>
        <v>Семенова Ирина ВалерьевнаПопова Светлана Геннадьевна</v>
      </c>
      <c r="K465" t="s">
        <v>16</v>
      </c>
      <c r="L465" t="s">
        <v>18</v>
      </c>
      <c r="M465" t="s">
        <v>298</v>
      </c>
      <c r="N465" t="str">
        <f t="shared" si="31"/>
        <v>Фролов Сергей ВикторовичСеменов Никита Александрович</v>
      </c>
      <c r="O465" t="s">
        <v>38</v>
      </c>
      <c r="P465" t="s">
        <v>73</v>
      </c>
      <c r="Q465" t="s">
        <v>322</v>
      </c>
    </row>
    <row r="466" spans="4:17" x14ac:dyDescent="0.25">
      <c r="D466" t="s">
        <v>19</v>
      </c>
      <c r="E466" t="s">
        <v>46</v>
      </c>
      <c r="F466" t="str">
        <f t="shared" si="28"/>
        <v>2024-01-01</v>
      </c>
      <c r="G466" t="str">
        <f t="shared" si="29"/>
        <v>2024-01-01</v>
      </c>
      <c r="H466">
        <f t="shared" si="30"/>
        <v>0</v>
      </c>
      <c r="J466" t="str">
        <f>K466&amp;L466</f>
        <v>Семенова Ирина ВалерьевнаНиколаев Никита Викторович</v>
      </c>
      <c r="K466" t="s">
        <v>16</v>
      </c>
      <c r="L466" t="s">
        <v>253</v>
      </c>
      <c r="M466" t="s">
        <v>298</v>
      </c>
      <c r="N466" t="str">
        <f t="shared" si="31"/>
        <v>Громова Мария ИльиничнаВолков Владимир Артемович</v>
      </c>
      <c r="O466" t="s">
        <v>43</v>
      </c>
      <c r="P466" t="s">
        <v>9</v>
      </c>
      <c r="Q466" t="s">
        <v>322</v>
      </c>
    </row>
    <row r="467" spans="4:17" x14ac:dyDescent="0.25">
      <c r="D467" t="s">
        <v>19</v>
      </c>
      <c r="E467" t="s">
        <v>237</v>
      </c>
      <c r="F467" t="str">
        <f t="shared" si="28"/>
        <v>2024-04-01</v>
      </c>
      <c r="G467" t="str">
        <f t="shared" si="29"/>
        <v>2024-04-09</v>
      </c>
      <c r="H467">
        <f t="shared" si="30"/>
        <v>8</v>
      </c>
      <c r="J467" t="str">
        <f>K467&amp;L467</f>
        <v>Белов Алексей КонстантиновичСмирнов Константин Дмитриевич</v>
      </c>
      <c r="K467" t="s">
        <v>5</v>
      </c>
      <c r="L467" t="s">
        <v>156</v>
      </c>
      <c r="M467" t="s">
        <v>298</v>
      </c>
      <c r="N467" t="str">
        <f t="shared" si="31"/>
        <v>Белов Алексей КонстантиновичСмирнова Валерия Станиславовна</v>
      </c>
      <c r="O467" t="s">
        <v>5</v>
      </c>
      <c r="P467" t="s">
        <v>12</v>
      </c>
      <c r="Q467" t="s">
        <v>322</v>
      </c>
    </row>
    <row r="468" spans="4:17" x14ac:dyDescent="0.25">
      <c r="D468" t="s">
        <v>19</v>
      </c>
      <c r="E468" t="s">
        <v>234</v>
      </c>
      <c r="F468" t="str">
        <f t="shared" si="28"/>
        <v>2024-07-08</v>
      </c>
      <c r="G468" t="str">
        <f t="shared" si="29"/>
        <v>2024-07-08</v>
      </c>
      <c r="H468">
        <f t="shared" si="30"/>
        <v>0</v>
      </c>
      <c r="J468" t="str">
        <f>K468&amp;L468</f>
        <v>Громова Мария ИльиничнаИванова Полина Дмитриевна</v>
      </c>
      <c r="K468" t="s">
        <v>43</v>
      </c>
      <c r="L468" t="s">
        <v>91</v>
      </c>
      <c r="M468" t="s">
        <v>298</v>
      </c>
      <c r="N468" t="str">
        <f t="shared" si="31"/>
        <v>Кузнецов Дмитрий ЛьвовичЕгоров Иван Андреевич</v>
      </c>
      <c r="O468" t="s">
        <v>11</v>
      </c>
      <c r="P468" t="s">
        <v>186</v>
      </c>
      <c r="Q468" t="s">
        <v>322</v>
      </c>
    </row>
    <row r="469" spans="4:17" x14ac:dyDescent="0.25">
      <c r="D469" t="s">
        <v>19</v>
      </c>
      <c r="E469" t="s">
        <v>79</v>
      </c>
      <c r="F469" t="str">
        <f t="shared" si="28"/>
        <v>2024-01-15</v>
      </c>
      <c r="G469" t="str">
        <f t="shared" si="29"/>
        <v>2024-05-23</v>
      </c>
      <c r="H469">
        <f t="shared" si="30"/>
        <v>129</v>
      </c>
      <c r="J469" t="str">
        <f>K469&amp;L469</f>
        <v>Фролов Сергей ВикторовичВасильев Владимир Алексеевич</v>
      </c>
      <c r="K469" t="s">
        <v>38</v>
      </c>
      <c r="L469" t="s">
        <v>68</v>
      </c>
      <c r="M469" t="s">
        <v>298</v>
      </c>
      <c r="N469" t="str">
        <f t="shared" si="31"/>
        <v>Орлов Павел ДенисовичПопов Георгий Егорович</v>
      </c>
      <c r="O469" t="s">
        <v>13</v>
      </c>
      <c r="P469" t="s">
        <v>61</v>
      </c>
      <c r="Q469" t="s">
        <v>321</v>
      </c>
    </row>
    <row r="470" spans="4:17" x14ac:dyDescent="0.25">
      <c r="D470" t="s">
        <v>19</v>
      </c>
      <c r="E470" t="s">
        <v>433</v>
      </c>
      <c r="F470" t="str">
        <f t="shared" si="28"/>
        <v>2024-08-05</v>
      </c>
      <c r="G470" t="str">
        <f t="shared" si="29"/>
        <v>2024-08-05</v>
      </c>
      <c r="H470">
        <f t="shared" si="30"/>
        <v>0</v>
      </c>
      <c r="J470" t="str">
        <f>K470&amp;L470</f>
        <v>Семенова Ирина ВалерьевнаНиколаев Андрей Ильич</v>
      </c>
      <c r="K470" t="s">
        <v>16</v>
      </c>
      <c r="L470" t="s">
        <v>63</v>
      </c>
      <c r="M470" t="s">
        <v>298</v>
      </c>
      <c r="N470" t="str">
        <f t="shared" si="31"/>
        <v>Белов Алексей КонстантиновичСеменова София Алексеевна</v>
      </c>
      <c r="O470" t="s">
        <v>5</v>
      </c>
      <c r="P470" t="s">
        <v>227</v>
      </c>
      <c r="Q470" t="s">
        <v>321</v>
      </c>
    </row>
    <row r="471" spans="4:17" x14ac:dyDescent="0.25">
      <c r="D471" t="s">
        <v>19</v>
      </c>
      <c r="E471" t="s">
        <v>217</v>
      </c>
      <c r="F471" t="str">
        <f t="shared" si="28"/>
        <v>2023-11-27</v>
      </c>
      <c r="G471" t="str">
        <f t="shared" si="29"/>
        <v>2024-05-20</v>
      </c>
      <c r="H471">
        <f t="shared" si="30"/>
        <v>175</v>
      </c>
      <c r="J471" t="str">
        <f>K471&amp;L471</f>
        <v>Фролов Сергей ВикторовичКозлова Александра Андреевна</v>
      </c>
      <c r="K471" t="s">
        <v>38</v>
      </c>
      <c r="L471" t="s">
        <v>34</v>
      </c>
      <c r="M471" t="s">
        <v>298</v>
      </c>
      <c r="N471" t="str">
        <f t="shared" si="31"/>
        <v>Сидорова Елена ВасильевнаСидоров Егор Павлович</v>
      </c>
      <c r="O471" t="s">
        <v>8</v>
      </c>
      <c r="P471" t="s">
        <v>173</v>
      </c>
      <c r="Q471" t="s">
        <v>321</v>
      </c>
    </row>
    <row r="472" spans="4:17" x14ac:dyDescent="0.25">
      <c r="D472" t="s">
        <v>19</v>
      </c>
      <c r="E472" t="s">
        <v>97</v>
      </c>
      <c r="F472" t="str">
        <f t="shared" si="28"/>
        <v>2024-08-06</v>
      </c>
      <c r="G472" t="str">
        <f t="shared" si="29"/>
        <v>2024-08-06</v>
      </c>
      <c r="H472">
        <f t="shared" si="30"/>
        <v>0</v>
      </c>
      <c r="J472" t="str">
        <f>K472&amp;L472</f>
        <v>Белов Алексей КонстантиновичКузнецов Павел Викторович</v>
      </c>
      <c r="K472" t="s">
        <v>5</v>
      </c>
      <c r="L472" t="s">
        <v>299</v>
      </c>
      <c r="M472" t="s">
        <v>300</v>
      </c>
      <c r="N472" t="str">
        <f t="shared" si="31"/>
        <v>Ткаченко Андрей ОлеговичФедоров Владимир Артемович</v>
      </c>
      <c r="O472" t="s">
        <v>26</v>
      </c>
      <c r="P472" t="s">
        <v>217</v>
      </c>
      <c r="Q472" t="s">
        <v>320</v>
      </c>
    </row>
    <row r="473" spans="4:17" x14ac:dyDescent="0.25">
      <c r="D473" t="s">
        <v>19</v>
      </c>
      <c r="E473" t="s">
        <v>25</v>
      </c>
      <c r="F473" t="str">
        <f t="shared" si="28"/>
        <v>2023-12-01</v>
      </c>
      <c r="G473" t="str">
        <f t="shared" si="29"/>
        <v>2023-12-01</v>
      </c>
      <c r="H473">
        <f t="shared" si="30"/>
        <v>0</v>
      </c>
      <c r="J473" t="str">
        <f>K473&amp;L473</f>
        <v>Белов Алексей КонстантиновичВолкова София Александровна</v>
      </c>
      <c r="K473" t="s">
        <v>5</v>
      </c>
      <c r="L473" t="s">
        <v>112</v>
      </c>
      <c r="M473" t="s">
        <v>301</v>
      </c>
      <c r="N473" t="str">
        <f t="shared" si="31"/>
        <v>Семенова Ирина ВалерьевнаПавлов Андрей Владимирович</v>
      </c>
      <c r="O473" t="s">
        <v>16</v>
      </c>
      <c r="P473" t="s">
        <v>199</v>
      </c>
      <c r="Q473" t="s">
        <v>320</v>
      </c>
    </row>
    <row r="474" spans="4:17" x14ac:dyDescent="0.25">
      <c r="D474" t="s">
        <v>19</v>
      </c>
      <c r="E474" t="s">
        <v>104</v>
      </c>
      <c r="F474" t="str">
        <f t="shared" si="28"/>
        <v>2024-02-14</v>
      </c>
      <c r="G474" t="str">
        <f t="shared" si="29"/>
        <v>2024-06-17</v>
      </c>
      <c r="H474">
        <f t="shared" si="30"/>
        <v>124</v>
      </c>
      <c r="J474" t="str">
        <f>K474&amp;L474</f>
        <v>Громова Мария ИльиничнаПопова Светлана Геннадьевна</v>
      </c>
      <c r="K474" t="s">
        <v>43</v>
      </c>
      <c r="L474" t="s">
        <v>18</v>
      </c>
      <c r="M474" t="s">
        <v>301</v>
      </c>
      <c r="N474" t="str">
        <f t="shared" si="31"/>
        <v>Яковлев Артем ИгоревичПавлова Ксения Никитична</v>
      </c>
      <c r="O474" t="s">
        <v>21</v>
      </c>
      <c r="P474" t="s">
        <v>319</v>
      </c>
      <c r="Q474" t="s">
        <v>320</v>
      </c>
    </row>
    <row r="475" spans="4:17" x14ac:dyDescent="0.25">
      <c r="D475" t="s">
        <v>16</v>
      </c>
      <c r="E475" t="s">
        <v>193</v>
      </c>
      <c r="F475" t="str">
        <f t="shared" si="28"/>
        <v>2024-07-01</v>
      </c>
      <c r="G475" t="str">
        <f t="shared" si="29"/>
        <v>2024-07-01</v>
      </c>
      <c r="H475">
        <f t="shared" si="30"/>
        <v>0</v>
      </c>
      <c r="J475" t="str">
        <f>K475&amp;L475</f>
        <v>Иванова Анна СергеевнаПетрова Ольга Сергеевна</v>
      </c>
      <c r="K475" t="s">
        <v>55</v>
      </c>
      <c r="L475" t="s">
        <v>119</v>
      </c>
      <c r="M475" t="s">
        <v>301</v>
      </c>
      <c r="N475" t="str">
        <f t="shared" si="31"/>
        <v>Орлов Павел ДенисовичПопов Никита Андреевич</v>
      </c>
      <c r="O475" t="s">
        <v>13</v>
      </c>
      <c r="P475" t="s">
        <v>165</v>
      </c>
      <c r="Q475" t="s">
        <v>318</v>
      </c>
    </row>
    <row r="476" spans="4:17" x14ac:dyDescent="0.25">
      <c r="D476" t="s">
        <v>16</v>
      </c>
      <c r="E476" t="s">
        <v>171</v>
      </c>
      <c r="F476" t="str">
        <f t="shared" si="28"/>
        <v>2023-10-30</v>
      </c>
      <c r="G476" t="str">
        <f t="shared" si="29"/>
        <v>2023-10-30</v>
      </c>
      <c r="H476">
        <f t="shared" si="30"/>
        <v>0</v>
      </c>
      <c r="J476" t="str">
        <f>K476&amp;L476</f>
        <v>Ткаченко Андрей ОлеговичВасильева Юлия Сергеевна</v>
      </c>
      <c r="K476" t="s">
        <v>26</v>
      </c>
      <c r="L476" t="s">
        <v>51</v>
      </c>
      <c r="M476" t="s">
        <v>302</v>
      </c>
      <c r="N476" t="str">
        <f t="shared" si="31"/>
        <v>Новикова Ольга ПетровнаВолков Павел Иванович</v>
      </c>
      <c r="O476" t="s">
        <v>29</v>
      </c>
      <c r="P476" t="s">
        <v>74</v>
      </c>
      <c r="Q476" t="s">
        <v>318</v>
      </c>
    </row>
    <row r="477" spans="4:17" x14ac:dyDescent="0.25">
      <c r="D477" t="s">
        <v>16</v>
      </c>
      <c r="E477" t="s">
        <v>96</v>
      </c>
      <c r="F477" t="str">
        <f t="shared" si="28"/>
        <v>2024-02-05</v>
      </c>
      <c r="G477" t="str">
        <f t="shared" si="29"/>
        <v>2024-08-19</v>
      </c>
      <c r="H477">
        <f t="shared" si="30"/>
        <v>196</v>
      </c>
      <c r="J477" t="str">
        <f>K477&amp;L477</f>
        <v>Иванова Анна СергеевнаВолков Павел Иванович</v>
      </c>
      <c r="K477" t="s">
        <v>55</v>
      </c>
      <c r="L477" t="s">
        <v>74</v>
      </c>
      <c r="M477" t="s">
        <v>302</v>
      </c>
      <c r="N477" t="str">
        <f t="shared" si="31"/>
        <v>Белов Алексей КонстантиновичПавлова Ксения Никитична</v>
      </c>
      <c r="O477" t="s">
        <v>5</v>
      </c>
      <c r="P477" t="s">
        <v>319</v>
      </c>
      <c r="Q477" t="s">
        <v>318</v>
      </c>
    </row>
    <row r="478" spans="4:17" x14ac:dyDescent="0.25">
      <c r="D478" t="s">
        <v>16</v>
      </c>
      <c r="E478" t="s">
        <v>98</v>
      </c>
      <c r="F478" t="str">
        <f t="shared" si="28"/>
        <v>2024-08-28</v>
      </c>
      <c r="G478" t="str">
        <f t="shared" si="29"/>
        <v>2024-08-28</v>
      </c>
      <c r="H478">
        <f t="shared" si="30"/>
        <v>0</v>
      </c>
      <c r="J478" t="str">
        <f>K478&amp;L478</f>
        <v>Громова Мария ИльиничнаСмирнова Мария Сергеевна</v>
      </c>
      <c r="K478" t="s">
        <v>43</v>
      </c>
      <c r="L478" t="s">
        <v>303</v>
      </c>
      <c r="M478" t="s">
        <v>302</v>
      </c>
      <c r="N478" t="str">
        <f t="shared" si="31"/>
        <v>Яковлев Артем ИгоревичВолкова Анна Викторовна</v>
      </c>
      <c r="O478" t="s">
        <v>21</v>
      </c>
      <c r="P478" t="s">
        <v>42</v>
      </c>
      <c r="Q478" t="s">
        <v>317</v>
      </c>
    </row>
    <row r="479" spans="4:17" x14ac:dyDescent="0.25">
      <c r="D479" t="s">
        <v>16</v>
      </c>
      <c r="E479" t="s">
        <v>232</v>
      </c>
      <c r="F479" t="str">
        <f t="shared" si="28"/>
        <v>2024-07-03</v>
      </c>
      <c r="G479" t="str">
        <f t="shared" si="29"/>
        <v>2024-07-03</v>
      </c>
      <c r="H479">
        <f t="shared" si="30"/>
        <v>0</v>
      </c>
      <c r="J479" t="str">
        <f>K479&amp;L479</f>
        <v>Громова Мария ИльиничнаАлексеева Юлия Никитична</v>
      </c>
      <c r="K479" t="s">
        <v>43</v>
      </c>
      <c r="L479" t="s">
        <v>93</v>
      </c>
      <c r="M479" t="s">
        <v>304</v>
      </c>
      <c r="N479" t="str">
        <f t="shared" si="31"/>
        <v>Громова Мария ИльиничнаВолков Павел Иванович</v>
      </c>
      <c r="O479" t="s">
        <v>43</v>
      </c>
      <c r="P479" t="s">
        <v>74</v>
      </c>
      <c r="Q479" t="s">
        <v>317</v>
      </c>
    </row>
    <row r="480" spans="4:17" x14ac:dyDescent="0.25">
      <c r="D480" t="s">
        <v>16</v>
      </c>
      <c r="E480" t="s">
        <v>274</v>
      </c>
      <c r="F480" t="str">
        <f t="shared" si="28"/>
        <v>2024-04-15</v>
      </c>
      <c r="G480" t="str">
        <f t="shared" si="29"/>
        <v>2024-04-15</v>
      </c>
      <c r="H480">
        <f t="shared" si="30"/>
        <v>0</v>
      </c>
      <c r="J480" t="str">
        <f>K480&amp;L480</f>
        <v>Новикова Ольга ПетровнаСмирнова Елена Олеговна</v>
      </c>
      <c r="K480" t="s">
        <v>29</v>
      </c>
      <c r="L480" t="s">
        <v>22</v>
      </c>
      <c r="M480" t="s">
        <v>304</v>
      </c>
      <c r="N480" t="str">
        <f t="shared" si="31"/>
        <v>Кузнецов Дмитрий ЛьвовичВолков Алексей Никитич</v>
      </c>
      <c r="O480" t="s">
        <v>11</v>
      </c>
      <c r="P480" t="s">
        <v>187</v>
      </c>
      <c r="Q480" t="s">
        <v>317</v>
      </c>
    </row>
    <row r="481" spans="4:17" x14ac:dyDescent="0.25">
      <c r="D481" t="s">
        <v>16</v>
      </c>
      <c r="E481" t="s">
        <v>27</v>
      </c>
      <c r="F481" t="str">
        <f t="shared" si="28"/>
        <v>2023-09-05</v>
      </c>
      <c r="G481" t="str">
        <f t="shared" si="29"/>
        <v>2023-09-05</v>
      </c>
      <c r="H481">
        <f t="shared" si="30"/>
        <v>0</v>
      </c>
      <c r="J481" t="str">
        <f>K481&amp;L481</f>
        <v>Кузнецов Дмитрий ЛьвовичФедорова Людмила Сергеевна</v>
      </c>
      <c r="K481" t="s">
        <v>11</v>
      </c>
      <c r="L481" t="s">
        <v>305</v>
      </c>
      <c r="M481" t="s">
        <v>304</v>
      </c>
      <c r="N481" t="str">
        <f t="shared" si="31"/>
        <v>Семенова Ирина ВалерьевнаКузнецов Александр Романович</v>
      </c>
      <c r="O481" t="s">
        <v>16</v>
      </c>
      <c r="P481" t="s">
        <v>78</v>
      </c>
      <c r="Q481" t="s">
        <v>317</v>
      </c>
    </row>
    <row r="482" spans="4:17" x14ac:dyDescent="0.25">
      <c r="D482" t="s">
        <v>16</v>
      </c>
      <c r="E482" t="s">
        <v>187</v>
      </c>
      <c r="F482" t="str">
        <f t="shared" si="28"/>
        <v>2023-11-06</v>
      </c>
      <c r="G482" t="str">
        <f t="shared" si="29"/>
        <v>2024-01-29</v>
      </c>
      <c r="H482">
        <f t="shared" si="30"/>
        <v>84</v>
      </c>
      <c r="J482" t="str">
        <f>K482&amp;L482</f>
        <v>Орлов Павел ДенисовичКузнецов Кирилл Александрович</v>
      </c>
      <c r="K482" t="s">
        <v>13</v>
      </c>
      <c r="L482" t="s">
        <v>92</v>
      </c>
      <c r="M482" t="s">
        <v>304</v>
      </c>
      <c r="N482" t="str">
        <f t="shared" si="31"/>
        <v>Яковлев Артем ИгоревичСидорова Ирина Кирилловна</v>
      </c>
      <c r="O482" t="s">
        <v>21</v>
      </c>
      <c r="P482" t="s">
        <v>50</v>
      </c>
      <c r="Q482" t="s">
        <v>316</v>
      </c>
    </row>
    <row r="483" spans="4:17" x14ac:dyDescent="0.25">
      <c r="D483" t="s">
        <v>16</v>
      </c>
      <c r="E483" t="s">
        <v>74</v>
      </c>
      <c r="F483" t="str">
        <f t="shared" si="28"/>
        <v>2023-09-18</v>
      </c>
      <c r="G483" t="str">
        <f t="shared" si="29"/>
        <v>2023-09-18</v>
      </c>
      <c r="H483">
        <f t="shared" si="30"/>
        <v>0</v>
      </c>
      <c r="J483" t="str">
        <f>K483&amp;L483</f>
        <v>Яковлев Артем ИгоревичЕгорова Юлия Никитична</v>
      </c>
      <c r="K483" t="s">
        <v>21</v>
      </c>
      <c r="L483" t="s">
        <v>264</v>
      </c>
      <c r="M483" t="s">
        <v>306</v>
      </c>
      <c r="N483" t="str">
        <f t="shared" si="31"/>
        <v>Яковлев Артем ИгоревичЛебедев Матвей Павлович</v>
      </c>
      <c r="O483" t="s">
        <v>21</v>
      </c>
      <c r="P483" t="s">
        <v>115</v>
      </c>
      <c r="Q483" t="s">
        <v>316</v>
      </c>
    </row>
    <row r="484" spans="4:17" x14ac:dyDescent="0.25">
      <c r="D484" t="s">
        <v>16</v>
      </c>
      <c r="E484" t="s">
        <v>42</v>
      </c>
      <c r="F484" t="str">
        <f t="shared" si="28"/>
        <v>2023-09-08</v>
      </c>
      <c r="G484" t="str">
        <f t="shared" si="29"/>
        <v>2024-07-16</v>
      </c>
      <c r="H484">
        <f t="shared" si="30"/>
        <v>312</v>
      </c>
      <c r="J484" t="str">
        <f>K484&amp;L484</f>
        <v>Иванова Анна СергеевнаПетрова Ольга Геннадьевна</v>
      </c>
      <c r="K484" t="s">
        <v>55</v>
      </c>
      <c r="L484" t="s">
        <v>184</v>
      </c>
      <c r="M484" t="s">
        <v>306</v>
      </c>
      <c r="N484" t="str">
        <f t="shared" si="31"/>
        <v>Белов Алексей КонстантиновичАлексеев Михаил Алексеевич</v>
      </c>
      <c r="O484" t="s">
        <v>5</v>
      </c>
      <c r="P484" t="s">
        <v>85</v>
      </c>
      <c r="Q484" t="s">
        <v>316</v>
      </c>
    </row>
    <row r="485" spans="4:17" x14ac:dyDescent="0.25">
      <c r="D485" t="s">
        <v>16</v>
      </c>
      <c r="E485" t="s">
        <v>139</v>
      </c>
      <c r="F485" t="str">
        <f t="shared" si="28"/>
        <v>2024-01-19</v>
      </c>
      <c r="G485" t="str">
        <f t="shared" si="29"/>
        <v>2024-01-19</v>
      </c>
      <c r="H485">
        <f t="shared" si="30"/>
        <v>0</v>
      </c>
      <c r="J485" t="str">
        <f>K485&amp;L485</f>
        <v>Орлов Павел ДенисовичПопов Сергей Артемович</v>
      </c>
      <c r="K485" t="s">
        <v>13</v>
      </c>
      <c r="L485" t="s">
        <v>174</v>
      </c>
      <c r="M485" t="s">
        <v>306</v>
      </c>
      <c r="N485" t="str">
        <f t="shared" si="31"/>
        <v>Белов Алексей КонстантиновичВасильева Юлия Сергеевна</v>
      </c>
      <c r="O485" t="s">
        <v>5</v>
      </c>
      <c r="P485" t="s">
        <v>51</v>
      </c>
      <c r="Q485" t="s">
        <v>316</v>
      </c>
    </row>
    <row r="486" spans="4:17" x14ac:dyDescent="0.25">
      <c r="D486" t="s">
        <v>16</v>
      </c>
      <c r="E486" t="s">
        <v>112</v>
      </c>
      <c r="F486" t="str">
        <f t="shared" si="28"/>
        <v>2023-11-27</v>
      </c>
      <c r="G486" t="str">
        <f t="shared" si="29"/>
        <v>2023-11-27</v>
      </c>
      <c r="H486">
        <f t="shared" si="30"/>
        <v>0</v>
      </c>
      <c r="J486" t="str">
        <f>K486&amp;L486</f>
        <v>Орлов Павел ДенисовичЕгоров Сергей Андреевич</v>
      </c>
      <c r="K486" t="s">
        <v>13</v>
      </c>
      <c r="L486" t="s">
        <v>49</v>
      </c>
      <c r="M486" t="s">
        <v>306</v>
      </c>
      <c r="N486" t="str">
        <f t="shared" si="31"/>
        <v>Яковлев Артем ИгоревичОрлов Владимир Никитич</v>
      </c>
      <c r="O486" t="s">
        <v>21</v>
      </c>
      <c r="P486" t="s">
        <v>32</v>
      </c>
      <c r="Q486" t="s">
        <v>316</v>
      </c>
    </row>
    <row r="487" spans="4:17" x14ac:dyDescent="0.25">
      <c r="D487" t="s">
        <v>16</v>
      </c>
      <c r="E487" t="s">
        <v>107</v>
      </c>
      <c r="F487" t="str">
        <f t="shared" si="28"/>
        <v>2023-09-28</v>
      </c>
      <c r="G487" t="str">
        <f t="shared" si="29"/>
        <v>2023-09-28</v>
      </c>
      <c r="H487">
        <f t="shared" si="30"/>
        <v>0</v>
      </c>
      <c r="J487" t="str">
        <f>K487&amp;L487</f>
        <v>Белов Алексей КонстантиновичАлексеева Ольга Дмитриевна</v>
      </c>
      <c r="K487" t="s">
        <v>5</v>
      </c>
      <c r="L487" t="s">
        <v>289</v>
      </c>
      <c r="M487" t="s">
        <v>306</v>
      </c>
      <c r="N487" t="str">
        <f t="shared" si="31"/>
        <v>Ткаченко Андрей ОлеговичКузнецов Кирилл Александрович</v>
      </c>
      <c r="O487" t="s">
        <v>26</v>
      </c>
      <c r="P487" t="s">
        <v>92</v>
      </c>
      <c r="Q487" t="s">
        <v>316</v>
      </c>
    </row>
    <row r="488" spans="4:17" x14ac:dyDescent="0.25">
      <c r="D488" t="s">
        <v>16</v>
      </c>
      <c r="E488" t="s">
        <v>221</v>
      </c>
      <c r="F488" t="str">
        <f t="shared" si="28"/>
        <v>2024-04-02</v>
      </c>
      <c r="G488" t="str">
        <f t="shared" si="29"/>
        <v>2024-04-02</v>
      </c>
      <c r="H488">
        <f t="shared" si="30"/>
        <v>0</v>
      </c>
      <c r="J488" t="str">
        <f>K488&amp;L488</f>
        <v>Кузнецов Дмитрий ЛьвовичСеменова Александра Егоровна</v>
      </c>
      <c r="K488" t="s">
        <v>11</v>
      </c>
      <c r="L488" t="s">
        <v>94</v>
      </c>
      <c r="M488" t="s">
        <v>307</v>
      </c>
      <c r="N488" t="str">
        <f t="shared" si="31"/>
        <v>Громова Мария ИльиничнаНиколаева Анна Дмитриевна</v>
      </c>
      <c r="O488" t="s">
        <v>43</v>
      </c>
      <c r="P488" t="s">
        <v>123</v>
      </c>
      <c r="Q488" t="s">
        <v>316</v>
      </c>
    </row>
    <row r="489" spans="4:17" x14ac:dyDescent="0.25">
      <c r="D489" t="s">
        <v>16</v>
      </c>
      <c r="E489" t="s">
        <v>149</v>
      </c>
      <c r="F489" t="str">
        <f t="shared" si="28"/>
        <v>2024-06-19</v>
      </c>
      <c r="G489" t="str">
        <f t="shared" si="29"/>
        <v>2024-06-19</v>
      </c>
      <c r="H489">
        <f t="shared" si="30"/>
        <v>0</v>
      </c>
      <c r="J489" t="str">
        <f>K489&amp;L489</f>
        <v>Белов Алексей КонстантиновичВасильева Виктория Артемовна</v>
      </c>
      <c r="K489" t="s">
        <v>5</v>
      </c>
      <c r="L489" t="s">
        <v>274</v>
      </c>
      <c r="M489" t="s">
        <v>307</v>
      </c>
      <c r="N489" t="str">
        <f t="shared" si="31"/>
        <v>Ткаченко Андрей ОлеговичПопов Георгий Ильич</v>
      </c>
      <c r="O489" t="s">
        <v>26</v>
      </c>
      <c r="P489" t="s">
        <v>148</v>
      </c>
      <c r="Q489" t="s">
        <v>315</v>
      </c>
    </row>
    <row r="490" spans="4:17" x14ac:dyDescent="0.25">
      <c r="D490" t="s">
        <v>16</v>
      </c>
      <c r="E490" t="s">
        <v>17</v>
      </c>
      <c r="F490" t="str">
        <f t="shared" si="28"/>
        <v>2023-09-04</v>
      </c>
      <c r="G490" t="str">
        <f t="shared" si="29"/>
        <v>2023-09-04</v>
      </c>
      <c r="H490">
        <f t="shared" si="30"/>
        <v>0</v>
      </c>
      <c r="J490" t="str">
        <f>K490&amp;L490</f>
        <v>Фролов Сергей ВикторовичОрлов Андрей Никитич</v>
      </c>
      <c r="K490" t="s">
        <v>38</v>
      </c>
      <c r="L490" t="s">
        <v>111</v>
      </c>
      <c r="M490" t="s">
        <v>308</v>
      </c>
      <c r="N490" t="str">
        <f t="shared" si="31"/>
        <v>Новикова Ольга ПетровнаНовикова Екатерина Павловна</v>
      </c>
      <c r="O490" t="s">
        <v>29</v>
      </c>
      <c r="P490" t="s">
        <v>76</v>
      </c>
      <c r="Q490" t="s">
        <v>314</v>
      </c>
    </row>
    <row r="491" spans="4:17" x14ac:dyDescent="0.25">
      <c r="D491" t="s">
        <v>16</v>
      </c>
      <c r="E491" t="s">
        <v>131</v>
      </c>
      <c r="F491" t="str">
        <f t="shared" si="28"/>
        <v>2024-01-22</v>
      </c>
      <c r="G491" t="str">
        <f t="shared" si="29"/>
        <v>2024-01-22</v>
      </c>
      <c r="H491">
        <f t="shared" si="30"/>
        <v>0</v>
      </c>
      <c r="J491" t="str">
        <f>K491&amp;L491</f>
        <v>Кузнецов Дмитрий ЛьвовичФедоров Владимир Артемович</v>
      </c>
      <c r="K491" t="s">
        <v>11</v>
      </c>
      <c r="L491" t="s">
        <v>217</v>
      </c>
      <c r="M491" t="s">
        <v>308</v>
      </c>
      <c r="N491" t="str">
        <f t="shared" si="31"/>
        <v>Иванова Анна СергеевнаПетров Константин Егорович</v>
      </c>
      <c r="O491" t="s">
        <v>55</v>
      </c>
      <c r="P491" t="s">
        <v>102</v>
      </c>
      <c r="Q491" t="s">
        <v>314</v>
      </c>
    </row>
    <row r="492" spans="4:17" x14ac:dyDescent="0.25">
      <c r="D492" t="s">
        <v>16</v>
      </c>
      <c r="E492" t="s">
        <v>153</v>
      </c>
      <c r="F492" t="str">
        <f t="shared" si="28"/>
        <v>2023-11-20</v>
      </c>
      <c r="G492" t="str">
        <f t="shared" si="29"/>
        <v>2023-11-20</v>
      </c>
      <c r="H492">
        <f t="shared" si="30"/>
        <v>0</v>
      </c>
      <c r="J492" t="str">
        <f>K492&amp;L492</f>
        <v>Фролов Сергей ВикторовичВасильев Андрей Дмитриевич</v>
      </c>
      <c r="K492" t="s">
        <v>38</v>
      </c>
      <c r="L492" t="s">
        <v>172</v>
      </c>
      <c r="M492" t="s">
        <v>308</v>
      </c>
      <c r="N492" t="str">
        <f t="shared" si="31"/>
        <v>Новикова Ольга ПетровнаКузнецов Павел Викторович</v>
      </c>
      <c r="O492" t="s">
        <v>29</v>
      </c>
      <c r="P492" t="s">
        <v>299</v>
      </c>
      <c r="Q492" t="s">
        <v>314</v>
      </c>
    </row>
    <row r="493" spans="4:17" x14ac:dyDescent="0.25">
      <c r="D493" t="s">
        <v>16</v>
      </c>
      <c r="E493" t="s">
        <v>326</v>
      </c>
      <c r="F493" t="str">
        <f t="shared" si="28"/>
        <v>2024-08-19</v>
      </c>
      <c r="G493" t="str">
        <f t="shared" si="29"/>
        <v>2024-08-19</v>
      </c>
      <c r="H493">
        <f t="shared" si="30"/>
        <v>0</v>
      </c>
      <c r="J493" t="str">
        <f>K493&amp;L493</f>
        <v>Семенова Ирина ВалерьевнаСеменов Никита Александрович</v>
      </c>
      <c r="K493" t="s">
        <v>16</v>
      </c>
      <c r="L493" t="s">
        <v>73</v>
      </c>
      <c r="M493" t="s">
        <v>308</v>
      </c>
      <c r="N493" t="str">
        <f t="shared" si="31"/>
        <v>Фролов Сергей ВикторовичМорозов Илья Станиславович</v>
      </c>
      <c r="O493" t="s">
        <v>38</v>
      </c>
      <c r="P493" t="s">
        <v>114</v>
      </c>
      <c r="Q493" t="s">
        <v>314</v>
      </c>
    </row>
    <row r="494" spans="4:17" x14ac:dyDescent="0.25">
      <c r="D494" t="s">
        <v>16</v>
      </c>
      <c r="E494" t="s">
        <v>78</v>
      </c>
      <c r="F494" t="str">
        <f t="shared" si="28"/>
        <v>2024-03-12</v>
      </c>
      <c r="G494" t="str">
        <f t="shared" si="29"/>
        <v>2024-03-12</v>
      </c>
      <c r="H494">
        <f t="shared" si="30"/>
        <v>0</v>
      </c>
      <c r="J494" t="str">
        <f>K494&amp;L494</f>
        <v>Орлов Павел ДенисовичПетров Никита Павлович</v>
      </c>
      <c r="K494" t="s">
        <v>13</v>
      </c>
      <c r="L494" t="s">
        <v>75</v>
      </c>
      <c r="M494" t="s">
        <v>309</v>
      </c>
      <c r="N494" t="str">
        <f t="shared" si="31"/>
        <v>Кузнецов Дмитрий ЛьвовичСидорова Екатерина Станиславовна</v>
      </c>
      <c r="O494" t="s">
        <v>11</v>
      </c>
      <c r="P494" t="s">
        <v>194</v>
      </c>
      <c r="Q494" t="s">
        <v>313</v>
      </c>
    </row>
    <row r="495" spans="4:17" x14ac:dyDescent="0.25">
      <c r="D495" t="s">
        <v>16</v>
      </c>
      <c r="E495" t="s">
        <v>30</v>
      </c>
      <c r="F495" t="str">
        <f t="shared" si="28"/>
        <v>2024-06-10</v>
      </c>
      <c r="G495" t="str">
        <f t="shared" si="29"/>
        <v>2024-06-10</v>
      </c>
      <c r="H495">
        <f t="shared" si="30"/>
        <v>0</v>
      </c>
      <c r="J495" t="str">
        <f>K495&amp;L495</f>
        <v>Белов Алексей КонстантиновичСидоров Кирилл Михайлович</v>
      </c>
      <c r="K495" t="s">
        <v>5</v>
      </c>
      <c r="L495" t="s">
        <v>59</v>
      </c>
      <c r="M495" t="s">
        <v>310</v>
      </c>
      <c r="N495" t="str">
        <f t="shared" si="31"/>
        <v>Белов Алексей КонстантиновичЛебедева Валерия Геннадьевна</v>
      </c>
      <c r="O495" t="s">
        <v>5</v>
      </c>
      <c r="P495" t="s">
        <v>177</v>
      </c>
      <c r="Q495" t="s">
        <v>313</v>
      </c>
    </row>
    <row r="496" spans="4:17" x14ac:dyDescent="0.25">
      <c r="D496" t="s">
        <v>16</v>
      </c>
      <c r="E496" t="s">
        <v>92</v>
      </c>
      <c r="F496" t="str">
        <f t="shared" si="28"/>
        <v>2023-09-22</v>
      </c>
      <c r="G496" t="str">
        <f t="shared" si="29"/>
        <v>2023-09-22</v>
      </c>
      <c r="H496">
        <f t="shared" si="30"/>
        <v>0</v>
      </c>
      <c r="J496" t="str">
        <f>K496&amp;L496</f>
        <v>Белов Алексей КонстантиновичАлексеев Егор Юрьевич</v>
      </c>
      <c r="K496" t="s">
        <v>5</v>
      </c>
      <c r="L496" t="s">
        <v>193</v>
      </c>
      <c r="M496" t="s">
        <v>310</v>
      </c>
      <c r="N496" t="str">
        <f t="shared" si="31"/>
        <v>Петров Владимир КирилловичИванова София Михайловна</v>
      </c>
      <c r="O496" t="s">
        <v>19</v>
      </c>
      <c r="P496" t="s">
        <v>161</v>
      </c>
      <c r="Q496" t="s">
        <v>312</v>
      </c>
    </row>
    <row r="497" spans="4:17" x14ac:dyDescent="0.25">
      <c r="D497" t="s">
        <v>16</v>
      </c>
      <c r="E497" t="s">
        <v>299</v>
      </c>
      <c r="F497" t="str">
        <f t="shared" si="28"/>
        <v>2024-07-30</v>
      </c>
      <c r="G497" t="str">
        <f t="shared" si="29"/>
        <v>2024-07-30</v>
      </c>
      <c r="H497">
        <f t="shared" si="30"/>
        <v>0</v>
      </c>
      <c r="J497" t="str">
        <f>K497&amp;L497</f>
        <v>Громова Мария ИльиничнаСмирнова Валерия Станиславовна</v>
      </c>
      <c r="K497" t="s">
        <v>43</v>
      </c>
      <c r="L497" t="s">
        <v>12</v>
      </c>
      <c r="M497" t="s">
        <v>310</v>
      </c>
      <c r="N497" t="str">
        <f t="shared" si="31"/>
        <v>Белов Алексей КонстантиновичКозлова Александра Андреевна</v>
      </c>
      <c r="O497" t="s">
        <v>5</v>
      </c>
      <c r="P497" t="s">
        <v>34</v>
      </c>
      <c r="Q497" t="s">
        <v>312</v>
      </c>
    </row>
    <row r="498" spans="4:17" x14ac:dyDescent="0.25">
      <c r="D498" t="s">
        <v>16</v>
      </c>
      <c r="E498" t="s">
        <v>239</v>
      </c>
      <c r="F498" t="str">
        <f t="shared" si="28"/>
        <v>2024-05-20</v>
      </c>
      <c r="G498" t="str">
        <f t="shared" si="29"/>
        <v>2024-05-20</v>
      </c>
      <c r="H498">
        <f t="shared" si="30"/>
        <v>0</v>
      </c>
      <c r="J498" t="str">
        <f>K498&amp;L498</f>
        <v>Яковлев Артем ИгоревичВасильева Дарья Андреевна</v>
      </c>
      <c r="K498" t="s">
        <v>21</v>
      </c>
      <c r="L498" t="s">
        <v>57</v>
      </c>
      <c r="M498" t="s">
        <v>310</v>
      </c>
      <c r="N498" t="str">
        <f t="shared" si="31"/>
        <v>Ткаченко Андрей ОлеговичВолков Павел Иванович</v>
      </c>
      <c r="O498" t="s">
        <v>26</v>
      </c>
      <c r="P498" t="s">
        <v>74</v>
      </c>
      <c r="Q498" t="s">
        <v>312</v>
      </c>
    </row>
    <row r="499" spans="4:17" x14ac:dyDescent="0.25">
      <c r="D499" t="s">
        <v>16</v>
      </c>
      <c r="E499" t="s">
        <v>177</v>
      </c>
      <c r="F499" t="str">
        <f t="shared" si="28"/>
        <v>2023-10-31</v>
      </c>
      <c r="G499" t="str">
        <f t="shared" si="29"/>
        <v>2023-10-31</v>
      </c>
      <c r="H499">
        <f t="shared" si="30"/>
        <v>0</v>
      </c>
      <c r="J499" t="str">
        <f>K499&amp;L499</f>
        <v>Громова Мария ИльиничнаЕгорова Юлия Никитична</v>
      </c>
      <c r="K499" t="s">
        <v>43</v>
      </c>
      <c r="L499" t="s">
        <v>264</v>
      </c>
      <c r="M499" t="s">
        <v>310</v>
      </c>
      <c r="N499" t="str">
        <f t="shared" si="31"/>
        <v>Белов Алексей КонстантиновичСидоров Кирилл Михайлович</v>
      </c>
      <c r="O499" t="s">
        <v>5</v>
      </c>
      <c r="P499" t="s">
        <v>59</v>
      </c>
      <c r="Q499" t="s">
        <v>310</v>
      </c>
    </row>
    <row r="500" spans="4:17" x14ac:dyDescent="0.25">
      <c r="D500" t="s">
        <v>16</v>
      </c>
      <c r="E500" t="s">
        <v>257</v>
      </c>
      <c r="F500" t="str">
        <f t="shared" si="28"/>
        <v>2024-02-06</v>
      </c>
      <c r="G500" t="str">
        <f t="shared" si="29"/>
        <v>2024-07-01</v>
      </c>
      <c r="H500">
        <f t="shared" si="30"/>
        <v>146</v>
      </c>
      <c r="J500" t="str">
        <f>K500&amp;L500</f>
        <v>Орлов Павел ДенисовичСидорова Ирина Кирилловна</v>
      </c>
      <c r="K500" t="s">
        <v>13</v>
      </c>
      <c r="L500" t="s">
        <v>50</v>
      </c>
      <c r="M500" t="s">
        <v>310</v>
      </c>
      <c r="N500" t="str">
        <f t="shared" si="31"/>
        <v>Белов Алексей КонстантиновичАлексеев Егор Юрьевич</v>
      </c>
      <c r="O500" t="s">
        <v>5</v>
      </c>
      <c r="P500" t="s">
        <v>193</v>
      </c>
      <c r="Q500" t="s">
        <v>310</v>
      </c>
    </row>
    <row r="501" spans="4:17" x14ac:dyDescent="0.25">
      <c r="D501" t="s">
        <v>16</v>
      </c>
      <c r="E501" t="s">
        <v>114</v>
      </c>
      <c r="F501" t="str">
        <f t="shared" si="28"/>
        <v>2024-05-20</v>
      </c>
      <c r="G501" t="str">
        <f t="shared" si="29"/>
        <v>2024-05-20</v>
      </c>
      <c r="H501">
        <f t="shared" si="30"/>
        <v>0</v>
      </c>
      <c r="J501" t="str">
        <f>K501&amp;L501</f>
        <v>Кузнецов Дмитрий ЛьвовичСеменов Матвей Михайлович</v>
      </c>
      <c r="K501" t="s">
        <v>11</v>
      </c>
      <c r="L501" t="s">
        <v>311</v>
      </c>
      <c r="M501" t="s">
        <v>310</v>
      </c>
      <c r="N501" t="str">
        <f t="shared" si="31"/>
        <v>Громова Мария ИльиничнаСмирнова Валерия Станиславовна</v>
      </c>
      <c r="O501" t="s">
        <v>43</v>
      </c>
      <c r="P501" t="s">
        <v>12</v>
      </c>
      <c r="Q501" t="s">
        <v>310</v>
      </c>
    </row>
    <row r="502" spans="4:17" x14ac:dyDescent="0.25">
      <c r="D502" t="s">
        <v>16</v>
      </c>
      <c r="E502" t="s">
        <v>89</v>
      </c>
      <c r="F502" t="str">
        <f t="shared" si="28"/>
        <v>2023-09-22</v>
      </c>
      <c r="G502" t="str">
        <f t="shared" si="29"/>
        <v>2023-12-19</v>
      </c>
      <c r="H502">
        <f t="shared" si="30"/>
        <v>88</v>
      </c>
      <c r="J502" t="str">
        <f>K502&amp;L502</f>
        <v>Громова Мария ИльиничнаСеменова Александра Егоровна</v>
      </c>
      <c r="K502" t="s">
        <v>43</v>
      </c>
      <c r="L502" t="s">
        <v>94</v>
      </c>
      <c r="M502" t="s">
        <v>310</v>
      </c>
      <c r="N502" t="str">
        <f t="shared" si="31"/>
        <v>Яковлев Артем ИгоревичВасильева Дарья Андреевна</v>
      </c>
      <c r="O502" t="s">
        <v>21</v>
      </c>
      <c r="P502" t="s">
        <v>57</v>
      </c>
      <c r="Q502" t="s">
        <v>310</v>
      </c>
    </row>
    <row r="503" spans="4:17" x14ac:dyDescent="0.25">
      <c r="D503" t="s">
        <v>16</v>
      </c>
      <c r="E503" t="s">
        <v>63</v>
      </c>
      <c r="F503" t="str">
        <f t="shared" si="28"/>
        <v>2023-09-13</v>
      </c>
      <c r="G503" t="str">
        <f t="shared" si="29"/>
        <v>2024-02-19</v>
      </c>
      <c r="H503">
        <f t="shared" si="30"/>
        <v>159</v>
      </c>
      <c r="J503" t="str">
        <f>K503&amp;L503</f>
        <v>Яковлев Артем ИгоревичСеменов Михаил Сергеевич</v>
      </c>
      <c r="K503" t="s">
        <v>21</v>
      </c>
      <c r="L503" t="s">
        <v>20</v>
      </c>
      <c r="M503" t="s">
        <v>310</v>
      </c>
      <c r="N503" t="str">
        <f t="shared" si="31"/>
        <v>Громова Мария ИльиничнаЕгорова Юлия Никитична</v>
      </c>
      <c r="O503" t="s">
        <v>43</v>
      </c>
      <c r="P503" t="s">
        <v>264</v>
      </c>
      <c r="Q503" t="s">
        <v>310</v>
      </c>
    </row>
    <row r="504" spans="4:17" x14ac:dyDescent="0.25">
      <c r="D504" t="s">
        <v>16</v>
      </c>
      <c r="E504" t="s">
        <v>253</v>
      </c>
      <c r="F504" t="str">
        <f t="shared" si="28"/>
        <v>2024-02-19</v>
      </c>
      <c r="G504" t="str">
        <f t="shared" si="29"/>
        <v>2024-02-19</v>
      </c>
      <c r="H504">
        <f t="shared" si="30"/>
        <v>0</v>
      </c>
      <c r="J504" t="str">
        <f>K504&amp;L504</f>
        <v>Кузнецов Дмитрий ЛьвовичКозлов Илья Геннадьевич</v>
      </c>
      <c r="K504" t="s">
        <v>11</v>
      </c>
      <c r="L504" t="s">
        <v>153</v>
      </c>
      <c r="M504" t="s">
        <v>310</v>
      </c>
      <c r="N504" t="str">
        <f t="shared" si="31"/>
        <v>Орлов Павел ДенисовичСидорова Ирина Кирилловна</v>
      </c>
      <c r="O504" t="s">
        <v>13</v>
      </c>
      <c r="P504" t="s">
        <v>50</v>
      </c>
      <c r="Q504" t="s">
        <v>310</v>
      </c>
    </row>
    <row r="505" spans="4:17" x14ac:dyDescent="0.25">
      <c r="D505" t="s">
        <v>16</v>
      </c>
      <c r="E505" t="s">
        <v>67</v>
      </c>
      <c r="F505" t="str">
        <f t="shared" si="28"/>
        <v>2024-04-01</v>
      </c>
      <c r="G505" t="str">
        <f t="shared" si="29"/>
        <v>2024-04-01</v>
      </c>
      <c r="H505">
        <f t="shared" si="30"/>
        <v>0</v>
      </c>
      <c r="J505" t="str">
        <f>K505&amp;L505</f>
        <v>Петров Владимир КирилловичИванова София Михайловна</v>
      </c>
      <c r="K505" t="s">
        <v>19</v>
      </c>
      <c r="L505" t="s">
        <v>161</v>
      </c>
      <c r="M505" t="s">
        <v>312</v>
      </c>
      <c r="N505" t="str">
        <f t="shared" si="31"/>
        <v>Кузнецов Дмитрий ЛьвовичСеменов Матвей Михайлович</v>
      </c>
      <c r="O505" t="s">
        <v>11</v>
      </c>
      <c r="P505" t="s">
        <v>311</v>
      </c>
      <c r="Q505" t="s">
        <v>310</v>
      </c>
    </row>
    <row r="506" spans="4:17" x14ac:dyDescent="0.25">
      <c r="D506" t="s">
        <v>16</v>
      </c>
      <c r="E506" t="s">
        <v>123</v>
      </c>
      <c r="F506" t="str">
        <f t="shared" si="28"/>
        <v>2024-08-12</v>
      </c>
      <c r="G506" t="str">
        <f t="shared" si="29"/>
        <v>2024-08-12</v>
      </c>
      <c r="H506">
        <f t="shared" si="30"/>
        <v>0</v>
      </c>
      <c r="J506" t="str">
        <f>K506&amp;L506</f>
        <v>Белов Алексей КонстантиновичКозлова Александра Андреевна</v>
      </c>
      <c r="K506" t="s">
        <v>5</v>
      </c>
      <c r="L506" t="s">
        <v>34</v>
      </c>
      <c r="M506" t="s">
        <v>312</v>
      </c>
      <c r="N506" t="str">
        <f t="shared" si="31"/>
        <v>Громова Мария ИльиничнаСеменова Александра Егоровна</v>
      </c>
      <c r="O506" t="s">
        <v>43</v>
      </c>
      <c r="P506" t="s">
        <v>94</v>
      </c>
      <c r="Q506" t="s">
        <v>310</v>
      </c>
    </row>
    <row r="507" spans="4:17" x14ac:dyDescent="0.25">
      <c r="D507" t="s">
        <v>16</v>
      </c>
      <c r="E507" t="s">
        <v>129</v>
      </c>
      <c r="F507" t="str">
        <f t="shared" si="28"/>
        <v>2024-01-15</v>
      </c>
      <c r="G507" t="str">
        <f t="shared" si="29"/>
        <v>2024-01-15</v>
      </c>
      <c r="H507">
        <f t="shared" si="30"/>
        <v>0</v>
      </c>
      <c r="J507" t="str">
        <f>K507&amp;L507</f>
        <v>Ткаченко Андрей ОлеговичВолков Павел Иванович</v>
      </c>
      <c r="K507" t="s">
        <v>26</v>
      </c>
      <c r="L507" t="s">
        <v>74</v>
      </c>
      <c r="M507" t="s">
        <v>312</v>
      </c>
      <c r="N507" t="str">
        <f t="shared" si="31"/>
        <v>Яковлев Артем ИгоревичСеменов Михаил Сергеевич</v>
      </c>
      <c r="O507" t="s">
        <v>21</v>
      </c>
      <c r="P507" t="s">
        <v>20</v>
      </c>
      <c r="Q507" t="s">
        <v>310</v>
      </c>
    </row>
    <row r="508" spans="4:17" x14ac:dyDescent="0.25">
      <c r="D508" t="s">
        <v>16</v>
      </c>
      <c r="E508" t="s">
        <v>6</v>
      </c>
      <c r="F508" t="str">
        <f t="shared" si="28"/>
        <v>2024-08-22</v>
      </c>
      <c r="G508" t="str">
        <f t="shared" si="29"/>
        <v>2024-08-22</v>
      </c>
      <c r="H508">
        <f t="shared" si="30"/>
        <v>0</v>
      </c>
      <c r="J508" t="str">
        <f>K508&amp;L508</f>
        <v>Кузнецов Дмитрий ЛьвовичСидорова Екатерина Станиславовна</v>
      </c>
      <c r="K508" t="s">
        <v>11</v>
      </c>
      <c r="L508" t="s">
        <v>194</v>
      </c>
      <c r="M508" t="s">
        <v>313</v>
      </c>
      <c r="N508" t="str">
        <f t="shared" si="31"/>
        <v>Кузнецов Дмитрий ЛьвовичКозлов Илья Геннадьевич</v>
      </c>
      <c r="O508" t="s">
        <v>11</v>
      </c>
      <c r="P508" t="s">
        <v>153</v>
      </c>
      <c r="Q508" t="s">
        <v>310</v>
      </c>
    </row>
    <row r="509" spans="4:17" x14ac:dyDescent="0.25">
      <c r="D509" t="s">
        <v>16</v>
      </c>
      <c r="E509" t="s">
        <v>33</v>
      </c>
      <c r="F509" t="str">
        <f t="shared" si="28"/>
        <v>2023-11-27</v>
      </c>
      <c r="G509" t="str">
        <f t="shared" si="29"/>
        <v>2023-11-27</v>
      </c>
      <c r="H509">
        <f t="shared" si="30"/>
        <v>0</v>
      </c>
      <c r="J509" t="str">
        <f>K509&amp;L509</f>
        <v>Белов Алексей КонстантиновичЛебедева Валерия Геннадьевна</v>
      </c>
      <c r="K509" t="s">
        <v>5</v>
      </c>
      <c r="L509" t="s">
        <v>177</v>
      </c>
      <c r="M509" t="s">
        <v>313</v>
      </c>
      <c r="N509" t="str">
        <f t="shared" si="31"/>
        <v>Орлов Павел ДенисовичПетров Никита Павлович</v>
      </c>
      <c r="O509" t="s">
        <v>13</v>
      </c>
      <c r="P509" t="s">
        <v>75</v>
      </c>
      <c r="Q509" t="s">
        <v>309</v>
      </c>
    </row>
    <row r="510" spans="4:17" x14ac:dyDescent="0.25">
      <c r="D510" t="s">
        <v>16</v>
      </c>
      <c r="E510" t="s">
        <v>111</v>
      </c>
      <c r="F510" t="str">
        <f t="shared" si="28"/>
        <v>2024-04-02</v>
      </c>
      <c r="G510" t="str">
        <f t="shared" si="29"/>
        <v>2024-07-05</v>
      </c>
      <c r="H510">
        <f t="shared" si="30"/>
        <v>94</v>
      </c>
      <c r="J510" t="str">
        <f>K510&amp;L510</f>
        <v>Новикова Ольга ПетровнаНовикова Екатерина Павловна</v>
      </c>
      <c r="K510" t="s">
        <v>29</v>
      </c>
      <c r="L510" t="s">
        <v>76</v>
      </c>
      <c r="M510" t="s">
        <v>314</v>
      </c>
      <c r="N510" t="str">
        <f t="shared" si="31"/>
        <v>Фролов Сергей ВикторовичОрлов Андрей Никитич</v>
      </c>
      <c r="O510" t="s">
        <v>38</v>
      </c>
      <c r="P510" t="s">
        <v>111</v>
      </c>
      <c r="Q510" t="s">
        <v>308</v>
      </c>
    </row>
    <row r="511" spans="4:17" x14ac:dyDescent="0.25">
      <c r="D511" t="s">
        <v>16</v>
      </c>
      <c r="E511" t="s">
        <v>197</v>
      </c>
      <c r="F511" t="str">
        <f t="shared" si="28"/>
        <v>2023-11-13</v>
      </c>
      <c r="G511" t="str">
        <f t="shared" si="29"/>
        <v>2023-11-13</v>
      </c>
      <c r="H511">
        <f t="shared" si="30"/>
        <v>0</v>
      </c>
      <c r="J511" t="str">
        <f>K511&amp;L511</f>
        <v>Иванова Анна СергеевнаПетров Константин Егорович</v>
      </c>
      <c r="K511" t="s">
        <v>55</v>
      </c>
      <c r="L511" t="s">
        <v>102</v>
      </c>
      <c r="M511" t="s">
        <v>314</v>
      </c>
      <c r="N511" t="str">
        <f t="shared" si="31"/>
        <v>Кузнецов Дмитрий ЛьвовичФедоров Владимир Артемович</v>
      </c>
      <c r="O511" t="s">
        <v>11</v>
      </c>
      <c r="P511" t="s">
        <v>217</v>
      </c>
      <c r="Q511" t="s">
        <v>308</v>
      </c>
    </row>
    <row r="512" spans="4:17" x14ac:dyDescent="0.25">
      <c r="D512" t="s">
        <v>16</v>
      </c>
      <c r="E512" t="s">
        <v>199</v>
      </c>
      <c r="F512" t="str">
        <f t="shared" si="28"/>
        <v>2024-03-14</v>
      </c>
      <c r="G512" t="str">
        <f t="shared" si="29"/>
        <v>2024-05-29</v>
      </c>
      <c r="H512">
        <f t="shared" si="30"/>
        <v>76</v>
      </c>
      <c r="J512" t="str">
        <f>K512&amp;L512</f>
        <v>Новикова Ольга ПетровнаКузнецов Павел Викторович</v>
      </c>
      <c r="K512" t="s">
        <v>29</v>
      </c>
      <c r="L512" t="s">
        <v>299</v>
      </c>
      <c r="M512" t="s">
        <v>314</v>
      </c>
      <c r="N512" t="str">
        <f t="shared" si="31"/>
        <v>Фролов Сергей ВикторовичВасильев Андрей Дмитриевич</v>
      </c>
      <c r="O512" t="s">
        <v>38</v>
      </c>
      <c r="P512" t="s">
        <v>172</v>
      </c>
      <c r="Q512" t="s">
        <v>308</v>
      </c>
    </row>
    <row r="513" spans="4:17" x14ac:dyDescent="0.25">
      <c r="D513" t="s">
        <v>16</v>
      </c>
      <c r="E513" t="s">
        <v>130</v>
      </c>
      <c r="F513" t="str">
        <f t="shared" si="28"/>
        <v>2024-04-01</v>
      </c>
      <c r="G513" t="str">
        <f t="shared" si="29"/>
        <v>2024-04-01</v>
      </c>
      <c r="H513">
        <f t="shared" si="30"/>
        <v>0</v>
      </c>
      <c r="J513" t="str">
        <f>K513&amp;L513</f>
        <v>Фролов Сергей ВикторовичМорозов Илья Станиславович</v>
      </c>
      <c r="K513" t="s">
        <v>38</v>
      </c>
      <c r="L513" t="s">
        <v>114</v>
      </c>
      <c r="M513" t="s">
        <v>314</v>
      </c>
      <c r="N513" t="str">
        <f t="shared" si="31"/>
        <v>Семенова Ирина ВалерьевнаСеменов Никита Александрович</v>
      </c>
      <c r="O513" t="s">
        <v>16</v>
      </c>
      <c r="P513" t="s">
        <v>73</v>
      </c>
      <c r="Q513" t="s">
        <v>308</v>
      </c>
    </row>
    <row r="514" spans="4:17" x14ac:dyDescent="0.25">
      <c r="D514" t="s">
        <v>16</v>
      </c>
      <c r="E514" t="s">
        <v>84</v>
      </c>
      <c r="F514" t="str">
        <f t="shared" si="28"/>
        <v>2024-07-08</v>
      </c>
      <c r="G514" t="str">
        <f t="shared" si="29"/>
        <v>2024-07-08</v>
      </c>
      <c r="H514">
        <f t="shared" si="30"/>
        <v>0</v>
      </c>
      <c r="J514" t="str">
        <f>K514&amp;L514</f>
        <v>Ткаченко Андрей ОлеговичПопов Георгий Ильич</v>
      </c>
      <c r="K514" t="s">
        <v>26</v>
      </c>
      <c r="L514" t="s">
        <v>148</v>
      </c>
      <c r="M514" t="s">
        <v>315</v>
      </c>
      <c r="N514" t="str">
        <f t="shared" si="31"/>
        <v>Кузнецов Дмитрий ЛьвовичСеменова Александра Егоровна</v>
      </c>
      <c r="O514" t="s">
        <v>11</v>
      </c>
      <c r="P514" t="s">
        <v>94</v>
      </c>
      <c r="Q514" t="s">
        <v>307</v>
      </c>
    </row>
    <row r="515" spans="4:17" x14ac:dyDescent="0.25">
      <c r="D515" t="s">
        <v>16</v>
      </c>
      <c r="E515" t="s">
        <v>102</v>
      </c>
      <c r="F515" t="str">
        <f t="shared" ref="F515:F578" si="32">VLOOKUP(D515&amp;E515,J:M,4,0)</f>
        <v>2023-11-08</v>
      </c>
      <c r="G515" t="str">
        <f t="shared" ref="G515:G578" si="33">VLOOKUP(D515&amp;E515,N:Q,4,0)</f>
        <v>2023-11-08</v>
      </c>
      <c r="H515">
        <f t="shared" ref="H515:H578" si="34">G515-F515</f>
        <v>0</v>
      </c>
      <c r="J515" t="str">
        <f>K515&amp;L515</f>
        <v>Яковлев Артем ИгоревичСидорова Ирина Кирилловна</v>
      </c>
      <c r="K515" t="s">
        <v>21</v>
      </c>
      <c r="L515" t="s">
        <v>50</v>
      </c>
      <c r="M515" t="s">
        <v>316</v>
      </c>
      <c r="N515" t="str">
        <f t="shared" ref="N515:N578" si="35">O515&amp;P515</f>
        <v>Белов Алексей КонстантиновичВасильева Виктория Артемовна</v>
      </c>
      <c r="O515" t="s">
        <v>5</v>
      </c>
      <c r="P515" t="s">
        <v>274</v>
      </c>
      <c r="Q515" t="s">
        <v>307</v>
      </c>
    </row>
    <row r="516" spans="4:17" x14ac:dyDescent="0.25">
      <c r="D516" t="s">
        <v>16</v>
      </c>
      <c r="E516" t="s">
        <v>109</v>
      </c>
      <c r="F516" t="str">
        <f t="shared" si="32"/>
        <v>2024-04-03</v>
      </c>
      <c r="G516" t="str">
        <f t="shared" si="33"/>
        <v>2024-04-03</v>
      </c>
      <c r="H516">
        <f t="shared" si="34"/>
        <v>0</v>
      </c>
      <c r="J516" t="str">
        <f>K516&amp;L516</f>
        <v>Яковлев Артем ИгоревичЛебедев Матвей Павлович</v>
      </c>
      <c r="K516" t="s">
        <v>21</v>
      </c>
      <c r="L516" t="s">
        <v>115</v>
      </c>
      <c r="M516" t="s">
        <v>316</v>
      </c>
      <c r="N516" t="str">
        <f t="shared" si="35"/>
        <v>Яковлев Артем ИгоревичЕгорова Юлия Никитична</v>
      </c>
      <c r="O516" t="s">
        <v>21</v>
      </c>
      <c r="P516" t="s">
        <v>264</v>
      </c>
      <c r="Q516" t="s">
        <v>306</v>
      </c>
    </row>
    <row r="517" spans="4:17" x14ac:dyDescent="0.25">
      <c r="D517" t="s">
        <v>16</v>
      </c>
      <c r="E517" t="s">
        <v>71</v>
      </c>
      <c r="F517" t="str">
        <f t="shared" si="32"/>
        <v>2024-06-03</v>
      </c>
      <c r="G517" t="str">
        <f t="shared" si="33"/>
        <v>2024-06-03</v>
      </c>
      <c r="H517">
        <f t="shared" si="34"/>
        <v>0</v>
      </c>
      <c r="J517" t="str">
        <f>K517&amp;L517</f>
        <v>Белов Алексей КонстантиновичАлексеев Михаил Алексеевич</v>
      </c>
      <c r="K517" t="s">
        <v>5</v>
      </c>
      <c r="L517" t="s">
        <v>85</v>
      </c>
      <c r="M517" t="s">
        <v>316</v>
      </c>
      <c r="N517" t="str">
        <f t="shared" si="35"/>
        <v>Иванова Анна СергеевнаПетрова Ольга Геннадьевна</v>
      </c>
      <c r="O517" t="s">
        <v>55</v>
      </c>
      <c r="P517" t="s">
        <v>184</v>
      </c>
      <c r="Q517" t="s">
        <v>306</v>
      </c>
    </row>
    <row r="518" spans="4:17" x14ac:dyDescent="0.25">
      <c r="D518" t="s">
        <v>16</v>
      </c>
      <c r="E518" t="s">
        <v>148</v>
      </c>
      <c r="F518" t="str">
        <f t="shared" si="32"/>
        <v>2023-10-19</v>
      </c>
      <c r="G518" t="str">
        <f t="shared" si="33"/>
        <v>2023-10-19</v>
      </c>
      <c r="H518">
        <f t="shared" si="34"/>
        <v>0</v>
      </c>
      <c r="J518" t="str">
        <f>K518&amp;L518</f>
        <v>Белов Алексей КонстантиновичВасильева Юлия Сергеевна</v>
      </c>
      <c r="K518" t="s">
        <v>5</v>
      </c>
      <c r="L518" t="s">
        <v>51</v>
      </c>
      <c r="M518" t="s">
        <v>316</v>
      </c>
      <c r="N518" t="str">
        <f t="shared" si="35"/>
        <v>Орлов Павел ДенисовичПопов Сергей Артемович</v>
      </c>
      <c r="O518" t="s">
        <v>13</v>
      </c>
      <c r="P518" t="s">
        <v>174</v>
      </c>
      <c r="Q518" t="s">
        <v>306</v>
      </c>
    </row>
    <row r="519" spans="4:17" x14ac:dyDescent="0.25">
      <c r="D519" t="s">
        <v>16</v>
      </c>
      <c r="E519" t="s">
        <v>82</v>
      </c>
      <c r="F519" t="str">
        <f t="shared" si="32"/>
        <v>2024-01-22</v>
      </c>
      <c r="G519" t="str">
        <f t="shared" si="33"/>
        <v>2024-07-16</v>
      </c>
      <c r="H519">
        <f t="shared" si="34"/>
        <v>176</v>
      </c>
      <c r="J519" t="str">
        <f>K519&amp;L519</f>
        <v>Яковлев Артем ИгоревичОрлов Владимир Никитич</v>
      </c>
      <c r="K519" t="s">
        <v>21</v>
      </c>
      <c r="L519" t="s">
        <v>32</v>
      </c>
      <c r="M519" t="s">
        <v>316</v>
      </c>
      <c r="N519" t="str">
        <f t="shared" si="35"/>
        <v>Орлов Павел ДенисовичЕгоров Сергей Андреевич</v>
      </c>
      <c r="O519" t="s">
        <v>13</v>
      </c>
      <c r="P519" t="s">
        <v>49</v>
      </c>
      <c r="Q519" t="s">
        <v>306</v>
      </c>
    </row>
    <row r="520" spans="4:17" x14ac:dyDescent="0.25">
      <c r="D520" t="s">
        <v>16</v>
      </c>
      <c r="E520" t="s">
        <v>165</v>
      </c>
      <c r="F520" t="str">
        <f t="shared" si="32"/>
        <v>2023-10-26</v>
      </c>
      <c r="G520" t="str">
        <f t="shared" si="33"/>
        <v>2023-12-22</v>
      </c>
      <c r="H520">
        <f t="shared" si="34"/>
        <v>57</v>
      </c>
      <c r="J520" t="str">
        <f>K520&amp;L520</f>
        <v>Ткаченко Андрей ОлеговичКузнецов Кирилл Александрович</v>
      </c>
      <c r="K520" t="s">
        <v>26</v>
      </c>
      <c r="L520" t="s">
        <v>92</v>
      </c>
      <c r="M520" t="s">
        <v>316</v>
      </c>
      <c r="N520" t="str">
        <f t="shared" si="35"/>
        <v>Белов Алексей КонстантиновичАлексеева Ольга Дмитриевна</v>
      </c>
      <c r="O520" t="s">
        <v>5</v>
      </c>
      <c r="P520" t="s">
        <v>289</v>
      </c>
      <c r="Q520" t="s">
        <v>306</v>
      </c>
    </row>
    <row r="521" spans="4:17" x14ac:dyDescent="0.25">
      <c r="D521" t="s">
        <v>16</v>
      </c>
      <c r="E521" t="s">
        <v>158</v>
      </c>
      <c r="F521" t="str">
        <f t="shared" si="32"/>
        <v>2023-10-24</v>
      </c>
      <c r="G521" t="str">
        <f t="shared" si="33"/>
        <v>2023-10-24</v>
      </c>
      <c r="H521">
        <f t="shared" si="34"/>
        <v>0</v>
      </c>
      <c r="J521" t="str">
        <f>K521&amp;L521</f>
        <v>Громова Мария ИльиничнаНиколаева Анна Дмитриевна</v>
      </c>
      <c r="K521" t="s">
        <v>43</v>
      </c>
      <c r="L521" t="s">
        <v>123</v>
      </c>
      <c r="M521" t="s">
        <v>316</v>
      </c>
      <c r="N521" t="str">
        <f t="shared" si="35"/>
        <v>Громова Мария ИльиничнаАлексеева Юлия Никитична</v>
      </c>
      <c r="O521" t="s">
        <v>43</v>
      </c>
      <c r="P521" t="s">
        <v>93</v>
      </c>
      <c r="Q521" t="s">
        <v>304</v>
      </c>
    </row>
    <row r="522" spans="4:17" x14ac:dyDescent="0.25">
      <c r="D522" t="s">
        <v>16</v>
      </c>
      <c r="E522" t="s">
        <v>88</v>
      </c>
      <c r="F522" t="str">
        <f t="shared" si="32"/>
        <v>2024-07-03</v>
      </c>
      <c r="G522" t="str">
        <f t="shared" si="33"/>
        <v>2024-07-03</v>
      </c>
      <c r="H522">
        <f t="shared" si="34"/>
        <v>0</v>
      </c>
      <c r="J522" t="str">
        <f>K522&amp;L522</f>
        <v>Яковлев Артем ИгоревичВолкова Анна Викторовна</v>
      </c>
      <c r="K522" t="s">
        <v>21</v>
      </c>
      <c r="L522" t="s">
        <v>42</v>
      </c>
      <c r="M522" t="s">
        <v>317</v>
      </c>
      <c r="N522" t="str">
        <f t="shared" si="35"/>
        <v>Новикова Ольга ПетровнаСмирнова Елена Олеговна</v>
      </c>
      <c r="O522" t="s">
        <v>29</v>
      </c>
      <c r="P522" t="s">
        <v>22</v>
      </c>
      <c r="Q522" t="s">
        <v>304</v>
      </c>
    </row>
    <row r="523" spans="4:17" x14ac:dyDescent="0.25">
      <c r="D523" t="s">
        <v>16</v>
      </c>
      <c r="E523" t="s">
        <v>178</v>
      </c>
      <c r="F523" t="str">
        <f t="shared" si="32"/>
        <v>2024-03-25</v>
      </c>
      <c r="G523" t="str">
        <f t="shared" si="33"/>
        <v>2024-06-13</v>
      </c>
      <c r="H523">
        <f t="shared" si="34"/>
        <v>80</v>
      </c>
      <c r="J523" t="str">
        <f>K523&amp;L523</f>
        <v>Громова Мария ИльиничнаВолков Павел Иванович</v>
      </c>
      <c r="K523" t="s">
        <v>43</v>
      </c>
      <c r="L523" t="s">
        <v>74</v>
      </c>
      <c r="M523" t="s">
        <v>317</v>
      </c>
      <c r="N523" t="str">
        <f t="shared" si="35"/>
        <v>Кузнецов Дмитрий ЛьвовичФедорова Людмила Сергеевна</v>
      </c>
      <c r="O523" t="s">
        <v>11</v>
      </c>
      <c r="P523" t="s">
        <v>305</v>
      </c>
      <c r="Q523" t="s">
        <v>304</v>
      </c>
    </row>
    <row r="524" spans="4:17" x14ac:dyDescent="0.25">
      <c r="D524" t="s">
        <v>16</v>
      </c>
      <c r="E524" t="s">
        <v>160</v>
      </c>
      <c r="F524" t="str">
        <f t="shared" si="32"/>
        <v>2024-03-19</v>
      </c>
      <c r="G524" t="str">
        <f t="shared" si="33"/>
        <v>2024-03-19</v>
      </c>
      <c r="H524">
        <f t="shared" si="34"/>
        <v>0</v>
      </c>
      <c r="J524" t="str">
        <f>K524&amp;L524</f>
        <v>Кузнецов Дмитрий ЛьвовичВолков Алексей Никитич</v>
      </c>
      <c r="K524" t="s">
        <v>11</v>
      </c>
      <c r="L524" t="s">
        <v>187</v>
      </c>
      <c r="M524" t="s">
        <v>317</v>
      </c>
      <c r="N524" t="str">
        <f t="shared" si="35"/>
        <v>Орлов Павел ДенисовичКузнецов Кирилл Александрович</v>
      </c>
      <c r="O524" t="s">
        <v>13</v>
      </c>
      <c r="P524" t="s">
        <v>92</v>
      </c>
      <c r="Q524" t="s">
        <v>304</v>
      </c>
    </row>
    <row r="525" spans="4:17" x14ac:dyDescent="0.25">
      <c r="D525" t="s">
        <v>16</v>
      </c>
      <c r="E525" t="s">
        <v>18</v>
      </c>
      <c r="F525" t="str">
        <f t="shared" si="32"/>
        <v>2024-02-19</v>
      </c>
      <c r="G525" t="str">
        <f t="shared" si="33"/>
        <v>2024-04-12</v>
      </c>
      <c r="H525">
        <f t="shared" si="34"/>
        <v>53</v>
      </c>
      <c r="J525" t="str">
        <f>K525&amp;L525</f>
        <v>Семенова Ирина ВалерьевнаКузнецов Александр Романович</v>
      </c>
      <c r="K525" t="s">
        <v>16</v>
      </c>
      <c r="L525" t="s">
        <v>78</v>
      </c>
      <c r="M525" t="s">
        <v>317</v>
      </c>
      <c r="N525" t="str">
        <f t="shared" si="35"/>
        <v>Ткаченко Андрей ОлеговичВасильева Юлия Сергеевна</v>
      </c>
      <c r="O525" t="s">
        <v>26</v>
      </c>
      <c r="P525" t="s">
        <v>51</v>
      </c>
      <c r="Q525" t="s">
        <v>302</v>
      </c>
    </row>
    <row r="526" spans="4:17" x14ac:dyDescent="0.25">
      <c r="D526" t="s">
        <v>16</v>
      </c>
      <c r="E526" t="s">
        <v>143</v>
      </c>
      <c r="F526" t="str">
        <f t="shared" si="32"/>
        <v>2024-08-14</v>
      </c>
      <c r="G526" t="str">
        <f t="shared" si="33"/>
        <v>2024-08-14</v>
      </c>
      <c r="H526">
        <f t="shared" si="34"/>
        <v>0</v>
      </c>
      <c r="J526" t="str">
        <f>K526&amp;L526</f>
        <v>Орлов Павел ДенисовичПопов Никита Андреевич</v>
      </c>
      <c r="K526" t="s">
        <v>13</v>
      </c>
      <c r="L526" t="s">
        <v>165</v>
      </c>
      <c r="M526" t="s">
        <v>318</v>
      </c>
      <c r="N526" t="str">
        <f t="shared" si="35"/>
        <v>Иванова Анна СергеевнаВолков Павел Иванович</v>
      </c>
      <c r="O526" t="s">
        <v>55</v>
      </c>
      <c r="P526" t="s">
        <v>74</v>
      </c>
      <c r="Q526" t="s">
        <v>302</v>
      </c>
    </row>
    <row r="527" spans="4:17" x14ac:dyDescent="0.25">
      <c r="D527" t="s">
        <v>16</v>
      </c>
      <c r="E527" t="s">
        <v>295</v>
      </c>
      <c r="F527" t="str">
        <f t="shared" si="32"/>
        <v>2024-04-19</v>
      </c>
      <c r="G527" t="str">
        <f t="shared" si="33"/>
        <v>2024-06-10</v>
      </c>
      <c r="H527">
        <f t="shared" si="34"/>
        <v>52</v>
      </c>
      <c r="J527" t="str">
        <f>K527&amp;L527</f>
        <v>Новикова Ольга ПетровнаВолков Павел Иванович</v>
      </c>
      <c r="K527" t="s">
        <v>29</v>
      </c>
      <c r="L527" t="s">
        <v>74</v>
      </c>
      <c r="M527" t="s">
        <v>318</v>
      </c>
      <c r="N527" t="str">
        <f t="shared" si="35"/>
        <v>Громова Мария ИльиничнаСмирнова Мария Сергеевна</v>
      </c>
      <c r="O527" t="s">
        <v>43</v>
      </c>
      <c r="P527" t="s">
        <v>303</v>
      </c>
      <c r="Q527" t="s">
        <v>302</v>
      </c>
    </row>
    <row r="528" spans="4:17" x14ac:dyDescent="0.25">
      <c r="D528" t="s">
        <v>16</v>
      </c>
      <c r="E528" t="s">
        <v>73</v>
      </c>
      <c r="F528" t="str">
        <f t="shared" si="32"/>
        <v>2024-02-29</v>
      </c>
      <c r="G528" t="str">
        <f t="shared" si="33"/>
        <v>2024-02-29</v>
      </c>
      <c r="H528">
        <f t="shared" si="34"/>
        <v>0</v>
      </c>
      <c r="J528" t="str">
        <f>K528&amp;L528</f>
        <v>Белов Алексей КонстантиновичПавлова Ксения Никитична</v>
      </c>
      <c r="K528" t="s">
        <v>5</v>
      </c>
      <c r="L528" t="s">
        <v>319</v>
      </c>
      <c r="M528" t="s">
        <v>318</v>
      </c>
      <c r="N528" t="str">
        <f t="shared" si="35"/>
        <v>Белов Алексей КонстантиновичВолкова София Александровна</v>
      </c>
      <c r="O528" t="s">
        <v>5</v>
      </c>
      <c r="P528" t="s">
        <v>112</v>
      </c>
      <c r="Q528" t="s">
        <v>301</v>
      </c>
    </row>
    <row r="529" spans="4:17" x14ac:dyDescent="0.25">
      <c r="D529" t="s">
        <v>16</v>
      </c>
      <c r="E529" t="s">
        <v>194</v>
      </c>
      <c r="F529" t="str">
        <f t="shared" si="32"/>
        <v>2024-05-20</v>
      </c>
      <c r="G529" t="str">
        <f t="shared" si="33"/>
        <v>2024-05-20</v>
      </c>
      <c r="H529">
        <f t="shared" si="34"/>
        <v>0</v>
      </c>
      <c r="J529" t="str">
        <f>K529&amp;L529</f>
        <v>Ткаченко Андрей ОлеговичФедоров Владимир Артемович</v>
      </c>
      <c r="K529" t="s">
        <v>26</v>
      </c>
      <c r="L529" t="s">
        <v>217</v>
      </c>
      <c r="M529" t="s">
        <v>320</v>
      </c>
      <c r="N529" t="str">
        <f t="shared" si="35"/>
        <v>Громова Мария ИльиничнаПопова Светлана Геннадьевна</v>
      </c>
      <c r="O529" t="s">
        <v>43</v>
      </c>
      <c r="P529" t="s">
        <v>18</v>
      </c>
      <c r="Q529" t="s">
        <v>301</v>
      </c>
    </row>
    <row r="530" spans="4:17" x14ac:dyDescent="0.25">
      <c r="D530" t="s">
        <v>16</v>
      </c>
      <c r="E530" t="s">
        <v>50</v>
      </c>
      <c r="F530" t="str">
        <f t="shared" si="32"/>
        <v>2024-08-30</v>
      </c>
      <c r="G530" t="str">
        <f t="shared" si="33"/>
        <v>2024-08-30</v>
      </c>
      <c r="H530">
        <f t="shared" si="34"/>
        <v>0</v>
      </c>
      <c r="J530" t="str">
        <f>K530&amp;L530</f>
        <v>Семенова Ирина ВалерьевнаПавлов Андрей Владимирович</v>
      </c>
      <c r="K530" t="s">
        <v>16</v>
      </c>
      <c r="L530" t="s">
        <v>199</v>
      </c>
      <c r="M530" t="s">
        <v>320</v>
      </c>
      <c r="N530" t="str">
        <f t="shared" si="35"/>
        <v>Иванова Анна СергеевнаПетрова Ольга Сергеевна</v>
      </c>
      <c r="O530" t="s">
        <v>55</v>
      </c>
      <c r="P530" t="s">
        <v>119</v>
      </c>
      <c r="Q530" t="s">
        <v>301</v>
      </c>
    </row>
    <row r="531" spans="4:17" x14ac:dyDescent="0.25">
      <c r="D531" t="s">
        <v>16</v>
      </c>
      <c r="E531" t="s">
        <v>118</v>
      </c>
      <c r="F531" t="str">
        <f t="shared" si="32"/>
        <v>2023-10-06</v>
      </c>
      <c r="G531" t="str">
        <f t="shared" si="33"/>
        <v>2024-07-08</v>
      </c>
      <c r="H531">
        <f t="shared" si="34"/>
        <v>276</v>
      </c>
      <c r="J531" t="str">
        <f>K531&amp;L531</f>
        <v>Яковлев Артем ИгоревичПавлова Ксения Никитична</v>
      </c>
      <c r="K531" t="s">
        <v>21</v>
      </c>
      <c r="L531" t="s">
        <v>319</v>
      </c>
      <c r="M531" t="s">
        <v>320</v>
      </c>
      <c r="N531" t="str">
        <f t="shared" si="35"/>
        <v>Белов Алексей КонстантиновичКузнецов Павел Викторович</v>
      </c>
      <c r="O531" t="s">
        <v>5</v>
      </c>
      <c r="P531" t="s">
        <v>299</v>
      </c>
      <c r="Q531" t="s">
        <v>300</v>
      </c>
    </row>
    <row r="532" spans="4:17" x14ac:dyDescent="0.25">
      <c r="D532" t="s">
        <v>16</v>
      </c>
      <c r="E532" t="s">
        <v>169</v>
      </c>
      <c r="F532" t="str">
        <f t="shared" si="32"/>
        <v>2023-10-30</v>
      </c>
      <c r="G532" t="str">
        <f t="shared" si="33"/>
        <v>2023-10-30</v>
      </c>
      <c r="H532">
        <f t="shared" si="34"/>
        <v>0</v>
      </c>
      <c r="J532" t="str">
        <f>K532&amp;L532</f>
        <v>Орлов Павел ДенисовичПопов Георгий Егорович</v>
      </c>
      <c r="K532" t="s">
        <v>13</v>
      </c>
      <c r="L532" t="s">
        <v>61</v>
      </c>
      <c r="M532" t="s">
        <v>321</v>
      </c>
      <c r="N532" t="str">
        <f t="shared" si="35"/>
        <v>Кузнецов Дмитрий ЛьвовичСеменова София Алексеевна</v>
      </c>
      <c r="O532" t="s">
        <v>11</v>
      </c>
      <c r="P532" t="s">
        <v>227</v>
      </c>
      <c r="Q532" t="s">
        <v>298</v>
      </c>
    </row>
    <row r="533" spans="4:17" x14ac:dyDescent="0.25">
      <c r="D533" t="s">
        <v>16</v>
      </c>
      <c r="E533" t="s">
        <v>28</v>
      </c>
      <c r="F533" t="str">
        <f t="shared" si="32"/>
        <v>2023-12-05</v>
      </c>
      <c r="G533" t="str">
        <f t="shared" si="33"/>
        <v>2024-05-10</v>
      </c>
      <c r="H533">
        <f t="shared" si="34"/>
        <v>157</v>
      </c>
      <c r="J533" t="str">
        <f>K533&amp;L533</f>
        <v>Белов Алексей КонстантиновичСеменова София Алексеевна</v>
      </c>
      <c r="K533" t="s">
        <v>5</v>
      </c>
      <c r="L533" t="s">
        <v>227</v>
      </c>
      <c r="M533" t="s">
        <v>321</v>
      </c>
      <c r="N533" t="str">
        <f t="shared" si="35"/>
        <v>Петров Владимир КирилловичКузнецов Кирилл Александрович</v>
      </c>
      <c r="O533" t="s">
        <v>19</v>
      </c>
      <c r="P533" t="s">
        <v>92</v>
      </c>
      <c r="Q533" t="s">
        <v>298</v>
      </c>
    </row>
    <row r="534" spans="4:17" x14ac:dyDescent="0.25">
      <c r="D534" t="s">
        <v>16</v>
      </c>
      <c r="E534" t="s">
        <v>22</v>
      </c>
      <c r="F534" t="str">
        <f t="shared" si="32"/>
        <v>2024-03-25</v>
      </c>
      <c r="G534" t="str">
        <f t="shared" si="33"/>
        <v>2024-03-25</v>
      </c>
      <c r="H534">
        <f t="shared" si="34"/>
        <v>0</v>
      </c>
      <c r="J534" t="str">
        <f>K534&amp;L534</f>
        <v>Сидорова Елена ВасильевнаСидоров Егор Павлович</v>
      </c>
      <c r="K534" t="s">
        <v>8</v>
      </c>
      <c r="L534" t="s">
        <v>173</v>
      </c>
      <c r="M534" t="s">
        <v>321</v>
      </c>
      <c r="N534" t="str">
        <f t="shared" si="35"/>
        <v>Семенова Ирина ВалерьевнаПопова Светлана Геннадьевна</v>
      </c>
      <c r="O534" t="s">
        <v>16</v>
      </c>
      <c r="P534" t="s">
        <v>18</v>
      </c>
      <c r="Q534" t="s">
        <v>298</v>
      </c>
    </row>
    <row r="535" spans="4:17" x14ac:dyDescent="0.25">
      <c r="D535" t="s">
        <v>16</v>
      </c>
      <c r="E535" t="s">
        <v>200</v>
      </c>
      <c r="F535" t="str">
        <f t="shared" si="32"/>
        <v>2024-03-25</v>
      </c>
      <c r="G535" t="str">
        <f t="shared" si="33"/>
        <v>2024-03-25</v>
      </c>
      <c r="H535">
        <f t="shared" si="34"/>
        <v>0</v>
      </c>
      <c r="J535" t="str">
        <f>K535&amp;L535</f>
        <v>Орлов Павел ДенисовичИванова Ольга Дмитриевна</v>
      </c>
      <c r="K535" t="s">
        <v>13</v>
      </c>
      <c r="L535" t="s">
        <v>131</v>
      </c>
      <c r="M535" t="s">
        <v>322</v>
      </c>
      <c r="N535" t="str">
        <f t="shared" si="35"/>
        <v>Семенова Ирина ВалерьевнаНиколаев Никита Викторович</v>
      </c>
      <c r="O535" t="s">
        <v>16</v>
      </c>
      <c r="P535" t="s">
        <v>253</v>
      </c>
      <c r="Q535" t="s">
        <v>298</v>
      </c>
    </row>
    <row r="536" spans="4:17" x14ac:dyDescent="0.25">
      <c r="D536" t="s">
        <v>16</v>
      </c>
      <c r="E536" t="s">
        <v>293</v>
      </c>
      <c r="F536" t="str">
        <f t="shared" si="32"/>
        <v>2024-02-12</v>
      </c>
      <c r="G536" t="str">
        <f t="shared" si="33"/>
        <v>2024-02-12</v>
      </c>
      <c r="H536">
        <f t="shared" si="34"/>
        <v>0</v>
      </c>
      <c r="J536" t="str">
        <f>K536&amp;L536</f>
        <v>Громова Мария ИльиничнаПетров Константин Егорович</v>
      </c>
      <c r="K536" t="s">
        <v>43</v>
      </c>
      <c r="L536" t="s">
        <v>102</v>
      </c>
      <c r="M536" t="s">
        <v>322</v>
      </c>
      <c r="N536" t="str">
        <f t="shared" si="35"/>
        <v>Белов Алексей КонстантиновичСмирнов Константин Дмитриевич</v>
      </c>
      <c r="O536" t="s">
        <v>5</v>
      </c>
      <c r="P536" t="s">
        <v>156</v>
      </c>
      <c r="Q536" t="s">
        <v>298</v>
      </c>
    </row>
    <row r="537" spans="4:17" x14ac:dyDescent="0.25">
      <c r="D537" t="s">
        <v>16</v>
      </c>
      <c r="E537" t="s">
        <v>46</v>
      </c>
      <c r="F537" t="str">
        <f t="shared" si="32"/>
        <v>2023-11-20</v>
      </c>
      <c r="G537" t="str">
        <f t="shared" si="33"/>
        <v>2023-11-20</v>
      </c>
      <c r="H537">
        <f t="shared" si="34"/>
        <v>0</v>
      </c>
      <c r="J537" t="str">
        <f>K537&amp;L537</f>
        <v>Петров Владимир КирилловичМорозов Иван Геннадьевич</v>
      </c>
      <c r="K537" t="s">
        <v>19</v>
      </c>
      <c r="L537" t="s">
        <v>257</v>
      </c>
      <c r="M537" t="s">
        <v>322</v>
      </c>
      <c r="N537" t="str">
        <f t="shared" si="35"/>
        <v>Громова Мария ИльиничнаИванова Полина Дмитриевна</v>
      </c>
      <c r="O537" t="s">
        <v>43</v>
      </c>
      <c r="P537" t="s">
        <v>91</v>
      </c>
      <c r="Q537" t="s">
        <v>298</v>
      </c>
    </row>
    <row r="538" spans="4:17" x14ac:dyDescent="0.25">
      <c r="D538" t="s">
        <v>16</v>
      </c>
      <c r="E538" t="s">
        <v>234</v>
      </c>
      <c r="F538" t="str">
        <f t="shared" si="32"/>
        <v>2024-02-14</v>
      </c>
      <c r="G538" t="str">
        <f t="shared" si="33"/>
        <v>2024-02-14</v>
      </c>
      <c r="H538">
        <f t="shared" si="34"/>
        <v>0</v>
      </c>
      <c r="J538" t="str">
        <f>K538&amp;L538</f>
        <v>Громова Мария ИльиничнаКозлов Илья Геннадьевич</v>
      </c>
      <c r="K538" t="s">
        <v>43</v>
      </c>
      <c r="L538" t="s">
        <v>153</v>
      </c>
      <c r="M538" t="s">
        <v>322</v>
      </c>
      <c r="N538" t="str">
        <f t="shared" si="35"/>
        <v>Фролов Сергей ВикторовичВасильев Владимир Алексеевич</v>
      </c>
      <c r="O538" t="s">
        <v>38</v>
      </c>
      <c r="P538" t="s">
        <v>68</v>
      </c>
      <c r="Q538" t="s">
        <v>298</v>
      </c>
    </row>
    <row r="539" spans="4:17" x14ac:dyDescent="0.25">
      <c r="D539" t="s">
        <v>16</v>
      </c>
      <c r="E539" t="s">
        <v>79</v>
      </c>
      <c r="F539" t="str">
        <f t="shared" si="32"/>
        <v>2023-12-18</v>
      </c>
      <c r="G539" t="str">
        <f t="shared" si="33"/>
        <v>2023-12-18</v>
      </c>
      <c r="H539">
        <f t="shared" si="34"/>
        <v>0</v>
      </c>
      <c r="J539" t="str">
        <f>K539&amp;L539</f>
        <v>Фролов Сергей ВикторовичСеменов Никита Александрович</v>
      </c>
      <c r="K539" t="s">
        <v>38</v>
      </c>
      <c r="L539" t="s">
        <v>73</v>
      </c>
      <c r="M539" t="s">
        <v>322</v>
      </c>
      <c r="N539" t="str">
        <f t="shared" si="35"/>
        <v>Семенова Ирина ВалерьевнаНиколаев Андрей Ильич</v>
      </c>
      <c r="O539" t="s">
        <v>16</v>
      </c>
      <c r="P539" t="s">
        <v>63</v>
      </c>
      <c r="Q539" t="s">
        <v>298</v>
      </c>
    </row>
    <row r="540" spans="4:17" x14ac:dyDescent="0.25">
      <c r="D540" t="s">
        <v>16</v>
      </c>
      <c r="E540" t="s">
        <v>217</v>
      </c>
      <c r="F540" t="str">
        <f t="shared" si="32"/>
        <v>2024-01-31</v>
      </c>
      <c r="G540" t="str">
        <f t="shared" si="33"/>
        <v>2024-01-31</v>
      </c>
      <c r="H540">
        <f t="shared" si="34"/>
        <v>0</v>
      </c>
      <c r="J540" t="str">
        <f>K540&amp;L540</f>
        <v>Громова Мария ИльиничнаВолков Владимир Артемович</v>
      </c>
      <c r="K540" t="s">
        <v>43</v>
      </c>
      <c r="L540" t="s">
        <v>9</v>
      </c>
      <c r="M540" t="s">
        <v>322</v>
      </c>
      <c r="N540" t="str">
        <f t="shared" si="35"/>
        <v>Фролов Сергей ВикторовичКозлова Александра Андреевна</v>
      </c>
      <c r="O540" t="s">
        <v>38</v>
      </c>
      <c r="P540" t="s">
        <v>34</v>
      </c>
      <c r="Q540" t="s">
        <v>298</v>
      </c>
    </row>
    <row r="541" spans="4:17" x14ac:dyDescent="0.25">
      <c r="D541" t="s">
        <v>16</v>
      </c>
      <c r="E541" t="s">
        <v>97</v>
      </c>
      <c r="F541" t="str">
        <f t="shared" si="32"/>
        <v>2024-07-22</v>
      </c>
      <c r="G541" t="str">
        <f t="shared" si="33"/>
        <v>2024-07-22</v>
      </c>
      <c r="H541">
        <f t="shared" si="34"/>
        <v>0</v>
      </c>
      <c r="J541" t="str">
        <f>K541&amp;L541</f>
        <v>Белов Алексей КонстантиновичСмирнова Валерия Станиславовна</v>
      </c>
      <c r="K541" t="s">
        <v>5</v>
      </c>
      <c r="L541" t="s">
        <v>12</v>
      </c>
      <c r="M541" t="s">
        <v>322</v>
      </c>
      <c r="N541" t="str">
        <f t="shared" si="35"/>
        <v>Яковлев Артем ИгоревичВолков Алексей Никитич</v>
      </c>
      <c r="O541" t="s">
        <v>21</v>
      </c>
      <c r="P541" t="s">
        <v>187</v>
      </c>
      <c r="Q541" t="s">
        <v>297</v>
      </c>
    </row>
    <row r="542" spans="4:17" x14ac:dyDescent="0.25">
      <c r="D542" t="s">
        <v>8</v>
      </c>
      <c r="E542" t="s">
        <v>85</v>
      </c>
      <c r="F542" t="str">
        <f t="shared" si="32"/>
        <v>2024-07-24</v>
      </c>
      <c r="G542" t="str">
        <f t="shared" si="33"/>
        <v>2024-07-24</v>
      </c>
      <c r="H542">
        <f t="shared" si="34"/>
        <v>0</v>
      </c>
      <c r="J542" t="str">
        <f>K542&amp;L542</f>
        <v>Кузнецов Дмитрий ЛьвовичЕгоров Иван Андреевич</v>
      </c>
      <c r="K542" t="s">
        <v>11</v>
      </c>
      <c r="L542" t="s">
        <v>186</v>
      </c>
      <c r="M542" t="s">
        <v>322</v>
      </c>
      <c r="N542" t="str">
        <f t="shared" si="35"/>
        <v>Новикова Ольга ПетровнаПопов Иван Егорович</v>
      </c>
      <c r="O542" t="s">
        <v>29</v>
      </c>
      <c r="P542" t="s">
        <v>82</v>
      </c>
      <c r="Q542" t="s">
        <v>297</v>
      </c>
    </row>
    <row r="543" spans="4:17" x14ac:dyDescent="0.25">
      <c r="D543" t="s">
        <v>8</v>
      </c>
      <c r="E543" t="s">
        <v>96</v>
      </c>
      <c r="F543" t="str">
        <f t="shared" si="32"/>
        <v>2023-09-25</v>
      </c>
      <c r="G543" t="str">
        <f t="shared" si="33"/>
        <v>2023-09-25</v>
      </c>
      <c r="H543">
        <f t="shared" si="34"/>
        <v>0</v>
      </c>
      <c r="J543" t="str">
        <f>K543&amp;L543</f>
        <v>Ткаченко Андрей ОлеговичСмирнова Елена Олеговна</v>
      </c>
      <c r="K543" t="s">
        <v>26</v>
      </c>
      <c r="L543" t="s">
        <v>22</v>
      </c>
      <c r="M543" t="s">
        <v>323</v>
      </c>
      <c r="N543" t="str">
        <f t="shared" si="35"/>
        <v>Иванова Анна СергеевнаИванов Артем Павлович</v>
      </c>
      <c r="O543" t="s">
        <v>55</v>
      </c>
      <c r="P543" t="s">
        <v>146</v>
      </c>
      <c r="Q543" t="s">
        <v>297</v>
      </c>
    </row>
    <row r="544" spans="4:17" x14ac:dyDescent="0.25">
      <c r="D544" t="s">
        <v>8</v>
      </c>
      <c r="E544" t="s">
        <v>289</v>
      </c>
      <c r="F544" t="str">
        <f t="shared" si="32"/>
        <v>2024-02-06</v>
      </c>
      <c r="G544" t="str">
        <f t="shared" si="33"/>
        <v>2024-02-06</v>
      </c>
      <c r="H544">
        <f t="shared" si="34"/>
        <v>0</v>
      </c>
      <c r="J544" t="str">
        <f>K544&amp;L544</f>
        <v>Ткаченко Андрей ОлеговичСтепанова Алиса Артемовна</v>
      </c>
      <c r="K544" t="s">
        <v>26</v>
      </c>
      <c r="L544" t="s">
        <v>237</v>
      </c>
      <c r="M544" t="s">
        <v>323</v>
      </c>
      <c r="N544" t="str">
        <f t="shared" si="35"/>
        <v>Орлов Павел ДенисовичСеменов Иван Артемович</v>
      </c>
      <c r="O544" t="s">
        <v>13</v>
      </c>
      <c r="P544" t="s">
        <v>295</v>
      </c>
      <c r="Q544" t="s">
        <v>296</v>
      </c>
    </row>
    <row r="545" spans="4:17" x14ac:dyDescent="0.25">
      <c r="D545" t="s">
        <v>8</v>
      </c>
      <c r="E545" t="s">
        <v>14</v>
      </c>
      <c r="F545" t="str">
        <f t="shared" si="32"/>
        <v>2024-08-22</v>
      </c>
      <c r="G545" t="str">
        <f t="shared" si="33"/>
        <v>2024-08-22</v>
      </c>
      <c r="H545">
        <f t="shared" si="34"/>
        <v>0</v>
      </c>
      <c r="J545" t="str">
        <f>K545&amp;L545</f>
        <v>Орлов Павел ДенисовичЕгоров Иван Андреевич</v>
      </c>
      <c r="K545" t="s">
        <v>13</v>
      </c>
      <c r="L545" t="s">
        <v>186</v>
      </c>
      <c r="M545" t="s">
        <v>323</v>
      </c>
      <c r="N545" t="str">
        <f t="shared" si="35"/>
        <v>Семенова Ирина ВалерьевнаСтепанова Анна Романовна</v>
      </c>
      <c r="O545" t="s">
        <v>16</v>
      </c>
      <c r="P545" t="s">
        <v>234</v>
      </c>
      <c r="Q545" t="s">
        <v>296</v>
      </c>
    </row>
    <row r="546" spans="4:17" x14ac:dyDescent="0.25">
      <c r="D546" t="s">
        <v>8</v>
      </c>
      <c r="E546" t="s">
        <v>172</v>
      </c>
      <c r="F546" t="str">
        <f t="shared" si="32"/>
        <v>2023-10-30</v>
      </c>
      <c r="G546" t="str">
        <f t="shared" si="33"/>
        <v>2023-10-30</v>
      </c>
      <c r="H546">
        <f t="shared" si="34"/>
        <v>0</v>
      </c>
      <c r="J546" t="str">
        <f>K546&amp;L546</f>
        <v>Семенова Ирина ВалерьевнаПопова Полина Сергеевна</v>
      </c>
      <c r="K546" t="s">
        <v>16</v>
      </c>
      <c r="L546" t="s">
        <v>160</v>
      </c>
      <c r="M546" t="s">
        <v>323</v>
      </c>
      <c r="N546" t="str">
        <f t="shared" si="35"/>
        <v>Кузнецов Дмитрий ЛьвовичКузнецова Мария Сергеевна</v>
      </c>
      <c r="O546" t="s">
        <v>11</v>
      </c>
      <c r="P546" t="s">
        <v>168</v>
      </c>
      <c r="Q546" t="s">
        <v>296</v>
      </c>
    </row>
    <row r="547" spans="4:17" x14ac:dyDescent="0.25">
      <c r="D547" t="s">
        <v>8</v>
      </c>
      <c r="E547" t="s">
        <v>151</v>
      </c>
      <c r="F547" t="str">
        <f t="shared" si="32"/>
        <v>2023-12-19</v>
      </c>
      <c r="G547" t="str">
        <f t="shared" si="33"/>
        <v>2023-12-19</v>
      </c>
      <c r="H547">
        <f t="shared" si="34"/>
        <v>0</v>
      </c>
      <c r="J547" t="str">
        <f>K547&amp;L547</f>
        <v>Яковлев Артем ИгоревичПетров Константин Егорович</v>
      </c>
      <c r="K547" t="s">
        <v>21</v>
      </c>
      <c r="L547" t="s">
        <v>102</v>
      </c>
      <c r="M547" t="s">
        <v>324</v>
      </c>
      <c r="N547" t="str">
        <f t="shared" si="35"/>
        <v>Яковлев Артем ИгоревичФедоров Максим Андреевич</v>
      </c>
      <c r="O547" t="s">
        <v>21</v>
      </c>
      <c r="P547" t="s">
        <v>97</v>
      </c>
      <c r="Q547" t="s">
        <v>296</v>
      </c>
    </row>
    <row r="548" spans="4:17" x14ac:dyDescent="0.25">
      <c r="D548" t="s">
        <v>8</v>
      </c>
      <c r="E548" t="s">
        <v>232</v>
      </c>
      <c r="F548" t="str">
        <f t="shared" si="32"/>
        <v>2024-05-15</v>
      </c>
      <c r="G548" t="str">
        <f t="shared" si="33"/>
        <v>2024-06-17</v>
      </c>
      <c r="H548">
        <f t="shared" si="34"/>
        <v>33</v>
      </c>
      <c r="J548" t="str">
        <f>K548&amp;L548</f>
        <v>Громова Мария ИльиничнаСмирнов Илья Андреевич</v>
      </c>
      <c r="K548" t="s">
        <v>43</v>
      </c>
      <c r="L548" t="s">
        <v>258</v>
      </c>
      <c r="M548" t="s">
        <v>324</v>
      </c>
      <c r="N548" t="str">
        <f t="shared" si="35"/>
        <v>Громова Мария ИльиничнаНовикова Людмила Кирилловна</v>
      </c>
      <c r="O548" t="s">
        <v>43</v>
      </c>
      <c r="P548" t="s">
        <v>6</v>
      </c>
      <c r="Q548" t="s">
        <v>296</v>
      </c>
    </row>
    <row r="549" spans="4:17" x14ac:dyDescent="0.25">
      <c r="D549" t="s">
        <v>8</v>
      </c>
      <c r="E549" t="s">
        <v>274</v>
      </c>
      <c r="F549" t="str">
        <f t="shared" si="32"/>
        <v>2024-01-22</v>
      </c>
      <c r="G549" t="str">
        <f t="shared" si="33"/>
        <v>2024-03-27</v>
      </c>
      <c r="H549">
        <f t="shared" si="34"/>
        <v>65</v>
      </c>
      <c r="J549" t="str">
        <f>K549&amp;L549</f>
        <v>Фролов Сергей ВикторовичПетров Константин Егорович</v>
      </c>
      <c r="K549" t="s">
        <v>38</v>
      </c>
      <c r="L549" t="s">
        <v>102</v>
      </c>
      <c r="M549" t="s">
        <v>324</v>
      </c>
      <c r="N549" t="str">
        <f t="shared" si="35"/>
        <v>Петров Владимир КирилловичФедорова Татьяна Викторовна</v>
      </c>
      <c r="O549" t="s">
        <v>19</v>
      </c>
      <c r="P549" t="s">
        <v>104</v>
      </c>
      <c r="Q549" t="s">
        <v>296</v>
      </c>
    </row>
    <row r="550" spans="4:17" x14ac:dyDescent="0.25">
      <c r="D550" t="s">
        <v>8</v>
      </c>
      <c r="E550" t="s">
        <v>27</v>
      </c>
      <c r="F550" t="str">
        <f t="shared" si="32"/>
        <v>2024-08-09</v>
      </c>
      <c r="G550" t="str">
        <f t="shared" si="33"/>
        <v>2024-08-09</v>
      </c>
      <c r="H550">
        <f t="shared" si="34"/>
        <v>0</v>
      </c>
      <c r="J550" t="str">
        <f>K550&amp;L550</f>
        <v>Орлов Павел ДенисовичНовикова Ольга Викторовна</v>
      </c>
      <c r="K550" t="s">
        <v>13</v>
      </c>
      <c r="L550" t="s">
        <v>47</v>
      </c>
      <c r="M550" t="s">
        <v>324</v>
      </c>
      <c r="N550" t="str">
        <f t="shared" si="35"/>
        <v>Фролов Сергей ВикторовичСмирнова Екатерина Ивановна</v>
      </c>
      <c r="O550" t="s">
        <v>38</v>
      </c>
      <c r="P550" t="s">
        <v>28</v>
      </c>
      <c r="Q550" t="s">
        <v>292</v>
      </c>
    </row>
    <row r="551" spans="4:17" x14ac:dyDescent="0.25">
      <c r="D551" t="s">
        <v>8</v>
      </c>
      <c r="E551" t="s">
        <v>220</v>
      </c>
      <c r="F551" t="str">
        <f t="shared" si="32"/>
        <v>2024-05-17</v>
      </c>
      <c r="G551" t="str">
        <f t="shared" si="33"/>
        <v>2024-06-10</v>
      </c>
      <c r="H551">
        <f t="shared" si="34"/>
        <v>24</v>
      </c>
      <c r="J551" t="str">
        <f>K551&amp;L551</f>
        <v>Семенова Ирина ВалерьевнаПопова Наталья Станиславовна</v>
      </c>
      <c r="K551" t="s">
        <v>16</v>
      </c>
      <c r="L551" t="s">
        <v>178</v>
      </c>
      <c r="M551" t="s">
        <v>325</v>
      </c>
      <c r="N551" t="str">
        <f t="shared" si="35"/>
        <v>Ткаченко Андрей ОлеговичЕгоров Никита Олегович</v>
      </c>
      <c r="O551" t="s">
        <v>26</v>
      </c>
      <c r="P551" t="s">
        <v>121</v>
      </c>
      <c r="Q551" t="s">
        <v>292</v>
      </c>
    </row>
    <row r="552" spans="4:17" x14ac:dyDescent="0.25">
      <c r="D552" t="s">
        <v>8</v>
      </c>
      <c r="E552" t="s">
        <v>9</v>
      </c>
      <c r="F552" t="str">
        <f t="shared" si="32"/>
        <v>2023-09-04</v>
      </c>
      <c r="G552" t="str">
        <f t="shared" si="33"/>
        <v>2023-09-04</v>
      </c>
      <c r="H552">
        <f t="shared" si="34"/>
        <v>0</v>
      </c>
      <c r="J552" t="str">
        <f>K552&amp;L552</f>
        <v>Кузнецов Дмитрий ЛьвовичПавлова Наталья Павловна</v>
      </c>
      <c r="K552" t="s">
        <v>11</v>
      </c>
      <c r="L552" t="s">
        <v>144</v>
      </c>
      <c r="M552" t="s">
        <v>325</v>
      </c>
      <c r="N552" t="str">
        <f t="shared" si="35"/>
        <v>Фролов Сергей ВикторовичНовикова Екатерина Павловна</v>
      </c>
      <c r="O552" t="s">
        <v>38</v>
      </c>
      <c r="P552" t="s">
        <v>76</v>
      </c>
      <c r="Q552" t="s">
        <v>292</v>
      </c>
    </row>
    <row r="553" spans="4:17" x14ac:dyDescent="0.25">
      <c r="D553" t="s">
        <v>8</v>
      </c>
      <c r="E553" t="s">
        <v>74</v>
      </c>
      <c r="F553" t="str">
        <f t="shared" si="32"/>
        <v>2024-01-31</v>
      </c>
      <c r="G553" t="str">
        <f t="shared" si="33"/>
        <v>2024-01-31</v>
      </c>
      <c r="H553">
        <f t="shared" si="34"/>
        <v>0</v>
      </c>
      <c r="J553" t="str">
        <f>K553&amp;L553</f>
        <v>Новикова Ольга ПетровнаАлексеев Артур Артемович</v>
      </c>
      <c r="K553" t="s">
        <v>29</v>
      </c>
      <c r="L553" t="s">
        <v>190</v>
      </c>
      <c r="M553" t="s">
        <v>325</v>
      </c>
      <c r="N553" t="str">
        <f t="shared" si="35"/>
        <v>Семенова Ирина ВалерьевнаСтепанов Михаил Ильич</v>
      </c>
      <c r="O553" t="s">
        <v>16</v>
      </c>
      <c r="P553" t="s">
        <v>293</v>
      </c>
      <c r="Q553" t="s">
        <v>292</v>
      </c>
    </row>
    <row r="554" spans="4:17" x14ac:dyDescent="0.25">
      <c r="D554" t="s">
        <v>8</v>
      </c>
      <c r="E554" t="s">
        <v>54</v>
      </c>
      <c r="F554" t="str">
        <f t="shared" si="32"/>
        <v>2023-12-18</v>
      </c>
      <c r="G554" t="str">
        <f t="shared" si="33"/>
        <v>2023-12-22</v>
      </c>
      <c r="H554">
        <f t="shared" si="34"/>
        <v>4</v>
      </c>
      <c r="J554" t="str">
        <f>K554&amp;L554</f>
        <v>Белов Алексей КонстантиновичПетров Павел Юрьевич</v>
      </c>
      <c r="K554" t="s">
        <v>5</v>
      </c>
      <c r="L554" t="s">
        <v>206</v>
      </c>
      <c r="M554" t="s">
        <v>325</v>
      </c>
      <c r="N554" t="str">
        <f t="shared" si="35"/>
        <v>Кузнецов Дмитрий ЛьвовичМорозов Иван Геннадьевич</v>
      </c>
      <c r="O554" t="s">
        <v>11</v>
      </c>
      <c r="P554" t="s">
        <v>257</v>
      </c>
      <c r="Q554" t="s">
        <v>292</v>
      </c>
    </row>
    <row r="555" spans="4:17" x14ac:dyDescent="0.25">
      <c r="D555" t="s">
        <v>8</v>
      </c>
      <c r="E555" t="s">
        <v>294</v>
      </c>
      <c r="F555" t="str">
        <f t="shared" si="32"/>
        <v>2024-07-22</v>
      </c>
      <c r="G555" t="str">
        <f t="shared" si="33"/>
        <v>2024-07-22</v>
      </c>
      <c r="H555">
        <f t="shared" si="34"/>
        <v>0</v>
      </c>
      <c r="J555" t="str">
        <f>K555&amp;L555</f>
        <v>Новикова Ольга ПетровнаФедоров Владимир Артемович</v>
      </c>
      <c r="K555" t="s">
        <v>29</v>
      </c>
      <c r="L555" t="s">
        <v>217</v>
      </c>
      <c r="M555" t="s">
        <v>325</v>
      </c>
      <c r="N555" t="str">
        <f t="shared" si="35"/>
        <v>Новикова Ольга ПетровнаНиколаев Андрей Ильич</v>
      </c>
      <c r="O555" t="s">
        <v>29</v>
      </c>
      <c r="P555" t="s">
        <v>63</v>
      </c>
      <c r="Q555" t="s">
        <v>292</v>
      </c>
    </row>
    <row r="556" spans="4:17" x14ac:dyDescent="0.25">
      <c r="D556" t="s">
        <v>8</v>
      </c>
      <c r="E556" t="s">
        <v>58</v>
      </c>
      <c r="F556" t="str">
        <f t="shared" si="32"/>
        <v>2023-09-12</v>
      </c>
      <c r="G556" t="str">
        <f t="shared" si="33"/>
        <v>2023-09-12</v>
      </c>
      <c r="H556">
        <f t="shared" si="34"/>
        <v>0</v>
      </c>
      <c r="J556" t="str">
        <f>K556&amp;L556</f>
        <v>Яковлев Артем ИгоревичПетрова Ольга Геннадьевна</v>
      </c>
      <c r="K556" t="s">
        <v>21</v>
      </c>
      <c r="L556" t="s">
        <v>184</v>
      </c>
      <c r="M556" t="s">
        <v>325</v>
      </c>
      <c r="N556" t="str">
        <f t="shared" si="35"/>
        <v>Белов Алексей КонстантиновичНиколаева Анна Дмитриевна</v>
      </c>
      <c r="O556" t="s">
        <v>5</v>
      </c>
      <c r="P556" t="s">
        <v>123</v>
      </c>
      <c r="Q556" t="s">
        <v>292</v>
      </c>
    </row>
    <row r="557" spans="4:17" x14ac:dyDescent="0.25">
      <c r="D557" t="s">
        <v>8</v>
      </c>
      <c r="E557" t="s">
        <v>263</v>
      </c>
      <c r="F557" t="str">
        <f t="shared" si="32"/>
        <v>2024-04-22</v>
      </c>
      <c r="G557" t="str">
        <f t="shared" si="33"/>
        <v>2024-04-22</v>
      </c>
      <c r="H557">
        <f t="shared" si="34"/>
        <v>0</v>
      </c>
      <c r="J557" t="str">
        <f>K557&amp;L557</f>
        <v>Семенова Ирина ВалерьевнаСмирнова Елена Олеговна</v>
      </c>
      <c r="K557" t="s">
        <v>16</v>
      </c>
      <c r="L557" t="s">
        <v>22</v>
      </c>
      <c r="M557" t="s">
        <v>325</v>
      </c>
      <c r="N557" t="str">
        <f t="shared" si="35"/>
        <v>Иванова Анна СергеевнаВолкова Виктория Павловна</v>
      </c>
      <c r="O557" t="s">
        <v>55</v>
      </c>
      <c r="P557" t="s">
        <v>294</v>
      </c>
      <c r="Q557" t="s">
        <v>292</v>
      </c>
    </row>
    <row r="558" spans="4:17" x14ac:dyDescent="0.25">
      <c r="D558" t="s">
        <v>8</v>
      </c>
      <c r="E558" t="s">
        <v>64</v>
      </c>
      <c r="F558" t="str">
        <f t="shared" si="32"/>
        <v>2024-02-08</v>
      </c>
      <c r="G558" t="str">
        <f t="shared" si="33"/>
        <v>2024-02-08</v>
      </c>
      <c r="H558">
        <f t="shared" si="34"/>
        <v>0</v>
      </c>
      <c r="J558" t="str">
        <f>K558&amp;L558</f>
        <v>Орлов Павел ДенисовичКозлова Алиса Геннадьевна</v>
      </c>
      <c r="K558" t="s">
        <v>13</v>
      </c>
      <c r="L558" t="s">
        <v>326</v>
      </c>
      <c r="M558" t="s">
        <v>325</v>
      </c>
      <c r="N558" t="str">
        <f t="shared" si="35"/>
        <v>Ткаченко Андрей ОлеговичВасильева Виктория Артемовна</v>
      </c>
      <c r="O558" t="s">
        <v>26</v>
      </c>
      <c r="P558" t="s">
        <v>274</v>
      </c>
      <c r="Q558" t="s">
        <v>291</v>
      </c>
    </row>
    <row r="559" spans="4:17" x14ac:dyDescent="0.25">
      <c r="D559" t="s">
        <v>8</v>
      </c>
      <c r="E559" t="s">
        <v>107</v>
      </c>
      <c r="F559" t="str">
        <f t="shared" si="32"/>
        <v>2024-05-27</v>
      </c>
      <c r="G559" t="str">
        <f t="shared" si="33"/>
        <v>2024-05-27</v>
      </c>
      <c r="H559">
        <f t="shared" si="34"/>
        <v>0</v>
      </c>
      <c r="J559" t="str">
        <f>K559&amp;L559</f>
        <v>Яковлев Артем ИгоревичМорозов Владимир Станиславович</v>
      </c>
      <c r="K559" t="s">
        <v>21</v>
      </c>
      <c r="L559" t="s">
        <v>141</v>
      </c>
      <c r="M559" t="s">
        <v>325</v>
      </c>
      <c r="N559" t="str">
        <f t="shared" si="35"/>
        <v>Семенова Ирина ВалерьевнаНиколаев Андрей Ильич</v>
      </c>
      <c r="O559" t="s">
        <v>16</v>
      </c>
      <c r="P559" t="s">
        <v>63</v>
      </c>
      <c r="Q559" t="s">
        <v>291</v>
      </c>
    </row>
    <row r="560" spans="4:17" x14ac:dyDescent="0.25">
      <c r="D560" t="s">
        <v>8</v>
      </c>
      <c r="E560" t="s">
        <v>186</v>
      </c>
      <c r="F560" t="str">
        <f t="shared" si="32"/>
        <v>2023-11-06</v>
      </c>
      <c r="G560" t="str">
        <f t="shared" si="33"/>
        <v>2023-11-06</v>
      </c>
      <c r="H560">
        <f t="shared" si="34"/>
        <v>0</v>
      </c>
      <c r="J560" t="str">
        <f>K560&amp;L560</f>
        <v>Семенова Ирина ВалерьевнаСтепанов Кирилл Алексеевич</v>
      </c>
      <c r="K560" t="s">
        <v>16</v>
      </c>
      <c r="L560" t="s">
        <v>200</v>
      </c>
      <c r="M560" t="s">
        <v>325</v>
      </c>
      <c r="N560" t="str">
        <f t="shared" si="35"/>
        <v>Яковлев Артем ИгоревичВасильев Матвей Кириллович</v>
      </c>
      <c r="O560" t="s">
        <v>21</v>
      </c>
      <c r="P560" t="s">
        <v>269</v>
      </c>
      <c r="Q560" t="s">
        <v>291</v>
      </c>
    </row>
    <row r="561" spans="4:17" x14ac:dyDescent="0.25">
      <c r="D561" t="s">
        <v>8</v>
      </c>
      <c r="E561" t="s">
        <v>49</v>
      </c>
      <c r="F561" t="str">
        <f t="shared" si="32"/>
        <v>2023-09-11</v>
      </c>
      <c r="G561" t="str">
        <f t="shared" si="33"/>
        <v>2023-09-11</v>
      </c>
      <c r="H561">
        <f t="shared" si="34"/>
        <v>0</v>
      </c>
      <c r="J561" t="str">
        <f>K561&amp;L561</f>
        <v>Яковлев Артем ИгоревичЕгоров Сергей Андреевич</v>
      </c>
      <c r="K561" t="s">
        <v>21</v>
      </c>
      <c r="L561" t="s">
        <v>49</v>
      </c>
      <c r="M561" t="s">
        <v>325</v>
      </c>
      <c r="N561" t="str">
        <f t="shared" si="35"/>
        <v>Фролов Сергей ВикторовичПавлова Наталья Павловна</v>
      </c>
      <c r="O561" t="s">
        <v>38</v>
      </c>
      <c r="P561" t="s">
        <v>144</v>
      </c>
      <c r="Q561" t="s">
        <v>291</v>
      </c>
    </row>
    <row r="562" spans="4:17" x14ac:dyDescent="0.25">
      <c r="D562" t="s">
        <v>8</v>
      </c>
      <c r="E562" t="s">
        <v>149</v>
      </c>
      <c r="F562" t="str">
        <f t="shared" si="32"/>
        <v>2024-05-13</v>
      </c>
      <c r="G562" t="str">
        <f t="shared" si="33"/>
        <v>2024-05-13</v>
      </c>
      <c r="H562">
        <f t="shared" si="34"/>
        <v>0</v>
      </c>
      <c r="J562" t="str">
        <f>K562&amp;L562</f>
        <v>Ткаченко Андрей ОлеговичСеменов Иван Артемович</v>
      </c>
      <c r="K562" t="s">
        <v>26</v>
      </c>
      <c r="L562" t="s">
        <v>295</v>
      </c>
      <c r="M562" t="s">
        <v>325</v>
      </c>
      <c r="N562" t="str">
        <f t="shared" si="35"/>
        <v>Петров Владимир КирилловичАлексеев Никита Алексеевич</v>
      </c>
      <c r="O562" t="s">
        <v>19</v>
      </c>
      <c r="P562" t="s">
        <v>171</v>
      </c>
      <c r="Q562" t="s">
        <v>290</v>
      </c>
    </row>
    <row r="563" spans="4:17" x14ac:dyDescent="0.25">
      <c r="D563" t="s">
        <v>8</v>
      </c>
      <c r="E563" t="s">
        <v>131</v>
      </c>
      <c r="F563" t="str">
        <f t="shared" si="32"/>
        <v>2023-11-15</v>
      </c>
      <c r="G563" t="str">
        <f t="shared" si="33"/>
        <v>2023-11-15</v>
      </c>
      <c r="H563">
        <f t="shared" si="34"/>
        <v>0</v>
      </c>
      <c r="J563" t="str">
        <f>K563&amp;L563</f>
        <v>Громова Мария ИльиничнаФедорова Татьяна Викторовна</v>
      </c>
      <c r="K563" t="s">
        <v>43</v>
      </c>
      <c r="L563" t="s">
        <v>104</v>
      </c>
      <c r="M563" t="s">
        <v>327</v>
      </c>
      <c r="N563" t="str">
        <f t="shared" si="35"/>
        <v>Новикова Ольга ПетровнаВолкова София Александровна</v>
      </c>
      <c r="O563" t="s">
        <v>29</v>
      </c>
      <c r="P563" t="s">
        <v>112</v>
      </c>
      <c r="Q563" t="s">
        <v>290</v>
      </c>
    </row>
    <row r="564" spans="4:17" x14ac:dyDescent="0.25">
      <c r="D564" t="s">
        <v>8</v>
      </c>
      <c r="E564" t="s">
        <v>91</v>
      </c>
      <c r="F564" t="str">
        <f t="shared" si="32"/>
        <v>2024-01-02</v>
      </c>
      <c r="G564" t="str">
        <f t="shared" si="33"/>
        <v>2024-01-02</v>
      </c>
      <c r="H564">
        <f t="shared" si="34"/>
        <v>0</v>
      </c>
      <c r="J564" t="str">
        <f>K564&amp;L564</f>
        <v>Фролов Сергей ВикторовичИванов Андрей Дмитриевич</v>
      </c>
      <c r="K564" t="s">
        <v>38</v>
      </c>
      <c r="L564" t="s">
        <v>328</v>
      </c>
      <c r="M564" t="s">
        <v>329</v>
      </c>
      <c r="N564" t="str">
        <f t="shared" si="35"/>
        <v>Кузнецов Дмитрий ЛьвовичЕгоров Никита Олегович</v>
      </c>
      <c r="O564" t="s">
        <v>11</v>
      </c>
      <c r="P564" t="s">
        <v>121</v>
      </c>
      <c r="Q564" t="s">
        <v>290</v>
      </c>
    </row>
    <row r="565" spans="4:17" x14ac:dyDescent="0.25">
      <c r="D565" t="s">
        <v>8</v>
      </c>
      <c r="E565" t="s">
        <v>161</v>
      </c>
      <c r="F565" t="str">
        <f t="shared" si="32"/>
        <v>2023-10-25</v>
      </c>
      <c r="G565" t="str">
        <f t="shared" si="33"/>
        <v>2023-10-25</v>
      </c>
      <c r="H565">
        <f t="shared" si="34"/>
        <v>0</v>
      </c>
      <c r="J565" t="str">
        <f>K565&amp;L565</f>
        <v>Ткаченко Андрей ОлеговичНиколаева Анна Дмитриевна</v>
      </c>
      <c r="K565" t="s">
        <v>26</v>
      </c>
      <c r="L565" t="s">
        <v>123</v>
      </c>
      <c r="M565" t="s">
        <v>329</v>
      </c>
      <c r="N565" t="str">
        <f t="shared" si="35"/>
        <v>Сидорова Елена ВасильевнаВолкова Светлана Ивановна</v>
      </c>
      <c r="O565" t="s">
        <v>8</v>
      </c>
      <c r="P565" t="s">
        <v>64</v>
      </c>
      <c r="Q565" t="s">
        <v>290</v>
      </c>
    </row>
    <row r="566" spans="4:17" x14ac:dyDescent="0.25">
      <c r="D566" t="s">
        <v>8</v>
      </c>
      <c r="E566" t="s">
        <v>153</v>
      </c>
      <c r="F566" t="str">
        <f t="shared" si="32"/>
        <v>2023-10-30</v>
      </c>
      <c r="G566" t="str">
        <f t="shared" si="33"/>
        <v>2023-10-30</v>
      </c>
      <c r="H566">
        <f t="shared" si="34"/>
        <v>0</v>
      </c>
      <c r="J566" t="str">
        <f>K566&amp;L566</f>
        <v>Сидорова Елена ВасильевнаВасильева Виктория Артемовна</v>
      </c>
      <c r="K566" t="s">
        <v>8</v>
      </c>
      <c r="L566" t="s">
        <v>274</v>
      </c>
      <c r="M566" t="s">
        <v>329</v>
      </c>
      <c r="N566" t="str">
        <f t="shared" si="35"/>
        <v>Орлов Павел ДенисовичСтепанова Алиса Артемовна</v>
      </c>
      <c r="O566" t="s">
        <v>13</v>
      </c>
      <c r="P566" t="s">
        <v>237</v>
      </c>
      <c r="Q566" t="s">
        <v>290</v>
      </c>
    </row>
    <row r="567" spans="4:17" x14ac:dyDescent="0.25">
      <c r="D567" t="s">
        <v>8</v>
      </c>
      <c r="E567" t="s">
        <v>30</v>
      </c>
      <c r="F567" t="str">
        <f t="shared" si="32"/>
        <v>2023-09-21</v>
      </c>
      <c r="G567" t="str">
        <f t="shared" si="33"/>
        <v>2024-02-06</v>
      </c>
      <c r="H567">
        <f t="shared" si="34"/>
        <v>138</v>
      </c>
      <c r="J567" t="str">
        <f>K567&amp;L567</f>
        <v>Белов Алексей КонстантиновичВасильев Егор Павлович</v>
      </c>
      <c r="K567" t="s">
        <v>5</v>
      </c>
      <c r="L567" t="s">
        <v>65</v>
      </c>
      <c r="M567" t="s">
        <v>330</v>
      </c>
      <c r="N567" t="str">
        <f t="shared" si="35"/>
        <v>Сидорова Елена ВасильевнаКузнецов Егор Андреевич</v>
      </c>
      <c r="O567" t="s">
        <v>8</v>
      </c>
      <c r="P567" t="s">
        <v>30</v>
      </c>
      <c r="Q567" t="s">
        <v>288</v>
      </c>
    </row>
    <row r="568" spans="4:17" x14ac:dyDescent="0.25">
      <c r="D568" t="s">
        <v>8</v>
      </c>
      <c r="E568" t="s">
        <v>92</v>
      </c>
      <c r="F568" t="str">
        <f t="shared" si="32"/>
        <v>2024-01-31</v>
      </c>
      <c r="G568" t="str">
        <f t="shared" si="33"/>
        <v>2024-06-21</v>
      </c>
      <c r="H568">
        <f t="shared" si="34"/>
        <v>142</v>
      </c>
      <c r="J568" t="str">
        <f>K568&amp;L568</f>
        <v>Иванова Анна СергеевнаНиколаева Мария Никитична</v>
      </c>
      <c r="K568" t="s">
        <v>55</v>
      </c>
      <c r="L568" t="s">
        <v>211</v>
      </c>
      <c r="M568" t="s">
        <v>330</v>
      </c>
      <c r="N568" t="str">
        <f t="shared" si="35"/>
        <v>Ткаченко Андрей ОлеговичЛебедева Валерия Геннадьевна</v>
      </c>
      <c r="O568" t="s">
        <v>26</v>
      </c>
      <c r="P568" t="s">
        <v>177</v>
      </c>
      <c r="Q568" t="s">
        <v>288</v>
      </c>
    </row>
    <row r="569" spans="4:17" x14ac:dyDescent="0.25">
      <c r="D569" t="s">
        <v>8</v>
      </c>
      <c r="E569" t="s">
        <v>411</v>
      </c>
      <c r="F569" t="str">
        <f t="shared" si="32"/>
        <v>2024-08-19</v>
      </c>
      <c r="G569" t="str">
        <f t="shared" si="33"/>
        <v>2024-08-19</v>
      </c>
      <c r="H569">
        <f t="shared" si="34"/>
        <v>0</v>
      </c>
      <c r="J569" t="str">
        <f>K569&amp;L569</f>
        <v>Петров Владимир КирилловичНовикова София Ивановна</v>
      </c>
      <c r="K569" t="s">
        <v>19</v>
      </c>
      <c r="L569" t="s">
        <v>33</v>
      </c>
      <c r="M569" t="s">
        <v>330</v>
      </c>
      <c r="N569" t="str">
        <f t="shared" si="35"/>
        <v>Петров Владимир КирилловичПавлов Андрей Владимирович</v>
      </c>
      <c r="O569" t="s">
        <v>19</v>
      </c>
      <c r="P569" t="s">
        <v>199</v>
      </c>
      <c r="Q569" t="s">
        <v>288</v>
      </c>
    </row>
    <row r="570" spans="4:17" x14ac:dyDescent="0.25">
      <c r="D570" t="s">
        <v>8</v>
      </c>
      <c r="E570" t="s">
        <v>278</v>
      </c>
      <c r="F570" t="str">
        <f t="shared" si="32"/>
        <v>2024-07-15</v>
      </c>
      <c r="G570" t="str">
        <f t="shared" si="33"/>
        <v>2024-07-15</v>
      </c>
      <c r="H570">
        <f t="shared" si="34"/>
        <v>0</v>
      </c>
      <c r="J570" t="str">
        <f>K570&amp;L570</f>
        <v>Кузнецов Дмитрий ЛьвовичНовикова София Ивановна</v>
      </c>
      <c r="K570" t="s">
        <v>11</v>
      </c>
      <c r="L570" t="s">
        <v>33</v>
      </c>
      <c r="M570" t="s">
        <v>330</v>
      </c>
      <c r="N570" t="str">
        <f t="shared" si="35"/>
        <v>Сидорова Елена ВасильевнаАлексеева Ольга Дмитриевна</v>
      </c>
      <c r="O570" t="s">
        <v>8</v>
      </c>
      <c r="P570" t="s">
        <v>289</v>
      </c>
      <c r="Q570" t="s">
        <v>288</v>
      </c>
    </row>
    <row r="571" spans="4:17" x14ac:dyDescent="0.25">
      <c r="D571" t="s">
        <v>8</v>
      </c>
      <c r="E571" t="s">
        <v>129</v>
      </c>
      <c r="F571" t="str">
        <f t="shared" si="32"/>
        <v>2024-06-05</v>
      </c>
      <c r="G571" t="str">
        <f t="shared" si="33"/>
        <v>2024-06-05</v>
      </c>
      <c r="H571">
        <f t="shared" si="34"/>
        <v>0</v>
      </c>
      <c r="J571" t="str">
        <f>K571&amp;L571</f>
        <v>Петров Владимир КирилловичОрлов Владимир Никитич</v>
      </c>
      <c r="K571" t="s">
        <v>19</v>
      </c>
      <c r="L571" t="s">
        <v>32</v>
      </c>
      <c r="M571" t="s">
        <v>330</v>
      </c>
      <c r="N571" t="str">
        <f t="shared" si="35"/>
        <v>Семенова Ирина ВалерьевнаМорозов Иван Геннадьевич</v>
      </c>
      <c r="O571" t="s">
        <v>16</v>
      </c>
      <c r="P571" t="s">
        <v>257</v>
      </c>
      <c r="Q571" t="s">
        <v>288</v>
      </c>
    </row>
    <row r="572" spans="4:17" x14ac:dyDescent="0.25">
      <c r="D572" t="s">
        <v>8</v>
      </c>
      <c r="E572" t="s">
        <v>36</v>
      </c>
      <c r="F572" t="str">
        <f t="shared" si="32"/>
        <v>2024-07-16</v>
      </c>
      <c r="G572" t="str">
        <f t="shared" si="33"/>
        <v>2024-07-16</v>
      </c>
      <c r="H572">
        <f t="shared" si="34"/>
        <v>0</v>
      </c>
      <c r="J572" t="str">
        <f>K572&amp;L572</f>
        <v>Кузнецов Дмитрий ЛьвовичСмирнова Мария Артемовна</v>
      </c>
      <c r="K572" t="s">
        <v>11</v>
      </c>
      <c r="L572" t="s">
        <v>44</v>
      </c>
      <c r="M572" t="s">
        <v>331</v>
      </c>
      <c r="N572" t="str">
        <f t="shared" si="35"/>
        <v>Белов Алексей КонстантиновичПопова Полина Юрьевна</v>
      </c>
      <c r="O572" t="s">
        <v>5</v>
      </c>
      <c r="P572" t="s">
        <v>248</v>
      </c>
      <c r="Q572" t="s">
        <v>287</v>
      </c>
    </row>
    <row r="573" spans="4:17" x14ac:dyDescent="0.25">
      <c r="D573" t="s">
        <v>8</v>
      </c>
      <c r="E573" t="s">
        <v>33</v>
      </c>
      <c r="F573" t="str">
        <f t="shared" si="32"/>
        <v>2023-10-09</v>
      </c>
      <c r="G573" t="str">
        <f t="shared" si="33"/>
        <v>2024-06-18</v>
      </c>
      <c r="H573">
        <f t="shared" si="34"/>
        <v>253</v>
      </c>
      <c r="J573" t="str">
        <f>K573&amp;L573</f>
        <v>Громова Мария ИльиничнаОрлов Владимир Александрович</v>
      </c>
      <c r="K573" t="s">
        <v>43</v>
      </c>
      <c r="L573" t="s">
        <v>106</v>
      </c>
      <c r="M573" t="s">
        <v>331</v>
      </c>
      <c r="N573" t="str">
        <f t="shared" si="35"/>
        <v>Яковлев Артем ИгоревичВасильев Матвей Кириллович</v>
      </c>
      <c r="O573" t="s">
        <v>21</v>
      </c>
      <c r="P573" t="s">
        <v>269</v>
      </c>
      <c r="Q573" t="s">
        <v>287</v>
      </c>
    </row>
    <row r="574" spans="4:17" x14ac:dyDescent="0.25">
      <c r="D574" t="s">
        <v>8</v>
      </c>
      <c r="E574" t="s">
        <v>106</v>
      </c>
      <c r="F574" t="str">
        <f t="shared" si="32"/>
        <v>2024-01-15</v>
      </c>
      <c r="G574" t="str">
        <f t="shared" si="33"/>
        <v>2024-01-15</v>
      </c>
      <c r="H574">
        <f t="shared" si="34"/>
        <v>0</v>
      </c>
      <c r="J574" t="str">
        <f>K574&amp;L574</f>
        <v>Кузнецов Дмитрий ЛьвовичПопов Никита Андреевич</v>
      </c>
      <c r="K574" t="s">
        <v>11</v>
      </c>
      <c r="L574" t="s">
        <v>165</v>
      </c>
      <c r="M574" t="s">
        <v>332</v>
      </c>
      <c r="N574" t="str">
        <f t="shared" si="35"/>
        <v>Иванова Анна СергеевнаСмирнов Роман Кириллович</v>
      </c>
      <c r="O574" t="s">
        <v>55</v>
      </c>
      <c r="P574" t="s">
        <v>125</v>
      </c>
      <c r="Q574" t="s">
        <v>287</v>
      </c>
    </row>
    <row r="575" spans="4:17" x14ac:dyDescent="0.25">
      <c r="D575" t="s">
        <v>8</v>
      </c>
      <c r="E575" t="s">
        <v>32</v>
      </c>
      <c r="F575" t="str">
        <f t="shared" si="32"/>
        <v>2024-04-30</v>
      </c>
      <c r="G575" t="str">
        <f t="shared" si="33"/>
        <v>2024-04-30</v>
      </c>
      <c r="H575">
        <f t="shared" si="34"/>
        <v>0</v>
      </c>
      <c r="J575" t="str">
        <f>K575&amp;L575</f>
        <v>Фролов Сергей ВикторовичПавлов Михаил Андреевич</v>
      </c>
      <c r="K575" t="s">
        <v>38</v>
      </c>
      <c r="L575" t="s">
        <v>39</v>
      </c>
      <c r="M575" t="s">
        <v>332</v>
      </c>
      <c r="N575" t="str">
        <f t="shared" si="35"/>
        <v>Сидорова Елена ВасильевнаСмирнова Екатерина Ивановна</v>
      </c>
      <c r="O575" t="s">
        <v>8</v>
      </c>
      <c r="P575" t="s">
        <v>28</v>
      </c>
      <c r="Q575" t="s">
        <v>287</v>
      </c>
    </row>
    <row r="576" spans="4:17" x14ac:dyDescent="0.25">
      <c r="D576" t="s">
        <v>8</v>
      </c>
      <c r="E576" t="s">
        <v>37</v>
      </c>
      <c r="F576" t="str">
        <f t="shared" si="32"/>
        <v>2024-01-08</v>
      </c>
      <c r="G576" t="str">
        <f t="shared" si="33"/>
        <v>2024-01-08</v>
      </c>
      <c r="H576">
        <f t="shared" si="34"/>
        <v>0</v>
      </c>
      <c r="J576" t="str">
        <f>K576&amp;L576</f>
        <v>Новикова Ольга ПетровнаПопов Роман Владимирович</v>
      </c>
      <c r="K576" t="s">
        <v>29</v>
      </c>
      <c r="L576" t="s">
        <v>88</v>
      </c>
      <c r="M576" t="s">
        <v>332</v>
      </c>
      <c r="N576" t="str">
        <f t="shared" si="35"/>
        <v>Кузнецов Дмитрий ЛьвовичАлексеева Мария Олеговна</v>
      </c>
      <c r="O576" t="s">
        <v>11</v>
      </c>
      <c r="P576" t="s">
        <v>72</v>
      </c>
      <c r="Q576" t="s">
        <v>287</v>
      </c>
    </row>
    <row r="577" spans="4:17" x14ac:dyDescent="0.25">
      <c r="D577" t="s">
        <v>8</v>
      </c>
      <c r="E577" t="s">
        <v>126</v>
      </c>
      <c r="F577" t="str">
        <f t="shared" si="32"/>
        <v>2024-06-17</v>
      </c>
      <c r="G577" t="str">
        <f t="shared" si="33"/>
        <v>2024-07-17</v>
      </c>
      <c r="H577">
        <f t="shared" si="34"/>
        <v>30</v>
      </c>
      <c r="J577" t="str">
        <f>K577&amp;L577</f>
        <v>Громова Мария ИльиничнаВолкова Полина Юрьевна</v>
      </c>
      <c r="K577" t="s">
        <v>43</v>
      </c>
      <c r="L577" t="s">
        <v>263</v>
      </c>
      <c r="M577" t="s">
        <v>332</v>
      </c>
      <c r="N577" t="str">
        <f t="shared" si="35"/>
        <v>Иванова Анна СергеевнаСеменов Никита Александрович</v>
      </c>
      <c r="O577" t="s">
        <v>55</v>
      </c>
      <c r="P577" t="s">
        <v>73</v>
      </c>
      <c r="Q577" t="s">
        <v>287</v>
      </c>
    </row>
    <row r="578" spans="4:17" x14ac:dyDescent="0.25">
      <c r="D578" t="s">
        <v>8</v>
      </c>
      <c r="E578" t="s">
        <v>130</v>
      </c>
      <c r="F578" t="str">
        <f t="shared" si="32"/>
        <v>2023-10-10</v>
      </c>
      <c r="G578" t="str">
        <f t="shared" si="33"/>
        <v>2023-10-10</v>
      </c>
      <c r="H578">
        <f t="shared" si="34"/>
        <v>0</v>
      </c>
      <c r="J578" t="str">
        <f>K578&amp;L578</f>
        <v>Фролов Сергей ВикторовичСмирнова Екатерина Ивановна</v>
      </c>
      <c r="K578" t="s">
        <v>38</v>
      </c>
      <c r="L578" t="s">
        <v>28</v>
      </c>
      <c r="M578" t="s">
        <v>332</v>
      </c>
      <c r="N578" t="str">
        <f t="shared" si="35"/>
        <v>Семенова Ирина ВалерьевнаАлексеева Валерия Викторовна</v>
      </c>
      <c r="O578" t="s">
        <v>16</v>
      </c>
      <c r="P578" t="s">
        <v>96</v>
      </c>
      <c r="Q578" t="s">
        <v>287</v>
      </c>
    </row>
    <row r="579" spans="4:17" x14ac:dyDescent="0.25">
      <c r="D579" t="s">
        <v>8</v>
      </c>
      <c r="E579" t="s">
        <v>206</v>
      </c>
      <c r="F579" t="str">
        <f t="shared" ref="F579:F642" si="36">VLOOKUP(D579&amp;E579,J:M,4,0)</f>
        <v>2024-06-18</v>
      </c>
      <c r="G579" t="str">
        <f t="shared" ref="G579:G642" si="37">VLOOKUP(D579&amp;E579,N:Q,4,0)</f>
        <v>2024-06-18</v>
      </c>
      <c r="H579">
        <f t="shared" ref="H579:H642" si="38">G579-F579</f>
        <v>0</v>
      </c>
      <c r="J579" t="str">
        <f>K579&amp;L579</f>
        <v>Кузнецов Дмитрий ЛьвовичПетрова Валерия Викторовна</v>
      </c>
      <c r="K579" t="s">
        <v>11</v>
      </c>
      <c r="L579" t="s">
        <v>275</v>
      </c>
      <c r="M579" t="s">
        <v>332</v>
      </c>
      <c r="N579" t="str">
        <f t="shared" ref="N579:N642" si="39">O579&amp;P579</f>
        <v>Фролов Сергей ВикторовичЕгорова Татьяна Ильинична</v>
      </c>
      <c r="O579" t="s">
        <v>38</v>
      </c>
      <c r="P579" t="s">
        <v>188</v>
      </c>
      <c r="Q579" t="s">
        <v>287</v>
      </c>
    </row>
    <row r="580" spans="4:17" x14ac:dyDescent="0.25">
      <c r="D580" t="s">
        <v>8</v>
      </c>
      <c r="E580" t="s">
        <v>109</v>
      </c>
      <c r="F580" t="str">
        <f t="shared" si="36"/>
        <v>2024-06-10</v>
      </c>
      <c r="G580" t="str">
        <f t="shared" si="37"/>
        <v>2024-06-10</v>
      </c>
      <c r="H580">
        <f t="shared" si="38"/>
        <v>0</v>
      </c>
      <c r="J580" t="str">
        <f>K580&amp;L580</f>
        <v>Семенова Ирина ВалерьевнаПетров Дмитрий Никитич</v>
      </c>
      <c r="K580" t="s">
        <v>16</v>
      </c>
      <c r="L580" t="s">
        <v>130</v>
      </c>
      <c r="M580" t="s">
        <v>332</v>
      </c>
      <c r="N580" t="str">
        <f t="shared" si="39"/>
        <v>Орлов Павел ДенисовичВолков Алексей Никитич</v>
      </c>
      <c r="O580" t="s">
        <v>13</v>
      </c>
      <c r="P580" t="s">
        <v>187</v>
      </c>
      <c r="Q580" t="s">
        <v>286</v>
      </c>
    </row>
    <row r="581" spans="4:17" x14ac:dyDescent="0.25">
      <c r="D581" t="s">
        <v>8</v>
      </c>
      <c r="E581" t="s">
        <v>71</v>
      </c>
      <c r="F581" t="str">
        <f t="shared" si="36"/>
        <v>2024-01-29</v>
      </c>
      <c r="G581" t="str">
        <f t="shared" si="37"/>
        <v>2024-01-29</v>
      </c>
      <c r="H581">
        <f t="shared" si="38"/>
        <v>0</v>
      </c>
      <c r="J581" t="str">
        <f>K581&amp;L581</f>
        <v>Ткаченко Андрей ОлеговичКузнецов Артем Юрьевич</v>
      </c>
      <c r="K581" t="s">
        <v>26</v>
      </c>
      <c r="L581" t="s">
        <v>265</v>
      </c>
      <c r="M581" t="s">
        <v>332</v>
      </c>
      <c r="N581" t="str">
        <f t="shared" si="39"/>
        <v>Петров Владимир КирилловичСмирнова Екатерина Ивановна</v>
      </c>
      <c r="O581" t="s">
        <v>19</v>
      </c>
      <c r="P581" t="s">
        <v>28</v>
      </c>
      <c r="Q581" t="s">
        <v>286</v>
      </c>
    </row>
    <row r="582" spans="4:17" x14ac:dyDescent="0.25">
      <c r="D582" t="s">
        <v>8</v>
      </c>
      <c r="E582" t="s">
        <v>333</v>
      </c>
      <c r="F582" t="str">
        <f t="shared" si="36"/>
        <v>2024-04-01</v>
      </c>
      <c r="G582" t="str">
        <f t="shared" si="37"/>
        <v>2024-04-01</v>
      </c>
      <c r="H582">
        <f t="shared" si="38"/>
        <v>0</v>
      </c>
      <c r="J582" t="str">
        <f>K582&amp;L582</f>
        <v>Сидорова Елена ВасильевнаПетрова Людмила Олеговна</v>
      </c>
      <c r="K582" t="s">
        <v>8</v>
      </c>
      <c r="L582" t="s">
        <v>333</v>
      </c>
      <c r="M582" t="s">
        <v>332</v>
      </c>
      <c r="N582" t="str">
        <f t="shared" si="39"/>
        <v>Петров Владимир КирилловичВолкова Анна Станиславовна</v>
      </c>
      <c r="O582" t="s">
        <v>19</v>
      </c>
      <c r="P582" t="s">
        <v>54</v>
      </c>
      <c r="Q582" t="s">
        <v>286</v>
      </c>
    </row>
    <row r="583" spans="4:17" x14ac:dyDescent="0.25">
      <c r="D583" t="s">
        <v>8</v>
      </c>
      <c r="E583" t="s">
        <v>184</v>
      </c>
      <c r="F583" t="str">
        <f t="shared" si="36"/>
        <v>2024-05-16</v>
      </c>
      <c r="G583" t="str">
        <f t="shared" si="37"/>
        <v>2024-05-16</v>
      </c>
      <c r="H583">
        <f t="shared" si="38"/>
        <v>0</v>
      </c>
      <c r="J583" t="str">
        <f>K583&amp;L583</f>
        <v>Петров Владимир КирилловичСтепанова Алиса Артемовна</v>
      </c>
      <c r="K583" t="s">
        <v>19</v>
      </c>
      <c r="L583" t="s">
        <v>237</v>
      </c>
      <c r="M583" t="s">
        <v>332</v>
      </c>
      <c r="N583" t="str">
        <f t="shared" si="39"/>
        <v>Петров Владимир КирилловичЕгоров Сергей Андреевич</v>
      </c>
      <c r="O583" t="s">
        <v>19</v>
      </c>
      <c r="P583" t="s">
        <v>49</v>
      </c>
      <c r="Q583" t="s">
        <v>285</v>
      </c>
    </row>
    <row r="584" spans="4:17" x14ac:dyDescent="0.25">
      <c r="D584" t="s">
        <v>8</v>
      </c>
      <c r="E584" t="s">
        <v>61</v>
      </c>
      <c r="F584" t="str">
        <f t="shared" si="36"/>
        <v>2023-11-01</v>
      </c>
      <c r="G584" t="str">
        <f t="shared" si="37"/>
        <v>2023-11-01</v>
      </c>
      <c r="H584">
        <f t="shared" si="38"/>
        <v>0</v>
      </c>
      <c r="J584" t="str">
        <f>K584&amp;L584</f>
        <v>Орлов Павел ДенисовичПопов Иван Егорович</v>
      </c>
      <c r="K584" t="s">
        <v>13</v>
      </c>
      <c r="L584" t="s">
        <v>82</v>
      </c>
      <c r="M584" t="s">
        <v>332</v>
      </c>
      <c r="N584" t="str">
        <f t="shared" si="39"/>
        <v>Сидорова Елена ВасильевнаКузнецов Кирилл Александрович</v>
      </c>
      <c r="O584" t="s">
        <v>8</v>
      </c>
      <c r="P584" t="s">
        <v>92</v>
      </c>
      <c r="Q584" t="s">
        <v>285</v>
      </c>
    </row>
    <row r="585" spans="4:17" x14ac:dyDescent="0.25">
      <c r="D585" t="s">
        <v>8</v>
      </c>
      <c r="E585" t="s">
        <v>138</v>
      </c>
      <c r="F585" t="str">
        <f t="shared" si="36"/>
        <v>2024-04-29</v>
      </c>
      <c r="G585" t="str">
        <f t="shared" si="37"/>
        <v>2024-04-29</v>
      </c>
      <c r="H585">
        <f t="shared" si="38"/>
        <v>0</v>
      </c>
      <c r="J585" t="str">
        <f>K585&amp;L585</f>
        <v>Семенова Ирина ВалерьевнаНиколаева Алиса Ильинична</v>
      </c>
      <c r="K585" t="s">
        <v>16</v>
      </c>
      <c r="L585" t="s">
        <v>67</v>
      </c>
      <c r="M585" t="s">
        <v>332</v>
      </c>
      <c r="N585" t="str">
        <f t="shared" si="39"/>
        <v>Сидорова Елена ВасильевнаВолков Павел Иванович</v>
      </c>
      <c r="O585" t="s">
        <v>8</v>
      </c>
      <c r="P585" t="s">
        <v>74</v>
      </c>
      <c r="Q585" t="s">
        <v>285</v>
      </c>
    </row>
    <row r="586" spans="4:17" x14ac:dyDescent="0.25">
      <c r="D586" t="s">
        <v>8</v>
      </c>
      <c r="E586" t="s">
        <v>88</v>
      </c>
      <c r="F586" t="str">
        <f t="shared" si="36"/>
        <v>2024-07-22</v>
      </c>
      <c r="G586" t="str">
        <f t="shared" si="37"/>
        <v>2024-07-22</v>
      </c>
      <c r="H586">
        <f t="shared" si="38"/>
        <v>0</v>
      </c>
      <c r="J586" t="str">
        <f>K586&amp;L586</f>
        <v>Громова Мария ИльиничнаЕгорова Юлия Никитична</v>
      </c>
      <c r="K586" t="s">
        <v>43</v>
      </c>
      <c r="L586" t="s">
        <v>264</v>
      </c>
      <c r="M586" t="s">
        <v>332</v>
      </c>
      <c r="N586" t="str">
        <f t="shared" si="39"/>
        <v>Семенова Ирина ВалерьевнаФедоров Владимир Артемович</v>
      </c>
      <c r="O586" t="s">
        <v>16</v>
      </c>
      <c r="P586" t="s">
        <v>217</v>
      </c>
      <c r="Q586" t="s">
        <v>285</v>
      </c>
    </row>
    <row r="587" spans="4:17" x14ac:dyDescent="0.25">
      <c r="D587" t="s">
        <v>8</v>
      </c>
      <c r="E587" t="s">
        <v>18</v>
      </c>
      <c r="F587" t="str">
        <f t="shared" si="36"/>
        <v>2024-05-03</v>
      </c>
      <c r="G587" t="str">
        <f t="shared" si="37"/>
        <v>2024-05-03</v>
      </c>
      <c r="H587">
        <f t="shared" si="38"/>
        <v>0</v>
      </c>
      <c r="J587" t="str">
        <f>K587&amp;L587</f>
        <v>Орлов Павел ДенисовичНиколаева Анна Михайловна</v>
      </c>
      <c r="K587" t="s">
        <v>13</v>
      </c>
      <c r="L587" t="s">
        <v>129</v>
      </c>
      <c r="M587" t="s">
        <v>334</v>
      </c>
      <c r="N587" t="str">
        <f t="shared" si="39"/>
        <v>Громова Мария ИльиничнаПопов Никита Андреевич</v>
      </c>
      <c r="O587" t="s">
        <v>43</v>
      </c>
      <c r="P587" t="s">
        <v>165</v>
      </c>
      <c r="Q587" t="s">
        <v>284</v>
      </c>
    </row>
    <row r="588" spans="4:17" x14ac:dyDescent="0.25">
      <c r="D588" t="s">
        <v>8</v>
      </c>
      <c r="E588" t="s">
        <v>94</v>
      </c>
      <c r="F588" t="str">
        <f t="shared" si="36"/>
        <v>2023-09-25</v>
      </c>
      <c r="G588" t="str">
        <f t="shared" si="37"/>
        <v>2024-08-12</v>
      </c>
      <c r="H588">
        <f t="shared" si="38"/>
        <v>322</v>
      </c>
      <c r="J588" t="str">
        <f>K588&amp;L588</f>
        <v>Семенова Ирина ВалерьевнаЕгоров Илья Андреевич</v>
      </c>
      <c r="K588" t="s">
        <v>16</v>
      </c>
      <c r="L588" t="s">
        <v>221</v>
      </c>
      <c r="M588" t="s">
        <v>334</v>
      </c>
      <c r="N588" t="str">
        <f t="shared" si="39"/>
        <v>Белов Алексей КонстантиновичПетрова Виктория Юрьевна</v>
      </c>
      <c r="O588" t="s">
        <v>5</v>
      </c>
      <c r="P588" t="s">
        <v>71</v>
      </c>
      <c r="Q588" t="s">
        <v>284</v>
      </c>
    </row>
    <row r="589" spans="4:17" x14ac:dyDescent="0.25">
      <c r="D589" t="s">
        <v>8</v>
      </c>
      <c r="E589" t="s">
        <v>255</v>
      </c>
      <c r="F589" t="str">
        <f t="shared" si="36"/>
        <v>2024-01-08</v>
      </c>
      <c r="G589" t="str">
        <f t="shared" si="37"/>
        <v>2024-01-08</v>
      </c>
      <c r="H589">
        <f t="shared" si="38"/>
        <v>0</v>
      </c>
      <c r="J589" t="str">
        <f>K589&amp;L589</f>
        <v>Семенова Ирина ВалерьевнаОрлов Андрей Никитич</v>
      </c>
      <c r="K589" t="s">
        <v>16</v>
      </c>
      <c r="L589" t="s">
        <v>111</v>
      </c>
      <c r="M589" t="s">
        <v>334</v>
      </c>
      <c r="N589" t="str">
        <f t="shared" si="39"/>
        <v>Петров Владимир КирилловичПавлов Сергей Олегович</v>
      </c>
      <c r="O589" t="s">
        <v>19</v>
      </c>
      <c r="P589" t="s">
        <v>209</v>
      </c>
      <c r="Q589" t="s">
        <v>284</v>
      </c>
    </row>
    <row r="590" spans="4:17" x14ac:dyDescent="0.25">
      <c r="D590" t="s">
        <v>8</v>
      </c>
      <c r="E590" t="s">
        <v>173</v>
      </c>
      <c r="F590" t="str">
        <f t="shared" si="36"/>
        <v>2024-03-15</v>
      </c>
      <c r="G590" t="str">
        <f t="shared" si="37"/>
        <v>2024-03-15</v>
      </c>
      <c r="H590">
        <f t="shared" si="38"/>
        <v>0</v>
      </c>
      <c r="J590" t="str">
        <f>K590&amp;L590</f>
        <v>Петров Владимир КирилловичИванов Георгий Павлович</v>
      </c>
      <c r="K590" t="s">
        <v>19</v>
      </c>
      <c r="L590" t="s">
        <v>149</v>
      </c>
      <c r="M590" t="s">
        <v>334</v>
      </c>
      <c r="N590" t="str">
        <f t="shared" si="39"/>
        <v>Фролов Сергей ВикторовичВасильев Андрей Дмитриевич</v>
      </c>
      <c r="O590" t="s">
        <v>38</v>
      </c>
      <c r="P590" t="s">
        <v>172</v>
      </c>
      <c r="Q590" t="s">
        <v>284</v>
      </c>
    </row>
    <row r="591" spans="4:17" x14ac:dyDescent="0.25">
      <c r="D591" t="s">
        <v>8</v>
      </c>
      <c r="E591" t="s">
        <v>45</v>
      </c>
      <c r="F591" t="str">
        <f t="shared" si="36"/>
        <v>2023-09-08</v>
      </c>
      <c r="G591" t="str">
        <f t="shared" si="37"/>
        <v>2023-09-08</v>
      </c>
      <c r="H591">
        <f t="shared" si="38"/>
        <v>0</v>
      </c>
      <c r="J591" t="str">
        <f>K591&amp;L591</f>
        <v>Петров Владимир КирилловичЕгорова Юлия Никитична</v>
      </c>
      <c r="K591" t="s">
        <v>19</v>
      </c>
      <c r="L591" t="s">
        <v>264</v>
      </c>
      <c r="M591" t="s">
        <v>335</v>
      </c>
      <c r="N591" t="str">
        <f t="shared" si="39"/>
        <v>Громова Мария ИльиничнаСмирнов Илья Андреевич</v>
      </c>
      <c r="O591" t="s">
        <v>43</v>
      </c>
      <c r="P591" t="s">
        <v>258</v>
      </c>
      <c r="Q591" t="s">
        <v>282</v>
      </c>
    </row>
    <row r="592" spans="4:17" x14ac:dyDescent="0.25">
      <c r="D592" t="s">
        <v>8</v>
      </c>
      <c r="E592" t="s">
        <v>156</v>
      </c>
      <c r="F592" t="str">
        <f t="shared" si="36"/>
        <v>2023-10-24</v>
      </c>
      <c r="G592" t="str">
        <f t="shared" si="37"/>
        <v>2023-10-24</v>
      </c>
      <c r="H592">
        <f t="shared" si="38"/>
        <v>0</v>
      </c>
      <c r="J592" t="str">
        <f>K592&amp;L592</f>
        <v>Семенова Ирина ВалерьевнаПетрова Алиса Егоровна</v>
      </c>
      <c r="K592" t="s">
        <v>16</v>
      </c>
      <c r="L592" t="s">
        <v>109</v>
      </c>
      <c r="M592" t="s">
        <v>335</v>
      </c>
      <c r="N592" t="str">
        <f t="shared" si="39"/>
        <v>Иванова Анна СергеевнаОрлов Андрей Александрович</v>
      </c>
      <c r="O592" t="s">
        <v>55</v>
      </c>
      <c r="P592" t="s">
        <v>283</v>
      </c>
      <c r="Q592" t="s">
        <v>282</v>
      </c>
    </row>
    <row r="593" spans="4:17" x14ac:dyDescent="0.25">
      <c r="D593" t="s">
        <v>8</v>
      </c>
      <c r="E593" t="s">
        <v>272</v>
      </c>
      <c r="F593" t="str">
        <f t="shared" si="36"/>
        <v>2024-06-26</v>
      </c>
      <c r="G593" t="str">
        <f t="shared" si="37"/>
        <v>2024-06-26</v>
      </c>
      <c r="H593">
        <f t="shared" si="38"/>
        <v>0</v>
      </c>
      <c r="J593" t="str">
        <f>K593&amp;L593</f>
        <v>Белов Алексей КонстантиновичВолков Павел Иванович</v>
      </c>
      <c r="K593" t="s">
        <v>5</v>
      </c>
      <c r="L593" t="s">
        <v>74</v>
      </c>
      <c r="M593" t="s">
        <v>336</v>
      </c>
      <c r="N593" t="str">
        <f t="shared" si="39"/>
        <v>Яковлев Артем ИгоревичСмирнова Валерия Станиславовна</v>
      </c>
      <c r="O593" t="s">
        <v>21</v>
      </c>
      <c r="P593" t="s">
        <v>12</v>
      </c>
      <c r="Q593" t="s">
        <v>282</v>
      </c>
    </row>
    <row r="594" spans="4:17" x14ac:dyDescent="0.25">
      <c r="D594" t="s">
        <v>8</v>
      </c>
      <c r="E594" t="s">
        <v>125</v>
      </c>
      <c r="F594" t="str">
        <f t="shared" si="36"/>
        <v>2024-04-08</v>
      </c>
      <c r="G594" t="str">
        <f t="shared" si="37"/>
        <v>2024-04-08</v>
      </c>
      <c r="H594">
        <f t="shared" si="38"/>
        <v>0</v>
      </c>
      <c r="J594" t="str">
        <f>K594&amp;L594</f>
        <v>Яковлев Артем ИгоревичСидоров Кирилл Михайлович</v>
      </c>
      <c r="K594" t="s">
        <v>21</v>
      </c>
      <c r="L594" t="s">
        <v>59</v>
      </c>
      <c r="M594" t="s">
        <v>336</v>
      </c>
      <c r="N594" t="str">
        <f t="shared" si="39"/>
        <v>Яковлев Артем ИгоревичПетрова Ольга Геннадьевна</v>
      </c>
      <c r="O594" t="s">
        <v>21</v>
      </c>
      <c r="P594" t="s">
        <v>184</v>
      </c>
      <c r="Q594" t="s">
        <v>282</v>
      </c>
    </row>
    <row r="595" spans="4:17" x14ac:dyDescent="0.25">
      <c r="D595" t="s">
        <v>8</v>
      </c>
      <c r="E595" t="s">
        <v>28</v>
      </c>
      <c r="F595" t="str">
        <f t="shared" si="36"/>
        <v>2024-02-05</v>
      </c>
      <c r="G595" t="str">
        <f t="shared" si="37"/>
        <v>2024-02-05</v>
      </c>
      <c r="H595">
        <f t="shared" si="38"/>
        <v>0</v>
      </c>
      <c r="J595" t="str">
        <f>K595&amp;L595</f>
        <v>Яковлев Артем ИгоревичВолкова Полина Юрьевна</v>
      </c>
      <c r="K595" t="s">
        <v>21</v>
      </c>
      <c r="L595" t="s">
        <v>263</v>
      </c>
      <c r="M595" t="s">
        <v>337</v>
      </c>
      <c r="N595" t="str">
        <f t="shared" si="39"/>
        <v>Семенова Ирина ВалерьевнаВолков Алексей Никитич</v>
      </c>
      <c r="O595" t="s">
        <v>16</v>
      </c>
      <c r="P595" t="s">
        <v>187</v>
      </c>
      <c r="Q595" t="s">
        <v>282</v>
      </c>
    </row>
    <row r="596" spans="4:17" x14ac:dyDescent="0.25">
      <c r="D596" t="s">
        <v>8</v>
      </c>
      <c r="E596" t="s">
        <v>22</v>
      </c>
      <c r="F596" t="str">
        <f t="shared" si="36"/>
        <v>2023-10-31</v>
      </c>
      <c r="G596" t="str">
        <f t="shared" si="37"/>
        <v>2024-04-17</v>
      </c>
      <c r="H596">
        <f t="shared" si="38"/>
        <v>169</v>
      </c>
      <c r="J596" t="str">
        <f>K596&amp;L596</f>
        <v>Иванова Анна СергеевнаВолкова Людмила Кирилловна</v>
      </c>
      <c r="K596" t="s">
        <v>55</v>
      </c>
      <c r="L596" t="s">
        <v>139</v>
      </c>
      <c r="M596" t="s">
        <v>337</v>
      </c>
      <c r="N596" t="str">
        <f t="shared" si="39"/>
        <v>Сидорова Елена ВасильевнаФедоров Андрей Владимирович</v>
      </c>
      <c r="O596" t="s">
        <v>8</v>
      </c>
      <c r="P596" t="s">
        <v>79</v>
      </c>
      <c r="Q596" t="s">
        <v>282</v>
      </c>
    </row>
    <row r="597" spans="4:17" x14ac:dyDescent="0.25">
      <c r="D597" t="s">
        <v>8</v>
      </c>
      <c r="E597" t="s">
        <v>46</v>
      </c>
      <c r="F597" t="str">
        <f t="shared" si="36"/>
        <v>2023-09-08</v>
      </c>
      <c r="G597" t="str">
        <f t="shared" si="37"/>
        <v>2023-12-18</v>
      </c>
      <c r="H597">
        <f t="shared" si="38"/>
        <v>101</v>
      </c>
      <c r="J597" t="str">
        <f>K597&amp;L597</f>
        <v>Ткаченко Андрей ОлеговичСмирнова Екатерина Геннадьевна</v>
      </c>
      <c r="K597" t="s">
        <v>26</v>
      </c>
      <c r="L597" t="s">
        <v>169</v>
      </c>
      <c r="M597" t="s">
        <v>338</v>
      </c>
      <c r="N597" t="str">
        <f t="shared" si="39"/>
        <v>Фролов Сергей ВикторовичЕгорова Татьяна Ильинична</v>
      </c>
      <c r="O597" t="s">
        <v>38</v>
      </c>
      <c r="P597" t="s">
        <v>188</v>
      </c>
      <c r="Q597" t="s">
        <v>282</v>
      </c>
    </row>
    <row r="598" spans="4:17" x14ac:dyDescent="0.25">
      <c r="D598" t="s">
        <v>8</v>
      </c>
      <c r="E598" t="s">
        <v>234</v>
      </c>
      <c r="F598" t="str">
        <f t="shared" si="36"/>
        <v>2023-12-15</v>
      </c>
      <c r="G598" t="str">
        <f t="shared" si="37"/>
        <v>2024-08-29</v>
      </c>
      <c r="H598">
        <f t="shared" si="38"/>
        <v>258</v>
      </c>
      <c r="J598" t="str">
        <f>K598&amp;L598</f>
        <v>Ткаченко Андрей ОлеговичАлексеев Егор Юрьевич</v>
      </c>
      <c r="K598" t="s">
        <v>26</v>
      </c>
      <c r="L598" t="s">
        <v>193</v>
      </c>
      <c r="M598" t="s">
        <v>338</v>
      </c>
      <c r="N598" t="str">
        <f t="shared" si="39"/>
        <v>Петров Владимир КирилловичКузнецов Кирилл Павлович</v>
      </c>
      <c r="O598" t="s">
        <v>19</v>
      </c>
      <c r="P598" t="s">
        <v>167</v>
      </c>
      <c r="Q598" t="s">
        <v>282</v>
      </c>
    </row>
    <row r="599" spans="4:17" x14ac:dyDescent="0.25">
      <c r="D599" t="s">
        <v>8</v>
      </c>
      <c r="E599" t="s">
        <v>79</v>
      </c>
      <c r="F599" t="str">
        <f t="shared" si="36"/>
        <v>2024-01-29</v>
      </c>
      <c r="G599" t="str">
        <f t="shared" si="37"/>
        <v>2024-01-29</v>
      </c>
      <c r="H599">
        <f t="shared" si="38"/>
        <v>0</v>
      </c>
      <c r="J599" t="str">
        <f>K599&amp;L599</f>
        <v>Белов Алексей КонстантиновичПетрова Валерия Викторовна</v>
      </c>
      <c r="K599" t="s">
        <v>5</v>
      </c>
      <c r="L599" t="s">
        <v>275</v>
      </c>
      <c r="M599" t="s">
        <v>338</v>
      </c>
      <c r="N599" t="str">
        <f t="shared" si="39"/>
        <v>Новикова Ольга ПетровнаПавлова Наталья Павловна</v>
      </c>
      <c r="O599" t="s">
        <v>29</v>
      </c>
      <c r="P599" t="s">
        <v>144</v>
      </c>
      <c r="Q599" t="s">
        <v>282</v>
      </c>
    </row>
    <row r="600" spans="4:17" x14ac:dyDescent="0.25">
      <c r="D600" t="s">
        <v>8</v>
      </c>
      <c r="E600" t="s">
        <v>97</v>
      </c>
      <c r="F600" t="str">
        <f t="shared" si="36"/>
        <v>2024-04-22</v>
      </c>
      <c r="G600" t="str">
        <f t="shared" si="37"/>
        <v>2024-04-22</v>
      </c>
      <c r="H600">
        <f t="shared" si="38"/>
        <v>0</v>
      </c>
      <c r="J600" t="str">
        <f>K600&amp;L600</f>
        <v>Петров Владимир КирилловичПопов Никита Андреевич</v>
      </c>
      <c r="K600" t="s">
        <v>19</v>
      </c>
      <c r="L600" t="s">
        <v>165</v>
      </c>
      <c r="M600" t="s">
        <v>338</v>
      </c>
      <c r="N600" t="str">
        <f t="shared" si="39"/>
        <v>Яковлев Артем ИгоревичСмирнов Илья Андреевич</v>
      </c>
      <c r="O600" t="s">
        <v>21</v>
      </c>
      <c r="P600" t="s">
        <v>258</v>
      </c>
      <c r="Q600" t="s">
        <v>282</v>
      </c>
    </row>
    <row r="601" spans="4:17" x14ac:dyDescent="0.25">
      <c r="D601" t="s">
        <v>8</v>
      </c>
      <c r="E601" t="s">
        <v>25</v>
      </c>
      <c r="F601" t="str">
        <f t="shared" si="36"/>
        <v>2023-09-05</v>
      </c>
      <c r="G601" t="str">
        <f t="shared" si="37"/>
        <v>2023-09-05</v>
      </c>
      <c r="H601">
        <f t="shared" si="38"/>
        <v>0</v>
      </c>
      <c r="J601" t="str">
        <f>K601&amp;L601</f>
        <v>Петров Владимир КирилловичПавлов Михаил Андреевич</v>
      </c>
      <c r="K601" t="s">
        <v>19</v>
      </c>
      <c r="L601" t="s">
        <v>39</v>
      </c>
      <c r="M601" t="s">
        <v>338</v>
      </c>
      <c r="N601" t="str">
        <f t="shared" si="39"/>
        <v>Фролов Сергей ВикторовичФедоров Максим Андреевич</v>
      </c>
      <c r="O601" t="s">
        <v>38</v>
      </c>
      <c r="P601" t="s">
        <v>97</v>
      </c>
      <c r="Q601" t="s">
        <v>282</v>
      </c>
    </row>
    <row r="602" spans="4:17" x14ac:dyDescent="0.25">
      <c r="D602" t="s">
        <v>26</v>
      </c>
      <c r="E602" t="s">
        <v>190</v>
      </c>
      <c r="F602" t="str">
        <f t="shared" si="36"/>
        <v>2024-01-12</v>
      </c>
      <c r="G602" t="str">
        <f t="shared" si="37"/>
        <v>2024-01-12</v>
      </c>
      <c r="H602">
        <f t="shared" si="38"/>
        <v>0</v>
      </c>
      <c r="J602" t="str">
        <f>K602&amp;L602</f>
        <v>Ткаченко Андрей ОлеговичСеменова Людмила Олеговна</v>
      </c>
      <c r="K602" t="s">
        <v>26</v>
      </c>
      <c r="L602" t="s">
        <v>339</v>
      </c>
      <c r="M602" t="s">
        <v>338</v>
      </c>
      <c r="N602" t="str">
        <f t="shared" si="39"/>
        <v>Сидорова Елена ВасильевнаПетрова Виктория Юрьевна</v>
      </c>
      <c r="O602" t="s">
        <v>8</v>
      </c>
      <c r="P602" t="s">
        <v>71</v>
      </c>
      <c r="Q602" t="s">
        <v>282</v>
      </c>
    </row>
    <row r="603" spans="4:17" x14ac:dyDescent="0.25">
      <c r="D603" t="s">
        <v>26</v>
      </c>
      <c r="E603" t="s">
        <v>193</v>
      </c>
      <c r="F603" t="str">
        <f t="shared" si="36"/>
        <v>2023-11-09</v>
      </c>
      <c r="G603" t="str">
        <f t="shared" si="37"/>
        <v>2024-04-08</v>
      </c>
      <c r="H603">
        <f t="shared" si="38"/>
        <v>151</v>
      </c>
      <c r="J603" t="str">
        <f>K603&amp;L603</f>
        <v>Сидорова Елена ВасильевнаСмирнов Роман Кириллович</v>
      </c>
      <c r="K603" t="s">
        <v>8</v>
      </c>
      <c r="L603" t="s">
        <v>125</v>
      </c>
      <c r="M603" t="s">
        <v>338</v>
      </c>
      <c r="N603" t="str">
        <f t="shared" si="39"/>
        <v>Кузнецов Дмитрий ЛьвовичАлексеева Валерия Викторовна</v>
      </c>
      <c r="O603" t="s">
        <v>11</v>
      </c>
      <c r="P603" t="s">
        <v>96</v>
      </c>
      <c r="Q603" t="s">
        <v>281</v>
      </c>
    </row>
    <row r="604" spans="4:17" x14ac:dyDescent="0.25">
      <c r="D604" t="s">
        <v>26</v>
      </c>
      <c r="E604" t="s">
        <v>171</v>
      </c>
      <c r="F604" t="str">
        <f t="shared" si="36"/>
        <v>2024-08-02</v>
      </c>
      <c r="G604" t="str">
        <f t="shared" si="37"/>
        <v>2024-08-02</v>
      </c>
      <c r="H604">
        <f t="shared" si="38"/>
        <v>0</v>
      </c>
      <c r="J604" t="str">
        <f>K604&amp;L604</f>
        <v>Яковлев Артем ИгоревичСеменов Иван Артемович</v>
      </c>
      <c r="K604" t="s">
        <v>21</v>
      </c>
      <c r="L604" t="s">
        <v>295</v>
      </c>
      <c r="M604" t="s">
        <v>338</v>
      </c>
      <c r="N604" t="str">
        <f t="shared" si="39"/>
        <v>Громова Мария ИльиничнаОрлова Вероника Андреевна</v>
      </c>
      <c r="O604" t="s">
        <v>43</v>
      </c>
      <c r="P604" t="s">
        <v>100</v>
      </c>
      <c r="Q604" t="s">
        <v>280</v>
      </c>
    </row>
    <row r="605" spans="4:17" x14ac:dyDescent="0.25">
      <c r="D605" t="s">
        <v>26</v>
      </c>
      <c r="E605" t="s">
        <v>72</v>
      </c>
      <c r="F605" t="str">
        <f t="shared" si="36"/>
        <v>2024-04-15</v>
      </c>
      <c r="G605" t="str">
        <f t="shared" si="37"/>
        <v>2024-04-15</v>
      </c>
      <c r="H605">
        <f t="shared" si="38"/>
        <v>0</v>
      </c>
      <c r="J605" t="str">
        <f>K605&amp;L605</f>
        <v>Иванова Анна СергеевнаЛебедева София Алексеевна</v>
      </c>
      <c r="K605" t="s">
        <v>55</v>
      </c>
      <c r="L605" t="s">
        <v>340</v>
      </c>
      <c r="M605" t="s">
        <v>341</v>
      </c>
      <c r="N605" t="str">
        <f t="shared" si="39"/>
        <v>Кузнецов Дмитрий ЛьвовичНовикова Екатерина Павловна</v>
      </c>
      <c r="O605" t="s">
        <v>11</v>
      </c>
      <c r="P605" t="s">
        <v>76</v>
      </c>
      <c r="Q605" t="s">
        <v>279</v>
      </c>
    </row>
    <row r="606" spans="4:17" x14ac:dyDescent="0.25">
      <c r="D606" t="s">
        <v>26</v>
      </c>
      <c r="E606" t="s">
        <v>289</v>
      </c>
      <c r="F606" t="str">
        <f t="shared" si="36"/>
        <v>2024-08-02</v>
      </c>
      <c r="G606" t="str">
        <f t="shared" si="37"/>
        <v>2024-08-02</v>
      </c>
      <c r="H606">
        <f t="shared" si="38"/>
        <v>0</v>
      </c>
      <c r="J606" t="str">
        <f>K606&amp;L606</f>
        <v>Иванова Анна СергеевнаКозлова Наталья Романовна</v>
      </c>
      <c r="K606" t="s">
        <v>55</v>
      </c>
      <c r="L606" t="s">
        <v>342</v>
      </c>
      <c r="M606" t="s">
        <v>341</v>
      </c>
      <c r="N606" t="str">
        <f t="shared" si="39"/>
        <v>Громова Мария ИльиничнаАлексеев Михаил Алексеевич</v>
      </c>
      <c r="O606" t="s">
        <v>43</v>
      </c>
      <c r="P606" t="s">
        <v>85</v>
      </c>
      <c r="Q606" t="s">
        <v>279</v>
      </c>
    </row>
    <row r="607" spans="4:17" x14ac:dyDescent="0.25">
      <c r="D607" t="s">
        <v>26</v>
      </c>
      <c r="E607" t="s">
        <v>93</v>
      </c>
      <c r="F607" t="str">
        <f t="shared" si="36"/>
        <v>2023-12-04</v>
      </c>
      <c r="G607" t="str">
        <f t="shared" si="37"/>
        <v>2024-01-22</v>
      </c>
      <c r="H607">
        <f t="shared" si="38"/>
        <v>49</v>
      </c>
      <c r="J607" t="str">
        <f>K607&amp;L607</f>
        <v>Иванова Анна СергеевнаСмирнова Елена Олеговна</v>
      </c>
      <c r="K607" t="s">
        <v>55</v>
      </c>
      <c r="L607" t="s">
        <v>22</v>
      </c>
      <c r="M607" t="s">
        <v>341</v>
      </c>
      <c r="N607" t="str">
        <f t="shared" si="39"/>
        <v>Яковлев Артем ИгоревичКозлова Екатерина Викторовна</v>
      </c>
      <c r="O607" t="s">
        <v>21</v>
      </c>
      <c r="P607" t="s">
        <v>202</v>
      </c>
      <c r="Q607" t="s">
        <v>279</v>
      </c>
    </row>
    <row r="608" spans="4:17" x14ac:dyDescent="0.25">
      <c r="D608" t="s">
        <v>26</v>
      </c>
      <c r="E608" t="s">
        <v>232</v>
      </c>
      <c r="F608" t="str">
        <f t="shared" si="36"/>
        <v>2023-12-14</v>
      </c>
      <c r="G608" t="str">
        <f t="shared" si="37"/>
        <v>2023-12-14</v>
      </c>
      <c r="H608">
        <f t="shared" si="38"/>
        <v>0</v>
      </c>
      <c r="J608" t="str">
        <f>K608&amp;L608</f>
        <v>Петров Владимир КирилловичСтепанова Алиса Артемовна</v>
      </c>
      <c r="K608" t="s">
        <v>19</v>
      </c>
      <c r="L608" t="s">
        <v>237</v>
      </c>
      <c r="M608" t="s">
        <v>341</v>
      </c>
      <c r="N608" t="str">
        <f t="shared" si="39"/>
        <v>Орлов Павел ДенисовичКузнецов Алексей Олегович</v>
      </c>
      <c r="O608" t="s">
        <v>13</v>
      </c>
      <c r="P608" t="s">
        <v>216</v>
      </c>
      <c r="Q608" t="s">
        <v>277</v>
      </c>
    </row>
    <row r="609" spans="4:17" x14ac:dyDescent="0.25">
      <c r="D609" t="s">
        <v>26</v>
      </c>
      <c r="E609" t="s">
        <v>274</v>
      </c>
      <c r="F609" t="str">
        <f t="shared" si="36"/>
        <v>2024-02-09</v>
      </c>
      <c r="G609" t="str">
        <f t="shared" si="37"/>
        <v>2024-02-09</v>
      </c>
      <c r="H609">
        <f t="shared" si="38"/>
        <v>0</v>
      </c>
      <c r="J609" t="str">
        <f>K609&amp;L609</f>
        <v>Фролов Сергей ВикторовичСидоров Кирилл Михайлович</v>
      </c>
      <c r="K609" t="s">
        <v>38</v>
      </c>
      <c r="L609" t="s">
        <v>59</v>
      </c>
      <c r="M609" t="s">
        <v>341</v>
      </c>
      <c r="N609" t="str">
        <f t="shared" si="39"/>
        <v>Новикова Ольга ПетровнаВасильев Андрей Павлович</v>
      </c>
      <c r="O609" t="s">
        <v>29</v>
      </c>
      <c r="P609" t="s">
        <v>151</v>
      </c>
      <c r="Q609" t="s">
        <v>277</v>
      </c>
    </row>
    <row r="610" spans="4:17" x14ac:dyDescent="0.25">
      <c r="D610" t="s">
        <v>26</v>
      </c>
      <c r="E610" t="s">
        <v>57</v>
      </c>
      <c r="F610" t="str">
        <f t="shared" si="36"/>
        <v>2024-07-31</v>
      </c>
      <c r="G610" t="str">
        <f t="shared" si="37"/>
        <v>2024-07-31</v>
      </c>
      <c r="H610">
        <f t="shared" si="38"/>
        <v>0</v>
      </c>
      <c r="J610" t="str">
        <f>K610&amp;L610</f>
        <v>Петров Владимир КирилловичНиколаева Анна Дмитриевна</v>
      </c>
      <c r="K610" t="s">
        <v>19</v>
      </c>
      <c r="L610" t="s">
        <v>123</v>
      </c>
      <c r="M610" t="s">
        <v>343</v>
      </c>
      <c r="N610" t="str">
        <f t="shared" si="39"/>
        <v>Петров Владимир КирилловичВасильева Дарья Андреевна</v>
      </c>
      <c r="O610" t="s">
        <v>19</v>
      </c>
      <c r="P610" t="s">
        <v>57</v>
      </c>
      <c r="Q610" t="s">
        <v>277</v>
      </c>
    </row>
    <row r="611" spans="4:17" x14ac:dyDescent="0.25">
      <c r="D611" t="s">
        <v>26</v>
      </c>
      <c r="E611" t="s">
        <v>51</v>
      </c>
      <c r="F611" t="str">
        <f t="shared" si="36"/>
        <v>2024-02-22</v>
      </c>
      <c r="G611" t="str">
        <f t="shared" si="37"/>
        <v>2024-02-22</v>
      </c>
      <c r="H611">
        <f t="shared" si="38"/>
        <v>0</v>
      </c>
      <c r="J611" t="str">
        <f>K611&amp;L611</f>
        <v>Новикова Ольга ПетровнаПавлова Наталья Павловна</v>
      </c>
      <c r="K611" t="s">
        <v>29</v>
      </c>
      <c r="L611" t="s">
        <v>144</v>
      </c>
      <c r="M611" t="s">
        <v>343</v>
      </c>
      <c r="N611" t="str">
        <f t="shared" si="39"/>
        <v>Орлов Павел ДенисовичФедорова Екатерина Владимировна</v>
      </c>
      <c r="O611" t="s">
        <v>13</v>
      </c>
      <c r="P611" t="s">
        <v>25</v>
      </c>
      <c r="Q611" t="s">
        <v>277</v>
      </c>
    </row>
    <row r="612" spans="4:17" x14ac:dyDescent="0.25">
      <c r="D612" t="s">
        <v>26</v>
      </c>
      <c r="E612" t="s">
        <v>187</v>
      </c>
      <c r="F612" t="str">
        <f t="shared" si="36"/>
        <v>2024-07-26</v>
      </c>
      <c r="G612" t="str">
        <f t="shared" si="37"/>
        <v>2024-07-26</v>
      </c>
      <c r="H612">
        <f t="shared" si="38"/>
        <v>0</v>
      </c>
      <c r="J612" t="str">
        <f>K612&amp;L612</f>
        <v>Новикова Ольга ПетровнаСеменова Полина Сергеевна</v>
      </c>
      <c r="K612" t="s">
        <v>29</v>
      </c>
      <c r="L612" t="s">
        <v>183</v>
      </c>
      <c r="M612" t="s">
        <v>343</v>
      </c>
      <c r="N612" t="str">
        <f t="shared" si="39"/>
        <v>Белов Алексей КонстантиновичМорозов Андрей Алексеевич</v>
      </c>
      <c r="O612" t="s">
        <v>5</v>
      </c>
      <c r="P612" t="s">
        <v>278</v>
      </c>
      <c r="Q612" t="s">
        <v>277</v>
      </c>
    </row>
    <row r="613" spans="4:17" x14ac:dyDescent="0.25">
      <c r="D613" t="s">
        <v>26</v>
      </c>
      <c r="E613" t="s">
        <v>74</v>
      </c>
      <c r="F613" t="str">
        <f t="shared" si="36"/>
        <v>2024-03-05</v>
      </c>
      <c r="G613" t="str">
        <f t="shared" si="37"/>
        <v>2024-03-05</v>
      </c>
      <c r="H613">
        <f t="shared" si="38"/>
        <v>0</v>
      </c>
      <c r="J613" t="str">
        <f>K613&amp;L613</f>
        <v>Орлов Павел ДенисовичКузнецов Егор Андреевич</v>
      </c>
      <c r="K613" t="s">
        <v>13</v>
      </c>
      <c r="L613" t="s">
        <v>30</v>
      </c>
      <c r="M613" t="s">
        <v>344</v>
      </c>
      <c r="N613" t="str">
        <f t="shared" si="39"/>
        <v>Яковлев Артем ИгоревичМорозов Илья Станиславович</v>
      </c>
      <c r="O613" t="s">
        <v>21</v>
      </c>
      <c r="P613" t="s">
        <v>114</v>
      </c>
      <c r="Q613" t="s">
        <v>273</v>
      </c>
    </row>
    <row r="614" spans="4:17" x14ac:dyDescent="0.25">
      <c r="D614" t="s">
        <v>26</v>
      </c>
      <c r="E614" t="s">
        <v>42</v>
      </c>
      <c r="F614" t="str">
        <f t="shared" si="36"/>
        <v>2024-07-12</v>
      </c>
      <c r="G614" t="str">
        <f t="shared" si="37"/>
        <v>2024-07-12</v>
      </c>
      <c r="H614">
        <f t="shared" si="38"/>
        <v>0</v>
      </c>
      <c r="J614" t="str">
        <f>K614&amp;L614</f>
        <v>Петров Владимир КирилловичОрлов Владимир Никитич</v>
      </c>
      <c r="K614" t="s">
        <v>19</v>
      </c>
      <c r="L614" t="s">
        <v>32</v>
      </c>
      <c r="M614" t="s">
        <v>345</v>
      </c>
      <c r="N614" t="str">
        <f t="shared" si="39"/>
        <v>Ткаченко Андрей ОлеговичАлексеева Юлия Никитична</v>
      </c>
      <c r="O614" t="s">
        <v>26</v>
      </c>
      <c r="P614" t="s">
        <v>93</v>
      </c>
      <c r="Q614" t="s">
        <v>273</v>
      </c>
    </row>
    <row r="615" spans="4:17" x14ac:dyDescent="0.25">
      <c r="D615" t="s">
        <v>26</v>
      </c>
      <c r="E615" t="s">
        <v>64</v>
      </c>
      <c r="F615" t="str">
        <f t="shared" si="36"/>
        <v>2023-09-13</v>
      </c>
      <c r="G615" t="str">
        <f t="shared" si="37"/>
        <v>2023-11-07</v>
      </c>
      <c r="H615">
        <f t="shared" si="38"/>
        <v>55</v>
      </c>
      <c r="J615" t="str">
        <f>K615&amp;L615</f>
        <v>Белов Алексей КонстантиновичПетров Дмитрий Сергеевич</v>
      </c>
      <c r="K615" t="s">
        <v>5</v>
      </c>
      <c r="L615" t="s">
        <v>84</v>
      </c>
      <c r="M615" t="s">
        <v>345</v>
      </c>
      <c r="N615" t="str">
        <f t="shared" si="39"/>
        <v>Сидорова Елена ВасильевнаВасильева Виктория Артемовна</v>
      </c>
      <c r="O615" t="s">
        <v>8</v>
      </c>
      <c r="P615" t="s">
        <v>274</v>
      </c>
      <c r="Q615" t="s">
        <v>273</v>
      </c>
    </row>
    <row r="616" spans="4:17" x14ac:dyDescent="0.25">
      <c r="D616" t="s">
        <v>26</v>
      </c>
      <c r="E616" t="s">
        <v>121</v>
      </c>
      <c r="F616" t="str">
        <f t="shared" si="36"/>
        <v>2024-02-12</v>
      </c>
      <c r="G616" t="str">
        <f t="shared" si="37"/>
        <v>2024-06-25</v>
      </c>
      <c r="H616">
        <f t="shared" si="38"/>
        <v>134</v>
      </c>
      <c r="J616" t="str">
        <f>K616&amp;L616</f>
        <v>Кузнецов Дмитрий ЛьвовичВасильев Андрей Дмитриевич</v>
      </c>
      <c r="K616" t="s">
        <v>11</v>
      </c>
      <c r="L616" t="s">
        <v>172</v>
      </c>
      <c r="M616" t="s">
        <v>345</v>
      </c>
      <c r="N616" t="str">
        <f t="shared" si="39"/>
        <v>Фролов Сергей ВикторовичПетров Павел Юрьевич</v>
      </c>
      <c r="O616" t="s">
        <v>38</v>
      </c>
      <c r="P616" t="s">
        <v>206</v>
      </c>
      <c r="Q616" t="s">
        <v>273</v>
      </c>
    </row>
    <row r="617" spans="4:17" x14ac:dyDescent="0.25">
      <c r="D617" t="s">
        <v>26</v>
      </c>
      <c r="E617" t="s">
        <v>49</v>
      </c>
      <c r="F617" t="str">
        <f t="shared" si="36"/>
        <v>2024-07-24</v>
      </c>
      <c r="G617" t="str">
        <f t="shared" si="37"/>
        <v>2024-07-24</v>
      </c>
      <c r="H617">
        <f t="shared" si="38"/>
        <v>0</v>
      </c>
      <c r="J617" t="str">
        <f>K617&amp;L617</f>
        <v>Семенова Ирина ВалерьевнаПопова Светлана Геннадьевна</v>
      </c>
      <c r="K617" t="s">
        <v>16</v>
      </c>
      <c r="L617" t="s">
        <v>18</v>
      </c>
      <c r="M617" t="s">
        <v>345</v>
      </c>
      <c r="N617" t="str">
        <f t="shared" si="39"/>
        <v>Кузнецов Дмитрий ЛьвовичПетрова Валерия Викторовна</v>
      </c>
      <c r="O617" t="s">
        <v>11</v>
      </c>
      <c r="P617" t="s">
        <v>275</v>
      </c>
      <c r="Q617" t="s">
        <v>273</v>
      </c>
    </row>
    <row r="618" spans="4:17" x14ac:dyDescent="0.25">
      <c r="D618" t="s">
        <v>26</v>
      </c>
      <c r="E618" t="s">
        <v>328</v>
      </c>
      <c r="F618" t="str">
        <f t="shared" si="36"/>
        <v>2024-06-03</v>
      </c>
      <c r="G618" t="str">
        <f t="shared" si="37"/>
        <v>2024-06-03</v>
      </c>
      <c r="H618">
        <f t="shared" si="38"/>
        <v>0</v>
      </c>
      <c r="J618" t="str">
        <f>K618&amp;L618</f>
        <v>Яковлев Артем ИгоревичНовикова Екатерина Павловна</v>
      </c>
      <c r="K618" t="s">
        <v>21</v>
      </c>
      <c r="L618" t="s">
        <v>76</v>
      </c>
      <c r="M618" t="s">
        <v>345</v>
      </c>
      <c r="N618" t="str">
        <f t="shared" si="39"/>
        <v>Белов Алексей КонстантиновичПопов Роман Владимирович</v>
      </c>
      <c r="O618" t="s">
        <v>5</v>
      </c>
      <c r="P618" t="s">
        <v>88</v>
      </c>
      <c r="Q618" t="s">
        <v>273</v>
      </c>
    </row>
    <row r="619" spans="4:17" x14ac:dyDescent="0.25">
      <c r="D619" t="s">
        <v>26</v>
      </c>
      <c r="E619" t="s">
        <v>149</v>
      </c>
      <c r="F619" t="str">
        <f t="shared" si="36"/>
        <v>2023-11-20</v>
      </c>
      <c r="G619" t="str">
        <f t="shared" si="37"/>
        <v>2023-11-20</v>
      </c>
      <c r="H619">
        <f t="shared" si="38"/>
        <v>0</v>
      </c>
      <c r="J619" t="str">
        <f>K619&amp;L619</f>
        <v>Орлов Павел ДенисовичПетрова Валерия Викторовна</v>
      </c>
      <c r="K619" t="s">
        <v>13</v>
      </c>
      <c r="L619" t="s">
        <v>275</v>
      </c>
      <c r="M619" t="s">
        <v>345</v>
      </c>
      <c r="N619" t="str">
        <f t="shared" si="39"/>
        <v>Белов Алексей КонстантиновичСтепанова Ирина Алексеевна</v>
      </c>
      <c r="O619" t="s">
        <v>5</v>
      </c>
      <c r="P619" t="s">
        <v>276</v>
      </c>
      <c r="Q619" t="s">
        <v>273</v>
      </c>
    </row>
    <row r="620" spans="4:17" x14ac:dyDescent="0.25">
      <c r="D620" t="s">
        <v>26</v>
      </c>
      <c r="E620" t="s">
        <v>91</v>
      </c>
      <c r="F620" t="str">
        <f t="shared" si="36"/>
        <v>2024-01-22</v>
      </c>
      <c r="G620" t="str">
        <f t="shared" si="37"/>
        <v>2024-01-22</v>
      </c>
      <c r="H620">
        <f t="shared" si="38"/>
        <v>0</v>
      </c>
      <c r="J620" t="str">
        <f>K620&amp;L620</f>
        <v>Семенова Ирина ВалерьевнаВасильева Виктория Артемовна</v>
      </c>
      <c r="K620" t="s">
        <v>16</v>
      </c>
      <c r="L620" t="s">
        <v>274</v>
      </c>
      <c r="M620" t="s">
        <v>346</v>
      </c>
      <c r="N620" t="str">
        <f t="shared" si="39"/>
        <v>Яковлев Артем ИгоревичСеменов Никита Александрович</v>
      </c>
      <c r="O620" t="s">
        <v>21</v>
      </c>
      <c r="P620" t="s">
        <v>73</v>
      </c>
      <c r="Q620" t="s">
        <v>273</v>
      </c>
    </row>
    <row r="621" spans="4:17" x14ac:dyDescent="0.25">
      <c r="D621" t="s">
        <v>26</v>
      </c>
      <c r="E621" t="s">
        <v>60</v>
      </c>
      <c r="F621" t="str">
        <f t="shared" si="36"/>
        <v>2024-07-19</v>
      </c>
      <c r="G621" t="str">
        <f t="shared" si="37"/>
        <v>2024-07-19</v>
      </c>
      <c r="H621">
        <f t="shared" si="38"/>
        <v>0</v>
      </c>
      <c r="J621" t="str">
        <f>K621&amp;L621</f>
        <v>Орлов Павел ДенисовичСеменова Анна Викторовна</v>
      </c>
      <c r="K621" t="s">
        <v>13</v>
      </c>
      <c r="L621" t="s">
        <v>347</v>
      </c>
      <c r="M621" t="s">
        <v>346</v>
      </c>
      <c r="N621" t="str">
        <f t="shared" si="39"/>
        <v>Ткаченко Андрей ОлеговичИванова Полина Дмитриевна</v>
      </c>
      <c r="O621" t="s">
        <v>26</v>
      </c>
      <c r="P621" t="s">
        <v>91</v>
      </c>
      <c r="Q621" t="s">
        <v>273</v>
      </c>
    </row>
    <row r="622" spans="4:17" x14ac:dyDescent="0.25">
      <c r="D622" t="s">
        <v>26</v>
      </c>
      <c r="E622" t="s">
        <v>153</v>
      </c>
      <c r="F622" t="str">
        <f t="shared" si="36"/>
        <v>2023-11-13</v>
      </c>
      <c r="G622" t="str">
        <f t="shared" si="37"/>
        <v>2023-11-13</v>
      </c>
      <c r="H622">
        <f t="shared" si="38"/>
        <v>0</v>
      </c>
      <c r="J622" t="str">
        <f>K622&amp;L622</f>
        <v>Кузнецов Дмитрий ЛьвовичЕгоров Никита Олегович</v>
      </c>
      <c r="K622" t="s">
        <v>11</v>
      </c>
      <c r="L622" t="s">
        <v>121</v>
      </c>
      <c r="M622" t="s">
        <v>346</v>
      </c>
      <c r="N622" t="str">
        <f t="shared" si="39"/>
        <v>Фролов Сергей ВикторовичКозлов Артур Сергеевич</v>
      </c>
      <c r="O622" t="s">
        <v>38</v>
      </c>
      <c r="P622" t="s">
        <v>215</v>
      </c>
      <c r="Q622" t="s">
        <v>273</v>
      </c>
    </row>
    <row r="623" spans="4:17" x14ac:dyDescent="0.25">
      <c r="D623" t="s">
        <v>26</v>
      </c>
      <c r="E623" t="s">
        <v>265</v>
      </c>
      <c r="F623" t="str">
        <f t="shared" si="36"/>
        <v>2024-04-01</v>
      </c>
      <c r="G623" t="str">
        <f t="shared" si="37"/>
        <v>2024-04-01</v>
      </c>
      <c r="H623">
        <f t="shared" si="38"/>
        <v>0</v>
      </c>
      <c r="J623" t="str">
        <f>K623&amp;L623</f>
        <v>Новикова Ольга ПетровнаОрлова Алиса Егоровна</v>
      </c>
      <c r="K623" t="s">
        <v>29</v>
      </c>
      <c r="L623" t="s">
        <v>197</v>
      </c>
      <c r="M623" t="s">
        <v>346</v>
      </c>
      <c r="N623" t="str">
        <f t="shared" si="39"/>
        <v>Семенова Ирина ВалерьевнаПопов Иван Егорович</v>
      </c>
      <c r="O623" t="s">
        <v>16</v>
      </c>
      <c r="P623" t="s">
        <v>82</v>
      </c>
      <c r="Q623" t="s">
        <v>273</v>
      </c>
    </row>
    <row r="624" spans="4:17" x14ac:dyDescent="0.25">
      <c r="D624" t="s">
        <v>26</v>
      </c>
      <c r="E624" t="s">
        <v>30</v>
      </c>
      <c r="F624" t="str">
        <f t="shared" si="36"/>
        <v>2023-10-27</v>
      </c>
      <c r="G624" t="str">
        <f t="shared" si="37"/>
        <v>2023-10-27</v>
      </c>
      <c r="H624">
        <f t="shared" si="38"/>
        <v>0</v>
      </c>
      <c r="J624" t="str">
        <f>K624&amp;L624</f>
        <v>Новикова Ольга ПетровнаСеменов Матвей Михайлович</v>
      </c>
      <c r="K624" t="s">
        <v>29</v>
      </c>
      <c r="L624" t="s">
        <v>311</v>
      </c>
      <c r="M624" t="s">
        <v>346</v>
      </c>
      <c r="N624" t="str">
        <f t="shared" si="39"/>
        <v>Фролов Сергей ВикторовичКозлов Илья Геннадьевич</v>
      </c>
      <c r="O624" t="s">
        <v>38</v>
      </c>
      <c r="P624" t="s">
        <v>153</v>
      </c>
      <c r="Q624" t="s">
        <v>273</v>
      </c>
    </row>
    <row r="625" spans="4:17" x14ac:dyDescent="0.25">
      <c r="D625" t="s">
        <v>26</v>
      </c>
      <c r="E625" t="s">
        <v>92</v>
      </c>
      <c r="F625" t="str">
        <f t="shared" si="36"/>
        <v>2024-03-11</v>
      </c>
      <c r="G625" t="str">
        <f t="shared" si="37"/>
        <v>2024-03-11</v>
      </c>
      <c r="H625">
        <f t="shared" si="38"/>
        <v>0</v>
      </c>
      <c r="J625" t="str">
        <f>K625&amp;L625</f>
        <v>Яковлев Артем ИгоревичПопов Павел Артемович</v>
      </c>
      <c r="K625" t="s">
        <v>21</v>
      </c>
      <c r="L625" t="s">
        <v>158</v>
      </c>
      <c r="M625" t="s">
        <v>346</v>
      </c>
      <c r="N625" t="str">
        <f t="shared" si="39"/>
        <v>Семенова Ирина ВалерьевнаИванова Ольга Дмитриевна</v>
      </c>
      <c r="O625" t="s">
        <v>16</v>
      </c>
      <c r="P625" t="s">
        <v>131</v>
      </c>
      <c r="Q625" t="s">
        <v>273</v>
      </c>
    </row>
    <row r="626" spans="4:17" x14ac:dyDescent="0.25">
      <c r="D626" t="s">
        <v>26</v>
      </c>
      <c r="E626" t="s">
        <v>81</v>
      </c>
      <c r="F626" t="str">
        <f t="shared" si="36"/>
        <v>2023-09-19</v>
      </c>
      <c r="G626" t="str">
        <f t="shared" si="37"/>
        <v>2023-09-19</v>
      </c>
      <c r="H626">
        <f t="shared" si="38"/>
        <v>0</v>
      </c>
      <c r="J626" t="str">
        <f>K626&amp;L626</f>
        <v>Петров Владимир КирилловичСидорова Ирина Кирилловна</v>
      </c>
      <c r="K626" t="s">
        <v>19</v>
      </c>
      <c r="L626" t="s">
        <v>50</v>
      </c>
      <c r="M626" t="s">
        <v>346</v>
      </c>
      <c r="N626" t="str">
        <f t="shared" si="39"/>
        <v>Новикова Ольга ПетровнаЕгоров Андрей Егорович</v>
      </c>
      <c r="O626" t="s">
        <v>29</v>
      </c>
      <c r="P626" t="s">
        <v>181</v>
      </c>
      <c r="Q626" t="s">
        <v>271</v>
      </c>
    </row>
    <row r="627" spans="4:17" x14ac:dyDescent="0.25">
      <c r="D627" t="s">
        <v>26</v>
      </c>
      <c r="E627" t="s">
        <v>155</v>
      </c>
      <c r="F627" t="str">
        <f t="shared" si="36"/>
        <v>2023-10-23</v>
      </c>
      <c r="G627" t="str">
        <f t="shared" si="37"/>
        <v>2023-10-23</v>
      </c>
      <c r="H627">
        <f t="shared" si="38"/>
        <v>0</v>
      </c>
      <c r="J627" t="str">
        <f>K627&amp;L627</f>
        <v>Белов Алексей КонстантиновичВасильева Елена Андреевна</v>
      </c>
      <c r="K627" t="s">
        <v>5</v>
      </c>
      <c r="L627" t="s">
        <v>27</v>
      </c>
      <c r="M627" t="s">
        <v>346</v>
      </c>
      <c r="N627" t="str">
        <f t="shared" si="39"/>
        <v>Орлов Павел ДенисовичСмирнов Матвей Юрьевич</v>
      </c>
      <c r="O627" t="s">
        <v>13</v>
      </c>
      <c r="P627" t="s">
        <v>272</v>
      </c>
      <c r="Q627" t="s">
        <v>271</v>
      </c>
    </row>
    <row r="628" spans="4:17" x14ac:dyDescent="0.25">
      <c r="D628" t="s">
        <v>26</v>
      </c>
      <c r="E628" t="s">
        <v>177</v>
      </c>
      <c r="F628" t="str">
        <f t="shared" si="36"/>
        <v>2024-02-06</v>
      </c>
      <c r="G628" t="str">
        <f t="shared" si="37"/>
        <v>2024-02-06</v>
      </c>
      <c r="H628">
        <f t="shared" si="38"/>
        <v>0</v>
      </c>
      <c r="J628" t="str">
        <f>K628&amp;L628</f>
        <v>Ткаченко Андрей ОлеговичАлексеева Мария Олеговна</v>
      </c>
      <c r="K628" t="s">
        <v>26</v>
      </c>
      <c r="L628" t="s">
        <v>72</v>
      </c>
      <c r="M628" t="s">
        <v>346</v>
      </c>
      <c r="N628" t="str">
        <f t="shared" si="39"/>
        <v>Семенова Ирина ВалерьевнаВолкова Людмила Кирилловна</v>
      </c>
      <c r="O628" t="s">
        <v>16</v>
      </c>
      <c r="P628" t="s">
        <v>139</v>
      </c>
      <c r="Q628" t="s">
        <v>271</v>
      </c>
    </row>
    <row r="629" spans="4:17" x14ac:dyDescent="0.25">
      <c r="D629" t="s">
        <v>26</v>
      </c>
      <c r="E629" t="s">
        <v>176</v>
      </c>
      <c r="F629" t="str">
        <f t="shared" si="36"/>
        <v>2024-05-13</v>
      </c>
      <c r="G629" t="str">
        <f t="shared" si="37"/>
        <v>2024-05-13</v>
      </c>
      <c r="H629">
        <f t="shared" si="38"/>
        <v>0</v>
      </c>
      <c r="J629" t="str">
        <f>K629&amp;L629</f>
        <v>Петров Владимир КирилловичПетров Павел Юрьевич</v>
      </c>
      <c r="K629" t="s">
        <v>19</v>
      </c>
      <c r="L629" t="s">
        <v>206</v>
      </c>
      <c r="M629" t="s">
        <v>346</v>
      </c>
      <c r="N629" t="str">
        <f t="shared" si="39"/>
        <v>Фролов Сергей ВикторовичИванова Светлана Артемовна</v>
      </c>
      <c r="O629" t="s">
        <v>38</v>
      </c>
      <c r="P629" t="s">
        <v>127</v>
      </c>
      <c r="Q629" t="s">
        <v>271</v>
      </c>
    </row>
    <row r="630" spans="4:17" x14ac:dyDescent="0.25">
      <c r="D630" t="s">
        <v>26</v>
      </c>
      <c r="E630" t="s">
        <v>141</v>
      </c>
      <c r="F630" t="str">
        <f t="shared" si="36"/>
        <v>2023-10-18</v>
      </c>
      <c r="G630" t="str">
        <f t="shared" si="37"/>
        <v>2023-10-18</v>
      </c>
      <c r="H630">
        <f t="shared" si="38"/>
        <v>0</v>
      </c>
      <c r="J630" t="str">
        <f>K630&amp;L630</f>
        <v>Орлов Павел ДенисовичИванова Елена Артемовна</v>
      </c>
      <c r="K630" t="s">
        <v>13</v>
      </c>
      <c r="L630" t="s">
        <v>164</v>
      </c>
      <c r="M630" t="s">
        <v>348</v>
      </c>
      <c r="N630" t="str">
        <f t="shared" si="39"/>
        <v>Новикова Ольга ПетровнаНовикова Ольга Викторовна</v>
      </c>
      <c r="O630" t="s">
        <v>29</v>
      </c>
      <c r="P630" t="s">
        <v>47</v>
      </c>
      <c r="Q630" t="s">
        <v>271</v>
      </c>
    </row>
    <row r="631" spans="4:17" x14ac:dyDescent="0.25">
      <c r="D631" t="s">
        <v>26</v>
      </c>
      <c r="E631" t="s">
        <v>257</v>
      </c>
      <c r="F631" t="str">
        <f t="shared" si="36"/>
        <v>2024-01-09</v>
      </c>
      <c r="G631" t="str">
        <f t="shared" si="37"/>
        <v>2024-01-09</v>
      </c>
      <c r="H631">
        <f t="shared" si="38"/>
        <v>0</v>
      </c>
      <c r="J631" t="str">
        <f>K631&amp;L631</f>
        <v>Громова Мария ИльиничнаЕгоров Никита Олегович</v>
      </c>
      <c r="K631" t="s">
        <v>43</v>
      </c>
      <c r="L631" t="s">
        <v>121</v>
      </c>
      <c r="M631" t="s">
        <v>348</v>
      </c>
      <c r="N631" t="str">
        <f t="shared" si="39"/>
        <v>Громова Мария ИльиничнаВолков Алексей Никитич</v>
      </c>
      <c r="O631" t="s">
        <v>43</v>
      </c>
      <c r="P631" t="s">
        <v>187</v>
      </c>
      <c r="Q631" t="s">
        <v>270</v>
      </c>
    </row>
    <row r="632" spans="4:17" x14ac:dyDescent="0.25">
      <c r="D632" t="s">
        <v>26</v>
      </c>
      <c r="E632" t="s">
        <v>63</v>
      </c>
      <c r="F632" t="str">
        <f t="shared" si="36"/>
        <v>2023-10-30</v>
      </c>
      <c r="G632" t="str">
        <f t="shared" si="37"/>
        <v>2023-10-30</v>
      </c>
      <c r="H632">
        <f t="shared" si="38"/>
        <v>0</v>
      </c>
      <c r="J632" t="str">
        <f>K632&amp;L632</f>
        <v>Ткаченко Андрей ОлеговичФедорова Людмила Сергеевна</v>
      </c>
      <c r="K632" t="s">
        <v>26</v>
      </c>
      <c r="L632" t="s">
        <v>305</v>
      </c>
      <c r="M632" t="s">
        <v>348</v>
      </c>
      <c r="N632" t="str">
        <f t="shared" si="39"/>
        <v>Кузнецов Дмитрий ЛьвовичПавлова Ксения Романовна</v>
      </c>
      <c r="O632" t="s">
        <v>11</v>
      </c>
      <c r="P632" t="s">
        <v>267</v>
      </c>
      <c r="Q632" t="s">
        <v>268</v>
      </c>
    </row>
    <row r="633" spans="4:17" x14ac:dyDescent="0.25">
      <c r="D633" t="s">
        <v>26</v>
      </c>
      <c r="E633" t="s">
        <v>67</v>
      </c>
      <c r="F633" t="str">
        <f t="shared" si="36"/>
        <v>2023-09-14</v>
      </c>
      <c r="G633" t="str">
        <f t="shared" si="37"/>
        <v>2023-09-14</v>
      </c>
      <c r="H633">
        <f t="shared" si="38"/>
        <v>0</v>
      </c>
      <c r="J633" t="str">
        <f>K633&amp;L633</f>
        <v>Яковлев Артем ИгоревичСтепанов Кирилл Алексеевич</v>
      </c>
      <c r="K633" t="s">
        <v>21</v>
      </c>
      <c r="L633" t="s">
        <v>200</v>
      </c>
      <c r="M633" t="s">
        <v>348</v>
      </c>
      <c r="N633" t="str">
        <f t="shared" si="39"/>
        <v>Белов Алексей КонстантиновичВасильев Матвей Кириллович</v>
      </c>
      <c r="O633" t="s">
        <v>5</v>
      </c>
      <c r="P633" t="s">
        <v>269</v>
      </c>
      <c r="Q633" t="s">
        <v>268</v>
      </c>
    </row>
    <row r="634" spans="4:17" x14ac:dyDescent="0.25">
      <c r="D634" t="s">
        <v>26</v>
      </c>
      <c r="E634" t="s">
        <v>123</v>
      </c>
      <c r="F634" t="str">
        <f t="shared" si="36"/>
        <v>2024-03-27</v>
      </c>
      <c r="G634" t="str">
        <f t="shared" si="37"/>
        <v>2024-03-27</v>
      </c>
      <c r="H634">
        <f t="shared" si="38"/>
        <v>0</v>
      </c>
      <c r="J634" t="str">
        <f>K634&amp;L634</f>
        <v>Петров Владимир КирилловичВасильев Андрей Дмитриевич</v>
      </c>
      <c r="K634" t="s">
        <v>19</v>
      </c>
      <c r="L634" t="s">
        <v>172</v>
      </c>
      <c r="M634" t="s">
        <v>348</v>
      </c>
      <c r="N634" t="str">
        <f t="shared" si="39"/>
        <v>Ткаченко Андрей ОлеговичНовикова София Ивановна</v>
      </c>
      <c r="O634" t="s">
        <v>26</v>
      </c>
      <c r="P634" t="s">
        <v>33</v>
      </c>
      <c r="Q634" t="s">
        <v>268</v>
      </c>
    </row>
    <row r="635" spans="4:17" x14ac:dyDescent="0.25">
      <c r="D635" t="s">
        <v>26</v>
      </c>
      <c r="E635" t="s">
        <v>36</v>
      </c>
      <c r="F635" t="str">
        <f t="shared" si="36"/>
        <v>2024-05-28</v>
      </c>
      <c r="G635" t="str">
        <f t="shared" si="37"/>
        <v>2024-05-28</v>
      </c>
      <c r="H635">
        <f t="shared" si="38"/>
        <v>0</v>
      </c>
      <c r="J635" t="str">
        <f>K635&amp;L635</f>
        <v>Сидорова Елена ВасильевнаСмирнова Елена Олеговна</v>
      </c>
      <c r="K635" t="s">
        <v>8</v>
      </c>
      <c r="L635" t="s">
        <v>22</v>
      </c>
      <c r="M635" t="s">
        <v>349</v>
      </c>
      <c r="N635" t="str">
        <f t="shared" si="39"/>
        <v>Петров Владимир КирилловичКузнецов Артем Юрьевич</v>
      </c>
      <c r="O635" t="s">
        <v>19</v>
      </c>
      <c r="P635" t="s">
        <v>265</v>
      </c>
      <c r="Q635" t="s">
        <v>266</v>
      </c>
    </row>
    <row r="636" spans="4:17" x14ac:dyDescent="0.25">
      <c r="D636" t="s">
        <v>26</v>
      </c>
      <c r="E636" t="s">
        <v>33</v>
      </c>
      <c r="F636" t="str">
        <f t="shared" si="36"/>
        <v>2024-01-17</v>
      </c>
      <c r="G636" t="str">
        <f t="shared" si="37"/>
        <v>2024-01-17</v>
      </c>
      <c r="H636">
        <f t="shared" si="38"/>
        <v>0</v>
      </c>
      <c r="J636" t="str">
        <f>K636&amp;L636</f>
        <v>Петров Владимир КирилловичПавлов Алексей Юрьевич</v>
      </c>
      <c r="K636" t="s">
        <v>19</v>
      </c>
      <c r="L636" t="s">
        <v>105</v>
      </c>
      <c r="M636" t="s">
        <v>349</v>
      </c>
      <c r="N636" t="str">
        <f t="shared" si="39"/>
        <v>Кузнецов Дмитрий ЛьвовичВасильева Елена Андреевна</v>
      </c>
      <c r="O636" t="s">
        <v>11</v>
      </c>
      <c r="P636" t="s">
        <v>27</v>
      </c>
      <c r="Q636" t="s">
        <v>266</v>
      </c>
    </row>
    <row r="637" spans="4:17" x14ac:dyDescent="0.25">
      <c r="D637" t="s">
        <v>26</v>
      </c>
      <c r="E637" t="s">
        <v>111</v>
      </c>
      <c r="F637" t="str">
        <f t="shared" si="36"/>
        <v>2023-10-11</v>
      </c>
      <c r="G637" t="str">
        <f t="shared" si="37"/>
        <v>2024-05-10</v>
      </c>
      <c r="H637">
        <f t="shared" si="38"/>
        <v>212</v>
      </c>
      <c r="J637" t="str">
        <f>K637&amp;L637</f>
        <v>Ткаченко Андрей ОлеговичПопов Роман Владимирович</v>
      </c>
      <c r="K637" t="s">
        <v>26</v>
      </c>
      <c r="L637" t="s">
        <v>88</v>
      </c>
      <c r="M637" t="s">
        <v>349</v>
      </c>
      <c r="N637" t="str">
        <f t="shared" si="39"/>
        <v>Орлов Павел ДенисовичНовикова Людмила Кирилловна</v>
      </c>
      <c r="O637" t="s">
        <v>13</v>
      </c>
      <c r="P637" t="s">
        <v>6</v>
      </c>
      <c r="Q637" t="s">
        <v>266</v>
      </c>
    </row>
    <row r="638" spans="4:17" x14ac:dyDescent="0.25">
      <c r="D638" t="s">
        <v>26</v>
      </c>
      <c r="E638" t="s">
        <v>209</v>
      </c>
      <c r="F638" t="str">
        <f t="shared" si="36"/>
        <v>2023-12-28</v>
      </c>
      <c r="G638" t="str">
        <f t="shared" si="37"/>
        <v>2023-12-28</v>
      </c>
      <c r="H638">
        <f t="shared" si="38"/>
        <v>0</v>
      </c>
      <c r="J638" t="str">
        <f>K638&amp;L638</f>
        <v>Орлов Павел ДенисовичКозлов Артур Сергеевич</v>
      </c>
      <c r="K638" t="s">
        <v>13</v>
      </c>
      <c r="L638" t="s">
        <v>215</v>
      </c>
      <c r="M638" t="s">
        <v>349</v>
      </c>
      <c r="N638" t="str">
        <f t="shared" si="39"/>
        <v>Орлов Павел ДенисовичКузнецов Александр Романович</v>
      </c>
      <c r="O638" t="s">
        <v>13</v>
      </c>
      <c r="P638" t="s">
        <v>78</v>
      </c>
      <c r="Q638" t="s">
        <v>262</v>
      </c>
    </row>
    <row r="639" spans="4:17" x14ac:dyDescent="0.25">
      <c r="D639" t="s">
        <v>26</v>
      </c>
      <c r="E639" t="s">
        <v>267</v>
      </c>
      <c r="F639" t="str">
        <f t="shared" si="36"/>
        <v>2024-08-23</v>
      </c>
      <c r="G639" t="str">
        <f t="shared" si="37"/>
        <v>2024-08-23</v>
      </c>
      <c r="H639">
        <f t="shared" si="38"/>
        <v>0</v>
      </c>
      <c r="J639" t="str">
        <f>K639&amp;L639</f>
        <v>Фролов Сергей ВикторовичВасильева Елена Андреевна</v>
      </c>
      <c r="K639" t="s">
        <v>38</v>
      </c>
      <c r="L639" t="s">
        <v>27</v>
      </c>
      <c r="M639" t="s">
        <v>349</v>
      </c>
      <c r="N639" t="str">
        <f t="shared" si="39"/>
        <v>Семенова Ирина ВалерьевнаНиколаева Анна Михайловна</v>
      </c>
      <c r="O639" t="s">
        <v>16</v>
      </c>
      <c r="P639" t="s">
        <v>129</v>
      </c>
      <c r="Q639" t="s">
        <v>262</v>
      </c>
    </row>
    <row r="640" spans="4:17" x14ac:dyDescent="0.25">
      <c r="D640" t="s">
        <v>26</v>
      </c>
      <c r="E640" t="s">
        <v>126</v>
      </c>
      <c r="F640" t="str">
        <f t="shared" si="36"/>
        <v>2023-10-09</v>
      </c>
      <c r="G640" t="str">
        <f t="shared" si="37"/>
        <v>2023-10-09</v>
      </c>
      <c r="H640">
        <f t="shared" si="38"/>
        <v>0</v>
      </c>
      <c r="J640" t="str">
        <f>K640&amp;L640</f>
        <v>Громова Мария ИльиничнаСеменова Анна Викторовна</v>
      </c>
      <c r="K640" t="s">
        <v>43</v>
      </c>
      <c r="L640" t="s">
        <v>347</v>
      </c>
      <c r="M640" t="s">
        <v>349</v>
      </c>
      <c r="N640" t="str">
        <f t="shared" si="39"/>
        <v>Петров Владимир КирилловичКозлова Александра Андреевна</v>
      </c>
      <c r="O640" t="s">
        <v>19</v>
      </c>
      <c r="P640" t="s">
        <v>34</v>
      </c>
      <c r="Q640" t="s">
        <v>262</v>
      </c>
    </row>
    <row r="641" spans="4:17" x14ac:dyDescent="0.25">
      <c r="D641" t="s">
        <v>26</v>
      </c>
      <c r="E641" t="s">
        <v>102</v>
      </c>
      <c r="F641" t="str">
        <f t="shared" si="36"/>
        <v>2023-10-24</v>
      </c>
      <c r="G641" t="str">
        <f t="shared" si="37"/>
        <v>2023-10-24</v>
      </c>
      <c r="H641">
        <f t="shared" si="38"/>
        <v>0</v>
      </c>
      <c r="J641" t="str">
        <f>K641&amp;L641</f>
        <v>Белов Алексей КонстантиновичНиколаева Алиса Ильинична</v>
      </c>
      <c r="K641" t="s">
        <v>5</v>
      </c>
      <c r="L641" t="s">
        <v>67</v>
      </c>
      <c r="M641" t="s">
        <v>350</v>
      </c>
      <c r="N641" t="str">
        <f t="shared" si="39"/>
        <v>Сидорова Елена ВасильевнаОрлов Владимир Александрович</v>
      </c>
      <c r="O641" t="s">
        <v>8</v>
      </c>
      <c r="P641" t="s">
        <v>106</v>
      </c>
      <c r="Q641" t="s">
        <v>262</v>
      </c>
    </row>
    <row r="642" spans="4:17" x14ac:dyDescent="0.25">
      <c r="D642" t="s">
        <v>26</v>
      </c>
      <c r="E642" t="s">
        <v>148</v>
      </c>
      <c r="F642" t="str">
        <f t="shared" si="36"/>
        <v>2024-03-08</v>
      </c>
      <c r="G642" t="str">
        <f t="shared" si="37"/>
        <v>2024-03-08</v>
      </c>
      <c r="H642">
        <f t="shared" si="38"/>
        <v>0</v>
      </c>
      <c r="J642" t="str">
        <f>K642&amp;L642</f>
        <v>Яковлев Артем ИгоревичПопов Георгий Ильич</v>
      </c>
      <c r="K642" t="s">
        <v>21</v>
      </c>
      <c r="L642" t="s">
        <v>148</v>
      </c>
      <c r="M642" t="s">
        <v>350</v>
      </c>
      <c r="N642" t="str">
        <f t="shared" si="39"/>
        <v>Петров Владимир КирилловичФедоров Андрей Владимирович</v>
      </c>
      <c r="O642" t="s">
        <v>19</v>
      </c>
      <c r="P642" t="s">
        <v>79</v>
      </c>
      <c r="Q642" t="s">
        <v>262</v>
      </c>
    </row>
    <row r="643" spans="4:17" x14ac:dyDescent="0.25">
      <c r="D643" t="s">
        <v>26</v>
      </c>
      <c r="E643" t="s">
        <v>88</v>
      </c>
      <c r="F643" t="str">
        <f t="shared" ref="F643:F706" si="40">VLOOKUP(D643&amp;E643,J:M,4,0)</f>
        <v>2023-11-13</v>
      </c>
      <c r="G643" t="str">
        <f t="shared" ref="G643:G706" si="41">VLOOKUP(D643&amp;E643,N:Q,4,0)</f>
        <v>2024-04-17</v>
      </c>
      <c r="H643">
        <f t="shared" ref="H643:H706" si="42">G643-F643</f>
        <v>156</v>
      </c>
      <c r="J643" t="str">
        <f>K643&amp;L643</f>
        <v>Петров Владимир КирилловичКузнецов Михаил Иванович</v>
      </c>
      <c r="K643" t="s">
        <v>19</v>
      </c>
      <c r="L643" t="s">
        <v>207</v>
      </c>
      <c r="M643" t="s">
        <v>351</v>
      </c>
      <c r="N643" t="str">
        <f t="shared" ref="N643:N706" si="43">O643&amp;P643</f>
        <v>Белов Алексей КонстантиновичМорозов Иван Геннадьевич</v>
      </c>
      <c r="O643" t="s">
        <v>5</v>
      </c>
      <c r="P643" t="s">
        <v>257</v>
      </c>
      <c r="Q643" t="s">
        <v>262</v>
      </c>
    </row>
    <row r="644" spans="4:17" x14ac:dyDescent="0.25">
      <c r="D644" t="s">
        <v>26</v>
      </c>
      <c r="E644" t="s">
        <v>18</v>
      </c>
      <c r="F644" t="str">
        <f t="shared" si="40"/>
        <v>2024-05-13</v>
      </c>
      <c r="G644" t="str">
        <f t="shared" si="41"/>
        <v>2024-05-13</v>
      </c>
      <c r="H644">
        <f t="shared" si="42"/>
        <v>0</v>
      </c>
      <c r="J644" t="str">
        <f>K644&amp;L644</f>
        <v>Семенова Ирина ВалерьевнаСеменов Иван Артемович</v>
      </c>
      <c r="K644" t="s">
        <v>16</v>
      </c>
      <c r="L644" t="s">
        <v>295</v>
      </c>
      <c r="M644" t="s">
        <v>351</v>
      </c>
      <c r="N644" t="str">
        <f t="shared" si="43"/>
        <v>Фролов Сергей ВикторовичФедоров Андрей Владимирович</v>
      </c>
      <c r="O644" t="s">
        <v>38</v>
      </c>
      <c r="P644" t="s">
        <v>79</v>
      </c>
      <c r="Q644" t="s">
        <v>262</v>
      </c>
    </row>
    <row r="645" spans="4:17" x14ac:dyDescent="0.25">
      <c r="D645" t="s">
        <v>26</v>
      </c>
      <c r="E645" t="s">
        <v>295</v>
      </c>
      <c r="F645" t="str">
        <f t="shared" si="40"/>
        <v>2024-03-25</v>
      </c>
      <c r="G645" t="str">
        <f t="shared" si="41"/>
        <v>2024-03-25</v>
      </c>
      <c r="H645">
        <f t="shared" si="42"/>
        <v>0</v>
      </c>
      <c r="J645" t="str">
        <f>K645&amp;L645</f>
        <v>Петров Владимир КирилловичПетров Дмитрий Сергеевич</v>
      </c>
      <c r="K645" t="s">
        <v>19</v>
      </c>
      <c r="L645" t="s">
        <v>84</v>
      </c>
      <c r="M645" t="s">
        <v>351</v>
      </c>
      <c r="N645" t="str">
        <f t="shared" si="43"/>
        <v>Белов Алексей КонстантиновичНовикова София Ивановна</v>
      </c>
      <c r="O645" t="s">
        <v>5</v>
      </c>
      <c r="P645" t="s">
        <v>33</v>
      </c>
      <c r="Q645" t="s">
        <v>262</v>
      </c>
    </row>
    <row r="646" spans="4:17" x14ac:dyDescent="0.25">
      <c r="D646" t="s">
        <v>26</v>
      </c>
      <c r="E646" t="s">
        <v>311</v>
      </c>
      <c r="F646" t="str">
        <f t="shared" si="40"/>
        <v>2024-07-16</v>
      </c>
      <c r="G646" t="str">
        <f t="shared" si="41"/>
        <v>2024-07-16</v>
      </c>
      <c r="H646">
        <f t="shared" si="42"/>
        <v>0</v>
      </c>
      <c r="J646" t="str">
        <f>K646&amp;L646</f>
        <v>Фролов Сергей ВикторовичАлексеев Артур Артемович</v>
      </c>
      <c r="K646" t="s">
        <v>38</v>
      </c>
      <c r="L646" t="s">
        <v>190</v>
      </c>
      <c r="M646" t="s">
        <v>352</v>
      </c>
      <c r="N646" t="str">
        <f t="shared" si="43"/>
        <v>Яковлев Артем ИгоревичВолкова Полина Юрьевна</v>
      </c>
      <c r="O646" t="s">
        <v>21</v>
      </c>
      <c r="P646" t="s">
        <v>263</v>
      </c>
      <c r="Q646" t="s">
        <v>262</v>
      </c>
    </row>
    <row r="647" spans="4:17" x14ac:dyDescent="0.25">
      <c r="D647" t="s">
        <v>26</v>
      </c>
      <c r="E647" t="s">
        <v>20</v>
      </c>
      <c r="F647" t="str">
        <f t="shared" si="40"/>
        <v>2023-09-05</v>
      </c>
      <c r="G647" t="str">
        <f t="shared" si="41"/>
        <v>2023-09-05</v>
      </c>
      <c r="H647">
        <f t="shared" si="42"/>
        <v>0</v>
      </c>
      <c r="J647" t="str">
        <f>K647&amp;L647</f>
        <v>Сидорова Елена ВасильевнаФедоров Максим Андреевич</v>
      </c>
      <c r="K647" t="s">
        <v>8</v>
      </c>
      <c r="L647" t="s">
        <v>97</v>
      </c>
      <c r="M647" t="s">
        <v>352</v>
      </c>
      <c r="N647" t="str">
        <f t="shared" si="43"/>
        <v>Кузнецов Дмитрий ЛьвовичКозлова Александра Андреевна</v>
      </c>
      <c r="O647" t="s">
        <v>11</v>
      </c>
      <c r="P647" t="s">
        <v>34</v>
      </c>
      <c r="Q647" t="s">
        <v>262</v>
      </c>
    </row>
    <row r="648" spans="4:17" x14ac:dyDescent="0.25">
      <c r="D648" t="s">
        <v>26</v>
      </c>
      <c r="E648" t="s">
        <v>73</v>
      </c>
      <c r="F648" t="str">
        <f t="shared" si="40"/>
        <v>2023-09-18</v>
      </c>
      <c r="G648" t="str">
        <f t="shared" si="41"/>
        <v>2024-01-09</v>
      </c>
      <c r="H648">
        <f t="shared" si="42"/>
        <v>113</v>
      </c>
      <c r="J648" t="str">
        <f>K648&amp;L648</f>
        <v>Фролов Сергей ВикторовичАлексеев Никита Алексеевич</v>
      </c>
      <c r="K648" t="s">
        <v>38</v>
      </c>
      <c r="L648" t="s">
        <v>171</v>
      </c>
      <c r="M648" t="s">
        <v>352</v>
      </c>
      <c r="N648" t="str">
        <f t="shared" si="43"/>
        <v>Иванова Анна СергеевнаЕгорова Юлия Никитична</v>
      </c>
      <c r="O648" t="s">
        <v>55</v>
      </c>
      <c r="P648" t="s">
        <v>264</v>
      </c>
      <c r="Q648" t="s">
        <v>262</v>
      </c>
    </row>
    <row r="649" spans="4:17" x14ac:dyDescent="0.25">
      <c r="D649" t="s">
        <v>26</v>
      </c>
      <c r="E649" t="s">
        <v>339</v>
      </c>
      <c r="F649" t="str">
        <f t="shared" si="40"/>
        <v>2024-04-08</v>
      </c>
      <c r="G649" t="str">
        <f t="shared" si="41"/>
        <v>2024-04-08</v>
      </c>
      <c r="H649">
        <f t="shared" si="42"/>
        <v>0</v>
      </c>
      <c r="J649" t="str">
        <f>K649&amp;L649</f>
        <v>Новикова Ольга ПетровнаВолкова Виктория Артемовна</v>
      </c>
      <c r="K649" t="s">
        <v>29</v>
      </c>
      <c r="L649" t="s">
        <v>159</v>
      </c>
      <c r="M649" t="s">
        <v>352</v>
      </c>
      <c r="N649" t="str">
        <f t="shared" si="43"/>
        <v>Ткаченко Андрей ОлеговичАлексеев Артур Артемович</v>
      </c>
      <c r="O649" t="s">
        <v>26</v>
      </c>
      <c r="P649" t="s">
        <v>190</v>
      </c>
      <c r="Q649" t="s">
        <v>261</v>
      </c>
    </row>
    <row r="650" spans="4:17" x14ac:dyDescent="0.25">
      <c r="D650" t="s">
        <v>26</v>
      </c>
      <c r="E650" t="s">
        <v>183</v>
      </c>
      <c r="F650" t="str">
        <f t="shared" si="40"/>
        <v>2023-11-13</v>
      </c>
      <c r="G650" t="str">
        <f t="shared" si="41"/>
        <v>2023-11-13</v>
      </c>
      <c r="H650">
        <f t="shared" si="42"/>
        <v>0</v>
      </c>
      <c r="J650" t="str">
        <f>K650&amp;L650</f>
        <v>Новикова Ольга ПетровнаАлексеева Полина Сергеевна</v>
      </c>
      <c r="K650" t="s">
        <v>29</v>
      </c>
      <c r="L650" t="s">
        <v>353</v>
      </c>
      <c r="M650" t="s">
        <v>352</v>
      </c>
      <c r="N650" t="str">
        <f t="shared" si="43"/>
        <v>Яковлев Артем ИгоревичИванова Полина Дмитриевна</v>
      </c>
      <c r="O650" t="s">
        <v>21</v>
      </c>
      <c r="P650" t="s">
        <v>91</v>
      </c>
      <c r="Q650" t="s">
        <v>261</v>
      </c>
    </row>
    <row r="651" spans="4:17" x14ac:dyDescent="0.25">
      <c r="D651" t="s">
        <v>26</v>
      </c>
      <c r="E651" t="s">
        <v>227</v>
      </c>
      <c r="F651" t="str">
        <f t="shared" si="40"/>
        <v>2023-12-07</v>
      </c>
      <c r="G651" t="str">
        <f t="shared" si="41"/>
        <v>2023-12-07</v>
      </c>
      <c r="H651">
        <f t="shared" si="42"/>
        <v>0</v>
      </c>
      <c r="J651" t="str">
        <f>K651&amp;L651</f>
        <v>Сидорова Елена ВасильевнаВолкова Полина Юрьевна</v>
      </c>
      <c r="K651" t="s">
        <v>8</v>
      </c>
      <c r="L651" t="s">
        <v>263</v>
      </c>
      <c r="M651" t="s">
        <v>352</v>
      </c>
      <c r="N651" t="str">
        <f t="shared" si="43"/>
        <v>Орлов Павел ДенисовичАлексеев Михаил Алексеевич</v>
      </c>
      <c r="O651" t="s">
        <v>13</v>
      </c>
      <c r="P651" t="s">
        <v>85</v>
      </c>
      <c r="Q651" t="s">
        <v>261</v>
      </c>
    </row>
    <row r="652" spans="4:17" x14ac:dyDescent="0.25">
      <c r="D652" t="s">
        <v>26</v>
      </c>
      <c r="E652" t="s">
        <v>255</v>
      </c>
      <c r="F652" t="str">
        <f t="shared" si="40"/>
        <v>2024-05-21</v>
      </c>
      <c r="G652" t="str">
        <f t="shared" si="41"/>
        <v>2024-05-21</v>
      </c>
      <c r="H652">
        <f t="shared" si="42"/>
        <v>0</v>
      </c>
      <c r="J652" t="str">
        <f>K652&amp;L652</f>
        <v>Иванова Анна СергеевнаНиколаев Андрей Ильич</v>
      </c>
      <c r="K652" t="s">
        <v>55</v>
      </c>
      <c r="L652" t="s">
        <v>63</v>
      </c>
      <c r="M652" t="s">
        <v>352</v>
      </c>
      <c r="N652" t="str">
        <f t="shared" si="43"/>
        <v>Кузнецов Дмитрий ЛьвовичМорозов Иван Геннадьевич</v>
      </c>
      <c r="O652" t="s">
        <v>11</v>
      </c>
      <c r="P652" t="s">
        <v>257</v>
      </c>
      <c r="Q652" t="s">
        <v>260</v>
      </c>
    </row>
    <row r="653" spans="4:17" x14ac:dyDescent="0.25">
      <c r="D653" t="s">
        <v>26</v>
      </c>
      <c r="E653" t="s">
        <v>118</v>
      </c>
      <c r="F653" t="str">
        <f t="shared" si="40"/>
        <v>2023-11-27</v>
      </c>
      <c r="G653" t="str">
        <f t="shared" si="41"/>
        <v>2023-11-27</v>
      </c>
      <c r="H653">
        <f t="shared" si="42"/>
        <v>0</v>
      </c>
      <c r="J653" t="str">
        <f>K653&amp;L653</f>
        <v>Кузнецов Дмитрий ЛьвовичКозлов Михаил Андреевич</v>
      </c>
      <c r="K653" t="s">
        <v>11</v>
      </c>
      <c r="L653" t="s">
        <v>354</v>
      </c>
      <c r="M653" t="s">
        <v>355</v>
      </c>
      <c r="N653" t="str">
        <f t="shared" si="43"/>
        <v>Новикова Ольга ПетровнаВолков Алексей Никитич</v>
      </c>
      <c r="O653" t="s">
        <v>29</v>
      </c>
      <c r="P653" t="s">
        <v>187</v>
      </c>
      <c r="Q653" t="s">
        <v>259</v>
      </c>
    </row>
    <row r="654" spans="4:17" x14ac:dyDescent="0.25">
      <c r="D654" t="s">
        <v>26</v>
      </c>
      <c r="E654" t="s">
        <v>250</v>
      </c>
      <c r="F654" t="str">
        <f t="shared" si="40"/>
        <v>2024-07-19</v>
      </c>
      <c r="G654" t="str">
        <f t="shared" si="41"/>
        <v>2024-07-19</v>
      </c>
      <c r="H654">
        <f t="shared" si="42"/>
        <v>0</v>
      </c>
      <c r="J654" t="str">
        <f>K654&amp;L654</f>
        <v>Белов Алексей КонстантиновичВасильев Илья Алексеевич</v>
      </c>
      <c r="K654" t="s">
        <v>5</v>
      </c>
      <c r="L654" t="s">
        <v>232</v>
      </c>
      <c r="M654" t="s">
        <v>356</v>
      </c>
      <c r="N654" t="str">
        <f t="shared" si="43"/>
        <v>Орлов Павел ДенисовичСеменова Полина Сергеевна</v>
      </c>
      <c r="O654" t="s">
        <v>13</v>
      </c>
      <c r="P654" t="s">
        <v>183</v>
      </c>
      <c r="Q654" t="s">
        <v>256</v>
      </c>
    </row>
    <row r="655" spans="4:17" x14ac:dyDescent="0.25">
      <c r="D655" t="s">
        <v>26</v>
      </c>
      <c r="E655" t="s">
        <v>169</v>
      </c>
      <c r="F655" t="str">
        <f t="shared" si="40"/>
        <v>2023-12-05</v>
      </c>
      <c r="G655" t="str">
        <f t="shared" si="41"/>
        <v>2024-04-08</v>
      </c>
      <c r="H655">
        <f t="shared" si="42"/>
        <v>125</v>
      </c>
      <c r="J655" t="str">
        <f>K655&amp;L655</f>
        <v>Кузнецов Дмитрий ЛьвовичВолкова Екатерина Егоровна</v>
      </c>
      <c r="K655" t="s">
        <v>11</v>
      </c>
      <c r="L655" t="s">
        <v>58</v>
      </c>
      <c r="M655" t="s">
        <v>357</v>
      </c>
      <c r="N655" t="str">
        <f t="shared" si="43"/>
        <v>Орлов Павел ДенисовичСеменов Михаил Сергеевич</v>
      </c>
      <c r="O655" t="s">
        <v>13</v>
      </c>
      <c r="P655" t="s">
        <v>20</v>
      </c>
      <c r="Q655" t="s">
        <v>256</v>
      </c>
    </row>
    <row r="656" spans="4:17" x14ac:dyDescent="0.25">
      <c r="D656" t="s">
        <v>26</v>
      </c>
      <c r="E656" t="s">
        <v>28</v>
      </c>
      <c r="F656" t="str">
        <f t="shared" si="40"/>
        <v>2023-09-05</v>
      </c>
      <c r="G656" t="str">
        <f t="shared" si="41"/>
        <v>2023-09-05</v>
      </c>
      <c r="H656">
        <f t="shared" si="42"/>
        <v>0</v>
      </c>
      <c r="J656" t="str">
        <f>K656&amp;L656</f>
        <v>Яковлев Артем ИгоревичПопов Сергей Артемович</v>
      </c>
      <c r="K656" t="s">
        <v>21</v>
      </c>
      <c r="L656" t="s">
        <v>174</v>
      </c>
      <c r="M656" t="s">
        <v>357</v>
      </c>
      <c r="N656" t="str">
        <f t="shared" si="43"/>
        <v>Ткаченко Андрей ОлеговичСеменов Никита Александрович</v>
      </c>
      <c r="O656" t="s">
        <v>26</v>
      </c>
      <c r="P656" t="s">
        <v>73</v>
      </c>
      <c r="Q656" t="s">
        <v>256</v>
      </c>
    </row>
    <row r="657" spans="4:17" x14ac:dyDescent="0.25">
      <c r="D657" t="s">
        <v>26</v>
      </c>
      <c r="E657" t="s">
        <v>22</v>
      </c>
      <c r="F657" t="str">
        <f t="shared" si="40"/>
        <v>2024-03-19</v>
      </c>
      <c r="G657" t="str">
        <f t="shared" si="41"/>
        <v>2024-03-19</v>
      </c>
      <c r="H657">
        <f t="shared" si="42"/>
        <v>0</v>
      </c>
      <c r="J657" t="str">
        <f>K657&amp;L657</f>
        <v>Громова Мария ИльиничнаНиколаев Андрей Ильич</v>
      </c>
      <c r="K657" t="s">
        <v>43</v>
      </c>
      <c r="L657" t="s">
        <v>63</v>
      </c>
      <c r="M657" t="s">
        <v>357</v>
      </c>
      <c r="N657" t="str">
        <f t="shared" si="43"/>
        <v>Ткаченко Андрей ОлеговичМорозов Иван Геннадьевич</v>
      </c>
      <c r="O657" t="s">
        <v>26</v>
      </c>
      <c r="P657" t="s">
        <v>257</v>
      </c>
      <c r="Q657" t="s">
        <v>256</v>
      </c>
    </row>
    <row r="658" spans="4:17" x14ac:dyDescent="0.25">
      <c r="D658" t="s">
        <v>26</v>
      </c>
      <c r="E658" t="s">
        <v>293</v>
      </c>
      <c r="F658" t="str">
        <f t="shared" si="40"/>
        <v>2024-08-05</v>
      </c>
      <c r="G658" t="str">
        <f t="shared" si="41"/>
        <v>2024-08-05</v>
      </c>
      <c r="H658">
        <f t="shared" si="42"/>
        <v>0</v>
      </c>
      <c r="J658" t="str">
        <f>K658&amp;L658</f>
        <v>Петров Владимир КирилловичКузнецов Егор Андреевич</v>
      </c>
      <c r="K658" t="s">
        <v>19</v>
      </c>
      <c r="L658" t="s">
        <v>30</v>
      </c>
      <c r="M658" t="s">
        <v>358</v>
      </c>
      <c r="N658" t="str">
        <f t="shared" si="43"/>
        <v>Белов Алексей КонстантиновичСмирнов Илья Андреевич</v>
      </c>
      <c r="O658" t="s">
        <v>5</v>
      </c>
      <c r="P658" t="s">
        <v>258</v>
      </c>
      <c r="Q658" t="s">
        <v>256</v>
      </c>
    </row>
    <row r="659" spans="4:17" x14ac:dyDescent="0.25">
      <c r="D659" t="s">
        <v>26</v>
      </c>
      <c r="E659" t="s">
        <v>237</v>
      </c>
      <c r="F659" t="str">
        <f t="shared" si="40"/>
        <v>2023-12-18</v>
      </c>
      <c r="G659" t="str">
        <f t="shared" si="41"/>
        <v>2024-03-19</v>
      </c>
      <c r="H659">
        <f t="shared" si="42"/>
        <v>92</v>
      </c>
      <c r="J659" t="str">
        <f>K659&amp;L659</f>
        <v>Иванова Анна СергеевнаНиколаева Алиса Ильинична</v>
      </c>
      <c r="K659" t="s">
        <v>55</v>
      </c>
      <c r="L659" t="s">
        <v>67</v>
      </c>
      <c r="M659" t="s">
        <v>358</v>
      </c>
      <c r="N659" t="str">
        <f t="shared" si="43"/>
        <v>Ткаченко Андрей ОлеговичАлексеев Егор Юрьевич</v>
      </c>
      <c r="O659" t="s">
        <v>26</v>
      </c>
      <c r="P659" t="s">
        <v>193</v>
      </c>
      <c r="Q659" t="s">
        <v>256</v>
      </c>
    </row>
    <row r="660" spans="4:17" x14ac:dyDescent="0.25">
      <c r="D660" t="s">
        <v>26</v>
      </c>
      <c r="E660" t="s">
        <v>79</v>
      </c>
      <c r="F660" t="str">
        <f t="shared" si="40"/>
        <v>2023-09-19</v>
      </c>
      <c r="G660" t="str">
        <f t="shared" si="41"/>
        <v>2023-09-19</v>
      </c>
      <c r="H660">
        <f t="shared" si="42"/>
        <v>0</v>
      </c>
      <c r="J660" t="str">
        <f>K660&amp;L660</f>
        <v>Кузнецов Дмитрий ЛьвовичПетрова Валерия Викторовна</v>
      </c>
      <c r="K660" t="s">
        <v>11</v>
      </c>
      <c r="L660" t="s">
        <v>275</v>
      </c>
      <c r="M660" t="s">
        <v>358</v>
      </c>
      <c r="N660" t="str">
        <f t="shared" si="43"/>
        <v>Белов Алексей КонстантиновичКузнецов Кирилл Павлович</v>
      </c>
      <c r="O660" t="s">
        <v>5</v>
      </c>
      <c r="P660" t="s">
        <v>167</v>
      </c>
      <c r="Q660" t="s">
        <v>256</v>
      </c>
    </row>
    <row r="661" spans="4:17" x14ac:dyDescent="0.25">
      <c r="D661" t="s">
        <v>26</v>
      </c>
      <c r="E661" t="s">
        <v>217</v>
      </c>
      <c r="F661" t="str">
        <f t="shared" si="40"/>
        <v>2024-03-14</v>
      </c>
      <c r="G661" t="str">
        <f t="shared" si="41"/>
        <v>2024-03-14</v>
      </c>
      <c r="H661">
        <f t="shared" si="42"/>
        <v>0</v>
      </c>
      <c r="J661" t="str">
        <f>K661&amp;L661</f>
        <v>Сидорова Елена ВасильевнаПопов Матвей Иванович</v>
      </c>
      <c r="K661" t="s">
        <v>8</v>
      </c>
      <c r="L661" t="s">
        <v>138</v>
      </c>
      <c r="M661" t="s">
        <v>358</v>
      </c>
      <c r="N661" t="str">
        <f t="shared" si="43"/>
        <v>Новикова Ольга ПетровнаНовикова София Ивановна</v>
      </c>
      <c r="O661" t="s">
        <v>29</v>
      </c>
      <c r="P661" t="s">
        <v>33</v>
      </c>
      <c r="Q661" t="s">
        <v>254</v>
      </c>
    </row>
    <row r="662" spans="4:17" x14ac:dyDescent="0.25">
      <c r="D662" t="s">
        <v>26</v>
      </c>
      <c r="E662" t="s">
        <v>25</v>
      </c>
      <c r="F662" t="str">
        <f t="shared" si="40"/>
        <v>2023-12-06</v>
      </c>
      <c r="G662" t="str">
        <f t="shared" si="41"/>
        <v>2023-12-06</v>
      </c>
      <c r="H662">
        <f t="shared" si="42"/>
        <v>0</v>
      </c>
      <c r="J662" t="str">
        <f>K662&amp;L662</f>
        <v>Петров Владимир КирилловичСидоров Кирилл Михайлович</v>
      </c>
      <c r="K662" t="s">
        <v>19</v>
      </c>
      <c r="L662" t="s">
        <v>59</v>
      </c>
      <c r="M662" t="s">
        <v>358</v>
      </c>
      <c r="N662" t="str">
        <f t="shared" si="43"/>
        <v>Кузнецов Дмитрий ЛьвовичИванова София Михайловна</v>
      </c>
      <c r="O662" t="s">
        <v>11</v>
      </c>
      <c r="P662" t="s">
        <v>161</v>
      </c>
      <c r="Q662" t="s">
        <v>254</v>
      </c>
    </row>
    <row r="663" spans="4:17" x14ac:dyDescent="0.25">
      <c r="D663" t="s">
        <v>26</v>
      </c>
      <c r="E663" t="s">
        <v>305</v>
      </c>
      <c r="F663" t="str">
        <f t="shared" si="40"/>
        <v>2024-04-16</v>
      </c>
      <c r="G663" t="str">
        <f t="shared" si="41"/>
        <v>2024-04-16</v>
      </c>
      <c r="H663">
        <f t="shared" si="42"/>
        <v>0</v>
      </c>
      <c r="J663" t="str">
        <f>K663&amp;L663</f>
        <v>Яковлев Артем ИгоревичКозлова Александра Андреевна</v>
      </c>
      <c r="K663" t="s">
        <v>21</v>
      </c>
      <c r="L663" t="s">
        <v>34</v>
      </c>
      <c r="M663" t="s">
        <v>358</v>
      </c>
      <c r="N663" t="str">
        <f t="shared" si="43"/>
        <v>Сидорова Елена ВасильевнаСидоров Дмитрий Александрович</v>
      </c>
      <c r="O663" t="s">
        <v>8</v>
      </c>
      <c r="P663" t="s">
        <v>255</v>
      </c>
      <c r="Q663" t="s">
        <v>254</v>
      </c>
    </row>
    <row r="664" spans="4:17" x14ac:dyDescent="0.25">
      <c r="D664" t="s">
        <v>38</v>
      </c>
      <c r="E664" t="s">
        <v>190</v>
      </c>
      <c r="F664" t="str">
        <f t="shared" si="40"/>
        <v>2024-04-22</v>
      </c>
      <c r="G664" t="str">
        <f t="shared" si="41"/>
        <v>2024-04-22</v>
      </c>
      <c r="H664">
        <f t="shared" si="42"/>
        <v>0</v>
      </c>
      <c r="J664" t="str">
        <f>K664&amp;L664</f>
        <v>Белов Алексей КонстантиновичНовиков Павел Сергеевич</v>
      </c>
      <c r="K664" t="s">
        <v>5</v>
      </c>
      <c r="L664" t="s">
        <v>145</v>
      </c>
      <c r="M664" t="s">
        <v>358</v>
      </c>
      <c r="N664" t="str">
        <f t="shared" si="43"/>
        <v>Орлов Павел ДенисовичИванова Ольга Дмитриевна</v>
      </c>
      <c r="O664" t="s">
        <v>13</v>
      </c>
      <c r="P664" t="s">
        <v>131</v>
      </c>
      <c r="Q664" t="s">
        <v>254</v>
      </c>
    </row>
    <row r="665" spans="4:17" x14ac:dyDescent="0.25">
      <c r="D665" t="s">
        <v>38</v>
      </c>
      <c r="E665" t="s">
        <v>171</v>
      </c>
      <c r="F665" t="str">
        <f t="shared" si="40"/>
        <v>2023-12-04</v>
      </c>
      <c r="G665" t="str">
        <f t="shared" si="41"/>
        <v>2024-04-22</v>
      </c>
      <c r="H665">
        <f t="shared" si="42"/>
        <v>140</v>
      </c>
      <c r="J665" t="str">
        <f>K665&amp;L665</f>
        <v>Сидорова Елена ВасильевнаОрлов Владимир Никитич</v>
      </c>
      <c r="K665" t="s">
        <v>8</v>
      </c>
      <c r="L665" t="s">
        <v>32</v>
      </c>
      <c r="M665" t="s">
        <v>359</v>
      </c>
      <c r="N665" t="str">
        <f t="shared" si="43"/>
        <v>Кузнецов Дмитрий ЛьвовичСидорова София Артемовна</v>
      </c>
      <c r="O665" t="s">
        <v>11</v>
      </c>
      <c r="P665" t="s">
        <v>45</v>
      </c>
      <c r="Q665" t="s">
        <v>254</v>
      </c>
    </row>
    <row r="666" spans="4:17" x14ac:dyDescent="0.25">
      <c r="D666" t="s">
        <v>38</v>
      </c>
      <c r="E666" t="s">
        <v>96</v>
      </c>
      <c r="F666" t="str">
        <f t="shared" si="40"/>
        <v>2024-07-04</v>
      </c>
      <c r="G666" t="str">
        <f t="shared" si="41"/>
        <v>2024-07-04</v>
      </c>
      <c r="H666">
        <f t="shared" si="42"/>
        <v>0</v>
      </c>
      <c r="J666" t="str">
        <f>K666&amp;L666</f>
        <v>Иванова Анна СергеевнаСтепанов Кирилл Алексеевич</v>
      </c>
      <c r="K666" t="s">
        <v>55</v>
      </c>
      <c r="L666" t="s">
        <v>200</v>
      </c>
      <c r="M666" t="s">
        <v>360</v>
      </c>
      <c r="N666" t="str">
        <f t="shared" si="43"/>
        <v>Иванова Анна СергеевнаОрлова Вероника Андреевна</v>
      </c>
      <c r="O666" t="s">
        <v>55</v>
      </c>
      <c r="P666" t="s">
        <v>100</v>
      </c>
      <c r="Q666" t="s">
        <v>254</v>
      </c>
    </row>
    <row r="667" spans="4:17" x14ac:dyDescent="0.25">
      <c r="D667" t="s">
        <v>38</v>
      </c>
      <c r="E667" t="s">
        <v>14</v>
      </c>
      <c r="F667" t="str">
        <f t="shared" si="40"/>
        <v>2023-10-23</v>
      </c>
      <c r="G667" t="str">
        <f t="shared" si="41"/>
        <v>2024-05-27</v>
      </c>
      <c r="H667">
        <f t="shared" si="42"/>
        <v>217</v>
      </c>
      <c r="J667" t="str">
        <f>K667&amp;L667</f>
        <v>Иванова Анна СергеевнаФедорова Татьяна Викторовна</v>
      </c>
      <c r="K667" t="s">
        <v>55</v>
      </c>
      <c r="L667" t="s">
        <v>104</v>
      </c>
      <c r="M667" t="s">
        <v>361</v>
      </c>
      <c r="N667" t="str">
        <f t="shared" si="43"/>
        <v>Сидорова Елена ВасильевнаОрлов Иван Викторович</v>
      </c>
      <c r="O667" t="s">
        <v>8</v>
      </c>
      <c r="P667" t="s">
        <v>37</v>
      </c>
      <c r="Q667" t="s">
        <v>254</v>
      </c>
    </row>
    <row r="668" spans="4:17" x14ac:dyDescent="0.25">
      <c r="D668" t="s">
        <v>38</v>
      </c>
      <c r="E668" t="s">
        <v>93</v>
      </c>
      <c r="F668" t="str">
        <f t="shared" si="40"/>
        <v>2023-11-22</v>
      </c>
      <c r="G668" t="str">
        <f t="shared" si="41"/>
        <v>2023-11-22</v>
      </c>
      <c r="H668">
        <f t="shared" si="42"/>
        <v>0</v>
      </c>
      <c r="J668" t="str">
        <f>K668&amp;L668</f>
        <v>Громова Мария ИльиничнаНовикова София Ивановна</v>
      </c>
      <c r="K668" t="s">
        <v>43</v>
      </c>
      <c r="L668" t="s">
        <v>33</v>
      </c>
      <c r="M668" t="s">
        <v>361</v>
      </c>
      <c r="N668" t="str">
        <f t="shared" si="43"/>
        <v>Иванова Анна СергеевнаВолкова Анна Станиславовна</v>
      </c>
      <c r="O668" t="s">
        <v>55</v>
      </c>
      <c r="P668" t="s">
        <v>54</v>
      </c>
      <c r="Q668" t="s">
        <v>252</v>
      </c>
    </row>
    <row r="669" spans="4:17" x14ac:dyDescent="0.25">
      <c r="D669" t="s">
        <v>38</v>
      </c>
      <c r="E669" t="s">
        <v>172</v>
      </c>
      <c r="F669" t="str">
        <f t="shared" si="40"/>
        <v>2024-01-30</v>
      </c>
      <c r="G669" t="str">
        <f t="shared" si="41"/>
        <v>2024-08-05</v>
      </c>
      <c r="H669">
        <f t="shared" si="42"/>
        <v>188</v>
      </c>
      <c r="J669" t="str">
        <f>K669&amp;L669</f>
        <v>Фролов Сергей ВикторовичПетров Павел Юрьевич</v>
      </c>
      <c r="K669" t="s">
        <v>38</v>
      </c>
      <c r="L669" t="s">
        <v>206</v>
      </c>
      <c r="M669" t="s">
        <v>361</v>
      </c>
      <c r="N669" t="str">
        <f t="shared" si="43"/>
        <v>Громова Мария ИльиничнаНиколаев Никита Викторович</v>
      </c>
      <c r="O669" t="s">
        <v>43</v>
      </c>
      <c r="P669" t="s">
        <v>253</v>
      </c>
      <c r="Q669" t="s">
        <v>252</v>
      </c>
    </row>
    <row r="670" spans="4:17" x14ac:dyDescent="0.25">
      <c r="D670" t="s">
        <v>38</v>
      </c>
      <c r="E670" t="s">
        <v>68</v>
      </c>
      <c r="F670" t="str">
        <f t="shared" si="40"/>
        <v>2024-02-19</v>
      </c>
      <c r="G670" t="str">
        <f t="shared" si="41"/>
        <v>2024-02-19</v>
      </c>
      <c r="H670">
        <f t="shared" si="42"/>
        <v>0</v>
      </c>
      <c r="J670" t="str">
        <f>K670&amp;L670</f>
        <v>Иванова Анна СергеевнаЛебедева Анна Олеговна</v>
      </c>
      <c r="K670" t="s">
        <v>55</v>
      </c>
      <c r="L670" t="s">
        <v>362</v>
      </c>
      <c r="M670" t="s">
        <v>361</v>
      </c>
      <c r="N670" t="str">
        <f t="shared" si="43"/>
        <v>Яковлев Артем ИгоревичМорозов Владимир Станиславович</v>
      </c>
      <c r="O670" t="s">
        <v>21</v>
      </c>
      <c r="P670" t="s">
        <v>141</v>
      </c>
      <c r="Q670" t="s">
        <v>252</v>
      </c>
    </row>
    <row r="671" spans="4:17" x14ac:dyDescent="0.25">
      <c r="D671" t="s">
        <v>38</v>
      </c>
      <c r="E671" t="s">
        <v>65</v>
      </c>
      <c r="F671" t="str">
        <f t="shared" si="40"/>
        <v>2023-11-15</v>
      </c>
      <c r="G671" t="str">
        <f t="shared" si="41"/>
        <v>2023-11-15</v>
      </c>
      <c r="H671">
        <f t="shared" si="42"/>
        <v>0</v>
      </c>
      <c r="J671" t="str">
        <f>K671&amp;L671</f>
        <v>Орлов Павел ДенисовичПетров Константин Егорович</v>
      </c>
      <c r="K671" t="s">
        <v>13</v>
      </c>
      <c r="L671" t="s">
        <v>102</v>
      </c>
      <c r="M671" t="s">
        <v>361</v>
      </c>
      <c r="N671" t="str">
        <f t="shared" si="43"/>
        <v>Иванова Анна СергеевнаНовикова София Ивановна</v>
      </c>
      <c r="O671" t="s">
        <v>55</v>
      </c>
      <c r="P671" t="s">
        <v>33</v>
      </c>
      <c r="Q671" t="s">
        <v>251</v>
      </c>
    </row>
    <row r="672" spans="4:17" x14ac:dyDescent="0.25">
      <c r="D672" t="s">
        <v>38</v>
      </c>
      <c r="E672" t="s">
        <v>27</v>
      </c>
      <c r="F672" t="str">
        <f t="shared" si="40"/>
        <v>2024-04-17</v>
      </c>
      <c r="G672" t="str">
        <f t="shared" si="41"/>
        <v>2024-04-17</v>
      </c>
      <c r="H672">
        <f t="shared" si="42"/>
        <v>0</v>
      </c>
      <c r="J672" t="str">
        <f>K672&amp;L672</f>
        <v>Сидорова Елена ВасильевнаПопова Светлана Геннадьевна</v>
      </c>
      <c r="K672" t="s">
        <v>8</v>
      </c>
      <c r="L672" t="s">
        <v>18</v>
      </c>
      <c r="M672" t="s">
        <v>363</v>
      </c>
      <c r="N672" t="str">
        <f t="shared" si="43"/>
        <v>Иванова Анна СергеевнаКозлов Артур Сергеевич</v>
      </c>
      <c r="O672" t="s">
        <v>55</v>
      </c>
      <c r="P672" t="s">
        <v>215</v>
      </c>
      <c r="Q672" t="s">
        <v>251</v>
      </c>
    </row>
    <row r="673" spans="4:17" x14ac:dyDescent="0.25">
      <c r="D673" t="s">
        <v>38</v>
      </c>
      <c r="E673" t="s">
        <v>187</v>
      </c>
      <c r="F673" t="str">
        <f t="shared" si="40"/>
        <v>2024-08-12</v>
      </c>
      <c r="G673" t="str">
        <f t="shared" si="41"/>
        <v>2024-08-12</v>
      </c>
      <c r="H673">
        <f t="shared" si="42"/>
        <v>0</v>
      </c>
      <c r="J673" t="str">
        <f>K673&amp;L673</f>
        <v>Петров Владимир КирилловичВасильев Андрей Павлович</v>
      </c>
      <c r="K673" t="s">
        <v>19</v>
      </c>
      <c r="L673" t="s">
        <v>151</v>
      </c>
      <c r="M673" t="s">
        <v>364</v>
      </c>
      <c r="N673" t="str">
        <f t="shared" si="43"/>
        <v>Сидорова Елена ВасильевнаИванова Полина Дмитриевна</v>
      </c>
      <c r="O673" t="s">
        <v>8</v>
      </c>
      <c r="P673" t="s">
        <v>91</v>
      </c>
      <c r="Q673" t="s">
        <v>249</v>
      </c>
    </row>
    <row r="674" spans="4:17" x14ac:dyDescent="0.25">
      <c r="D674" t="s">
        <v>38</v>
      </c>
      <c r="E674" t="s">
        <v>54</v>
      </c>
      <c r="F674" t="str">
        <f t="shared" si="40"/>
        <v>2024-07-08</v>
      </c>
      <c r="G674" t="str">
        <f t="shared" si="41"/>
        <v>2024-07-08</v>
      </c>
      <c r="H674">
        <f t="shared" si="42"/>
        <v>0</v>
      </c>
      <c r="J674" t="str">
        <f>K674&amp;L674</f>
        <v>Иванова Анна СергеевнаИванова Полина Дмитриевна</v>
      </c>
      <c r="K674" t="s">
        <v>55</v>
      </c>
      <c r="L674" t="s">
        <v>91</v>
      </c>
      <c r="M674" t="s">
        <v>364</v>
      </c>
      <c r="N674" t="str">
        <f t="shared" si="43"/>
        <v>Петров Владимир КирилловичСмирнов Дмитрий Егорович</v>
      </c>
      <c r="O674" t="s">
        <v>19</v>
      </c>
      <c r="P674" t="s">
        <v>250</v>
      </c>
      <c r="Q674" t="s">
        <v>249</v>
      </c>
    </row>
    <row r="675" spans="4:17" x14ac:dyDescent="0.25">
      <c r="D675" t="s">
        <v>38</v>
      </c>
      <c r="E675" t="s">
        <v>64</v>
      </c>
      <c r="F675" t="str">
        <f t="shared" si="40"/>
        <v>2023-12-25</v>
      </c>
      <c r="G675" t="str">
        <f t="shared" si="41"/>
        <v>2023-12-25</v>
      </c>
      <c r="H675">
        <f t="shared" si="42"/>
        <v>0</v>
      </c>
      <c r="J675" t="str">
        <f>K675&amp;L675</f>
        <v>Петров Владимир КирилловичПетрова Ольга Геннадьевна</v>
      </c>
      <c r="K675" t="s">
        <v>19</v>
      </c>
      <c r="L675" t="s">
        <v>184</v>
      </c>
      <c r="M675" t="s">
        <v>365</v>
      </c>
      <c r="N675" t="str">
        <f t="shared" si="43"/>
        <v>Новикова Ольга ПетровнаСмирнов Роман Кириллович</v>
      </c>
      <c r="O675" t="s">
        <v>29</v>
      </c>
      <c r="P675" t="s">
        <v>125</v>
      </c>
      <c r="Q675" t="s">
        <v>249</v>
      </c>
    </row>
    <row r="676" spans="4:17" x14ac:dyDescent="0.25">
      <c r="D676" t="s">
        <v>38</v>
      </c>
      <c r="E676" t="s">
        <v>400</v>
      </c>
      <c r="F676" t="str">
        <f t="shared" si="40"/>
        <v>2024-06-25</v>
      </c>
      <c r="G676" t="str">
        <f t="shared" si="41"/>
        <v>2024-06-25</v>
      </c>
      <c r="H676">
        <f t="shared" si="42"/>
        <v>0</v>
      </c>
      <c r="J676" t="str">
        <f>K676&amp;L676</f>
        <v>Орлов Павел ДенисовичСмирнова Екатерина Ивановна</v>
      </c>
      <c r="K676" t="s">
        <v>13</v>
      </c>
      <c r="L676" t="s">
        <v>28</v>
      </c>
      <c r="M676" t="s">
        <v>365</v>
      </c>
      <c r="N676" t="str">
        <f t="shared" si="43"/>
        <v>Кузнецов Дмитрий ЛьвовичВолкова Людмила Кирилловна</v>
      </c>
      <c r="O676" t="s">
        <v>11</v>
      </c>
      <c r="P676" t="s">
        <v>139</v>
      </c>
      <c r="Q676" t="s">
        <v>249</v>
      </c>
    </row>
    <row r="677" spans="4:17" x14ac:dyDescent="0.25">
      <c r="D677" t="s">
        <v>38</v>
      </c>
      <c r="E677" t="s">
        <v>188</v>
      </c>
      <c r="F677" t="str">
        <f t="shared" si="40"/>
        <v>2023-11-06</v>
      </c>
      <c r="G677" t="str">
        <f t="shared" si="41"/>
        <v>2024-02-05</v>
      </c>
      <c r="H677">
        <f t="shared" si="42"/>
        <v>91</v>
      </c>
      <c r="J677" t="str">
        <f>K677&amp;L677</f>
        <v>Белов Алексей КонстантиновичНовикова Людмила Кирилловна</v>
      </c>
      <c r="K677" t="s">
        <v>5</v>
      </c>
      <c r="L677" t="s">
        <v>6</v>
      </c>
      <c r="M677" t="s">
        <v>366</v>
      </c>
      <c r="N677" t="str">
        <f t="shared" si="43"/>
        <v>Петров Владимир КирилловичНовикова София Ивановна</v>
      </c>
      <c r="O677" t="s">
        <v>19</v>
      </c>
      <c r="P677" t="s">
        <v>33</v>
      </c>
      <c r="Q677" t="s">
        <v>247</v>
      </c>
    </row>
    <row r="678" spans="4:17" x14ac:dyDescent="0.25">
      <c r="D678" t="s">
        <v>38</v>
      </c>
      <c r="E678" t="s">
        <v>328</v>
      </c>
      <c r="F678" t="str">
        <f t="shared" si="40"/>
        <v>2024-03-27</v>
      </c>
      <c r="G678" t="str">
        <f t="shared" si="41"/>
        <v>2024-03-27</v>
      </c>
      <c r="H678">
        <f t="shared" si="42"/>
        <v>0</v>
      </c>
      <c r="J678" t="str">
        <f>K678&amp;L678</f>
        <v>Иванова Анна СергеевнаПетров Константин Егорович</v>
      </c>
      <c r="K678" t="s">
        <v>55</v>
      </c>
      <c r="L678" t="s">
        <v>102</v>
      </c>
      <c r="M678" t="s">
        <v>367</v>
      </c>
      <c r="N678" t="str">
        <f t="shared" si="43"/>
        <v>Петров Владимир КирилловичСтепанова Александра Дмитриевна</v>
      </c>
      <c r="O678" t="s">
        <v>19</v>
      </c>
      <c r="P678" t="s">
        <v>46</v>
      </c>
      <c r="Q678" t="s">
        <v>247</v>
      </c>
    </row>
    <row r="679" spans="4:17" x14ac:dyDescent="0.25">
      <c r="D679" t="s">
        <v>38</v>
      </c>
      <c r="E679" t="s">
        <v>146</v>
      </c>
      <c r="F679" t="str">
        <f t="shared" si="40"/>
        <v>2024-09-02</v>
      </c>
      <c r="G679" t="str">
        <f t="shared" si="41"/>
        <v>2024-09-02</v>
      </c>
      <c r="H679">
        <f t="shared" si="42"/>
        <v>0</v>
      </c>
      <c r="J679" t="str">
        <f>K679&amp;L679</f>
        <v>Иванова Анна СергеевнаКозлова Полина Михайловна</v>
      </c>
      <c r="K679" t="s">
        <v>55</v>
      </c>
      <c r="L679" t="s">
        <v>87</v>
      </c>
      <c r="M679" t="s">
        <v>367</v>
      </c>
      <c r="N679" t="str">
        <f t="shared" si="43"/>
        <v>Петров Владимир КирилловичНовикова Ольга Викторовна</v>
      </c>
      <c r="O679" t="s">
        <v>19</v>
      </c>
      <c r="P679" t="s">
        <v>47</v>
      </c>
      <c r="Q679" t="s">
        <v>247</v>
      </c>
    </row>
    <row r="680" spans="4:17" x14ac:dyDescent="0.25">
      <c r="D680" t="s">
        <v>38</v>
      </c>
      <c r="E680" t="s">
        <v>127</v>
      </c>
      <c r="F680" t="str">
        <f t="shared" si="40"/>
        <v>2024-01-19</v>
      </c>
      <c r="G680" t="str">
        <f t="shared" si="41"/>
        <v>2024-01-19</v>
      </c>
      <c r="H680">
        <f t="shared" si="42"/>
        <v>0</v>
      </c>
      <c r="J680" t="str">
        <f>K680&amp;L680</f>
        <v>Ткаченко Андрей ОлеговичОрлов Андрей Никитич</v>
      </c>
      <c r="K680" t="s">
        <v>26</v>
      </c>
      <c r="L680" t="s">
        <v>111</v>
      </c>
      <c r="M680" t="s">
        <v>367</v>
      </c>
      <c r="N680" t="str">
        <f t="shared" si="43"/>
        <v>Фролов Сергей ВикторовичЛебедев Никита Викторович</v>
      </c>
      <c r="O680" t="s">
        <v>38</v>
      </c>
      <c r="P680" t="s">
        <v>239</v>
      </c>
      <c r="Q680" t="s">
        <v>247</v>
      </c>
    </row>
    <row r="681" spans="4:17" x14ac:dyDescent="0.25">
      <c r="D681" t="s">
        <v>38</v>
      </c>
      <c r="E681" t="s">
        <v>215</v>
      </c>
      <c r="F681" t="str">
        <f t="shared" si="40"/>
        <v>2024-01-22</v>
      </c>
      <c r="G681" t="str">
        <f t="shared" si="41"/>
        <v>2024-01-22</v>
      </c>
      <c r="H681">
        <f t="shared" si="42"/>
        <v>0</v>
      </c>
      <c r="J681" t="str">
        <f>K681&amp;L681</f>
        <v>Семенова Ирина ВалерьевнаСмирнова Екатерина Ивановна</v>
      </c>
      <c r="K681" t="s">
        <v>16</v>
      </c>
      <c r="L681" t="s">
        <v>28</v>
      </c>
      <c r="M681" t="s">
        <v>367</v>
      </c>
      <c r="N681" t="str">
        <f t="shared" si="43"/>
        <v>Петров Владимир КирилловичКозлов Артур Сергеевич</v>
      </c>
      <c r="O681" t="s">
        <v>19</v>
      </c>
      <c r="P681" t="s">
        <v>215</v>
      </c>
      <c r="Q681" t="s">
        <v>247</v>
      </c>
    </row>
    <row r="682" spans="4:17" x14ac:dyDescent="0.25">
      <c r="D682" t="s">
        <v>38</v>
      </c>
      <c r="E682" t="s">
        <v>153</v>
      </c>
      <c r="F682" t="str">
        <f t="shared" si="40"/>
        <v>2024-01-22</v>
      </c>
      <c r="G682" t="str">
        <f t="shared" si="41"/>
        <v>2024-01-22</v>
      </c>
      <c r="H682">
        <f t="shared" si="42"/>
        <v>0</v>
      </c>
      <c r="J682" t="str">
        <f>K682&amp;L682</f>
        <v>Яковлев Артем ИгоревичВолкова Виктория Артемовна</v>
      </c>
      <c r="K682" t="s">
        <v>21</v>
      </c>
      <c r="L682" t="s">
        <v>159</v>
      </c>
      <c r="M682" t="s">
        <v>367</v>
      </c>
      <c r="N682" t="str">
        <f t="shared" si="43"/>
        <v>Иванова Анна СергеевнаПопова Полина Юрьевна</v>
      </c>
      <c r="O682" t="s">
        <v>55</v>
      </c>
      <c r="P682" t="s">
        <v>248</v>
      </c>
      <c r="Q682" t="s">
        <v>247</v>
      </c>
    </row>
    <row r="683" spans="4:17" x14ac:dyDescent="0.25">
      <c r="D683" t="s">
        <v>38</v>
      </c>
      <c r="E683" t="s">
        <v>34</v>
      </c>
      <c r="F683" t="str">
        <f t="shared" si="40"/>
        <v>2024-02-19</v>
      </c>
      <c r="G683" t="str">
        <f t="shared" si="41"/>
        <v>2024-02-19</v>
      </c>
      <c r="H683">
        <f t="shared" si="42"/>
        <v>0</v>
      </c>
      <c r="J683" t="str">
        <f>K683&amp;L683</f>
        <v>Громова Мария ИльиничнаПопов Сергей Артемович</v>
      </c>
      <c r="K683" t="s">
        <v>43</v>
      </c>
      <c r="L683" t="s">
        <v>174</v>
      </c>
      <c r="M683" t="s">
        <v>367</v>
      </c>
      <c r="N683" t="str">
        <f t="shared" si="43"/>
        <v>Орлов Павел ДенисовичЕгоров Илья Андреевич</v>
      </c>
      <c r="O683" t="s">
        <v>13</v>
      </c>
      <c r="P683" t="s">
        <v>221</v>
      </c>
      <c r="Q683" t="s">
        <v>245</v>
      </c>
    </row>
    <row r="684" spans="4:17" x14ac:dyDescent="0.25">
      <c r="D684" t="s">
        <v>38</v>
      </c>
      <c r="E684" t="s">
        <v>342</v>
      </c>
      <c r="F684" t="str">
        <f t="shared" si="40"/>
        <v>2024-05-20</v>
      </c>
      <c r="G684" t="str">
        <f t="shared" si="41"/>
        <v>2024-05-20</v>
      </c>
      <c r="H684">
        <f t="shared" si="42"/>
        <v>0</v>
      </c>
      <c r="J684" t="str">
        <f>K684&amp;L684</f>
        <v>Яковлев Артем ИгоревичСидоров Егор Павлович</v>
      </c>
      <c r="K684" t="s">
        <v>21</v>
      </c>
      <c r="L684" t="s">
        <v>173</v>
      </c>
      <c r="M684" t="s">
        <v>367</v>
      </c>
      <c r="N684" t="str">
        <f t="shared" si="43"/>
        <v>Фролов Сергей ВикторовичПетрова Наталья Владимировна</v>
      </c>
      <c r="O684" t="s">
        <v>38</v>
      </c>
      <c r="P684" t="s">
        <v>246</v>
      </c>
      <c r="Q684" t="s">
        <v>245</v>
      </c>
    </row>
    <row r="685" spans="4:17" x14ac:dyDescent="0.25">
      <c r="D685" t="s">
        <v>38</v>
      </c>
      <c r="E685" t="s">
        <v>87</v>
      </c>
      <c r="F685" t="str">
        <f t="shared" si="40"/>
        <v>2024-07-15</v>
      </c>
      <c r="G685" t="str">
        <f t="shared" si="41"/>
        <v>2024-07-15</v>
      </c>
      <c r="H685">
        <f t="shared" si="42"/>
        <v>0</v>
      </c>
      <c r="J685" t="str">
        <f>K685&amp;L685</f>
        <v>Белов Алексей КонстантиновичПавлова София Геннадьевна</v>
      </c>
      <c r="K685" t="s">
        <v>5</v>
      </c>
      <c r="L685" t="s">
        <v>126</v>
      </c>
      <c r="M685" t="s">
        <v>367</v>
      </c>
      <c r="N685" t="str">
        <f t="shared" si="43"/>
        <v>Яковлев Артем ИгоревичСтепанова Александра Дмитриевна</v>
      </c>
      <c r="O685" t="s">
        <v>21</v>
      </c>
      <c r="P685" t="s">
        <v>46</v>
      </c>
      <c r="Q685" t="s">
        <v>245</v>
      </c>
    </row>
    <row r="686" spans="4:17" x14ac:dyDescent="0.25">
      <c r="D686" t="s">
        <v>38</v>
      </c>
      <c r="E686" t="s">
        <v>92</v>
      </c>
      <c r="F686" t="str">
        <f t="shared" si="40"/>
        <v>2023-11-20</v>
      </c>
      <c r="G686" t="str">
        <f t="shared" si="41"/>
        <v>2023-11-20</v>
      </c>
      <c r="H686">
        <f t="shared" si="42"/>
        <v>0</v>
      </c>
      <c r="J686" t="str">
        <f>K686&amp;L686</f>
        <v>Орлов Павел ДенисовичКузнецов Кирилл Александрович</v>
      </c>
      <c r="K686" t="s">
        <v>13</v>
      </c>
      <c r="L686" t="s">
        <v>92</v>
      </c>
      <c r="M686" t="s">
        <v>368</v>
      </c>
      <c r="N686" t="str">
        <f t="shared" si="43"/>
        <v>Орлов Павел ДенисовичПетров Никита Павлович</v>
      </c>
      <c r="O686" t="s">
        <v>13</v>
      </c>
      <c r="P686" t="s">
        <v>75</v>
      </c>
      <c r="Q686" t="s">
        <v>244</v>
      </c>
    </row>
    <row r="687" spans="4:17" x14ac:dyDescent="0.25">
      <c r="D687" t="s">
        <v>38</v>
      </c>
      <c r="E687" t="s">
        <v>207</v>
      </c>
      <c r="F687" t="str">
        <f t="shared" si="40"/>
        <v>2024-06-04</v>
      </c>
      <c r="G687" t="str">
        <f t="shared" si="41"/>
        <v>2024-06-04</v>
      </c>
      <c r="H687">
        <f t="shared" si="42"/>
        <v>0</v>
      </c>
      <c r="J687" t="str">
        <f>K687&amp;L687</f>
        <v>Иванова Анна СергеевнаПетров Константин Егорович</v>
      </c>
      <c r="K687" t="s">
        <v>55</v>
      </c>
      <c r="L687" t="s">
        <v>102</v>
      </c>
      <c r="M687" t="s">
        <v>368</v>
      </c>
      <c r="N687" t="str">
        <f t="shared" si="43"/>
        <v>Кузнецов Дмитрий ЛьвовичАлексеев Егор Юрьевич</v>
      </c>
      <c r="O687" t="s">
        <v>11</v>
      </c>
      <c r="P687" t="s">
        <v>193</v>
      </c>
      <c r="Q687" t="s">
        <v>244</v>
      </c>
    </row>
    <row r="688" spans="4:17" x14ac:dyDescent="0.25">
      <c r="D688" t="s">
        <v>38</v>
      </c>
      <c r="E688" t="s">
        <v>115</v>
      </c>
      <c r="F688" t="str">
        <f t="shared" si="40"/>
        <v>2023-10-09</v>
      </c>
      <c r="G688" t="str">
        <f t="shared" si="41"/>
        <v>2023-10-09</v>
      </c>
      <c r="H688">
        <f t="shared" si="42"/>
        <v>0</v>
      </c>
      <c r="J688" t="str">
        <f>K688&amp;L688</f>
        <v>Громова Мария ИльиничнаАлексеев Артур Артемович</v>
      </c>
      <c r="K688" t="s">
        <v>43</v>
      </c>
      <c r="L688" t="s">
        <v>190</v>
      </c>
      <c r="M688" t="s">
        <v>368</v>
      </c>
      <c r="N688" t="str">
        <f t="shared" si="43"/>
        <v>Ткаченко Андрей ОлеговичПавлов Сергей Олегович</v>
      </c>
      <c r="O688" t="s">
        <v>26</v>
      </c>
      <c r="P688" t="s">
        <v>209</v>
      </c>
      <c r="Q688" t="s">
        <v>244</v>
      </c>
    </row>
    <row r="689" spans="4:17" x14ac:dyDescent="0.25">
      <c r="D689" t="s">
        <v>38</v>
      </c>
      <c r="E689" t="s">
        <v>239</v>
      </c>
      <c r="F689" t="str">
        <f t="shared" si="40"/>
        <v>2024-01-01</v>
      </c>
      <c r="G689" t="str">
        <f t="shared" si="41"/>
        <v>2024-01-01</v>
      </c>
      <c r="H689">
        <f t="shared" si="42"/>
        <v>0</v>
      </c>
      <c r="J689" t="str">
        <f>K689&amp;L689</f>
        <v>Белов Алексей КонстантиновичСеменова София Алексеевна</v>
      </c>
      <c r="K689" t="s">
        <v>5</v>
      </c>
      <c r="L689" t="s">
        <v>227</v>
      </c>
      <c r="M689" t="s">
        <v>368</v>
      </c>
      <c r="N689" t="str">
        <f t="shared" si="43"/>
        <v>Орлов Павел ДенисовичВолкова Светлана Ивановна</v>
      </c>
      <c r="O689" t="s">
        <v>13</v>
      </c>
      <c r="P689" t="s">
        <v>64</v>
      </c>
      <c r="Q689" t="s">
        <v>243</v>
      </c>
    </row>
    <row r="690" spans="4:17" x14ac:dyDescent="0.25">
      <c r="D690" t="s">
        <v>38</v>
      </c>
      <c r="E690" t="s">
        <v>340</v>
      </c>
      <c r="F690" t="str">
        <f t="shared" si="40"/>
        <v>2024-08-08</v>
      </c>
      <c r="G690" t="str">
        <f t="shared" si="41"/>
        <v>2024-08-08</v>
      </c>
      <c r="H690">
        <f t="shared" si="42"/>
        <v>0</v>
      </c>
      <c r="J690" t="str">
        <f>K690&amp;L690</f>
        <v>Сидорова Елена ВасильевнаИванов Георгий Павлович</v>
      </c>
      <c r="K690" t="s">
        <v>8</v>
      </c>
      <c r="L690" t="s">
        <v>149</v>
      </c>
      <c r="M690" t="s">
        <v>368</v>
      </c>
      <c r="N690" t="str">
        <f t="shared" si="43"/>
        <v>Петров Владимир КирилловичСтепанов Михаил Егорович</v>
      </c>
      <c r="O690" t="s">
        <v>19</v>
      </c>
      <c r="P690" t="s">
        <v>196</v>
      </c>
      <c r="Q690" t="s">
        <v>243</v>
      </c>
    </row>
    <row r="691" spans="4:17" x14ac:dyDescent="0.25">
      <c r="D691" t="s">
        <v>38</v>
      </c>
      <c r="E691" t="s">
        <v>114</v>
      </c>
      <c r="F691" t="str">
        <f t="shared" si="40"/>
        <v>2024-03-07</v>
      </c>
      <c r="G691" t="str">
        <f t="shared" si="41"/>
        <v>2024-06-17</v>
      </c>
      <c r="H691">
        <f t="shared" si="42"/>
        <v>102</v>
      </c>
      <c r="J691" t="str">
        <f>K691&amp;L691</f>
        <v>Орлов Павел ДенисовичНиколаев Андрей Ильич</v>
      </c>
      <c r="K691" t="s">
        <v>13</v>
      </c>
      <c r="L691" t="s">
        <v>63</v>
      </c>
      <c r="M691" t="s">
        <v>368</v>
      </c>
      <c r="N691" t="str">
        <f t="shared" si="43"/>
        <v>Яковлев Артем ИгоревичАлексеев Егор Юрьевич</v>
      </c>
      <c r="O691" t="s">
        <v>21</v>
      </c>
      <c r="P691" t="s">
        <v>193</v>
      </c>
      <c r="Q691" t="s">
        <v>242</v>
      </c>
    </row>
    <row r="692" spans="4:17" x14ac:dyDescent="0.25">
      <c r="D692" t="s">
        <v>38</v>
      </c>
      <c r="E692" t="s">
        <v>253</v>
      </c>
      <c r="F692" t="str">
        <f t="shared" si="40"/>
        <v>2024-07-05</v>
      </c>
      <c r="G692" t="str">
        <f t="shared" si="41"/>
        <v>2024-07-05</v>
      </c>
      <c r="H692">
        <f t="shared" si="42"/>
        <v>0</v>
      </c>
      <c r="J692" t="str">
        <f>K692&amp;L692</f>
        <v>Иванова Анна СергеевнаФедоров Владимир Артемович</v>
      </c>
      <c r="K692" t="s">
        <v>55</v>
      </c>
      <c r="L692" t="s">
        <v>217</v>
      </c>
      <c r="M692" t="s">
        <v>368</v>
      </c>
      <c r="N692" t="str">
        <f t="shared" si="43"/>
        <v>Фролов Сергей ВикторовичВолкова Светлана Ивановна</v>
      </c>
      <c r="O692" t="s">
        <v>38</v>
      </c>
      <c r="P692" t="s">
        <v>64</v>
      </c>
      <c r="Q692" t="s">
        <v>242</v>
      </c>
    </row>
    <row r="693" spans="4:17" x14ac:dyDescent="0.25">
      <c r="D693" t="s">
        <v>38</v>
      </c>
      <c r="E693" t="s">
        <v>76</v>
      </c>
      <c r="F693" t="str">
        <f t="shared" si="40"/>
        <v>2024-02-12</v>
      </c>
      <c r="G693" t="str">
        <f t="shared" si="41"/>
        <v>2024-02-12</v>
      </c>
      <c r="H693">
        <f t="shared" si="42"/>
        <v>0</v>
      </c>
      <c r="J693" t="str">
        <f>K693&amp;L693</f>
        <v>Петров Владимир КирилловичЕгоров Иван Андреевич</v>
      </c>
      <c r="K693" t="s">
        <v>19</v>
      </c>
      <c r="L693" t="s">
        <v>186</v>
      </c>
      <c r="M693" t="s">
        <v>368</v>
      </c>
      <c r="N693" t="str">
        <f t="shared" si="43"/>
        <v>Кузнецов Дмитрий ЛьвовичНовикова София Ивановна</v>
      </c>
      <c r="O693" t="s">
        <v>11</v>
      </c>
      <c r="P693" t="s">
        <v>33</v>
      </c>
      <c r="Q693" t="s">
        <v>242</v>
      </c>
    </row>
    <row r="694" spans="4:17" x14ac:dyDescent="0.25">
      <c r="D694" t="s">
        <v>38</v>
      </c>
      <c r="E694" t="s">
        <v>33</v>
      </c>
      <c r="F694" t="str">
        <f t="shared" si="40"/>
        <v>2023-10-10</v>
      </c>
      <c r="G694" t="str">
        <f t="shared" si="41"/>
        <v>2023-10-10</v>
      </c>
      <c r="H694">
        <f t="shared" si="42"/>
        <v>0</v>
      </c>
      <c r="J694" t="str">
        <f>K694&amp;L694</f>
        <v>Ткаченко Андрей ОлеговичЛебедева Светлана Андреевна</v>
      </c>
      <c r="K694" t="s">
        <v>26</v>
      </c>
      <c r="L694" t="s">
        <v>176</v>
      </c>
      <c r="M694" t="s">
        <v>368</v>
      </c>
      <c r="N694" t="str">
        <f t="shared" si="43"/>
        <v>Иванова Анна СергеевнаСидоров Егор Павлович</v>
      </c>
      <c r="O694" t="s">
        <v>55</v>
      </c>
      <c r="P694" t="s">
        <v>173</v>
      </c>
      <c r="Q694" t="s">
        <v>242</v>
      </c>
    </row>
    <row r="695" spans="4:17" x14ac:dyDescent="0.25">
      <c r="D695" t="s">
        <v>38</v>
      </c>
      <c r="E695" t="s">
        <v>283</v>
      </c>
      <c r="F695" t="str">
        <f t="shared" si="40"/>
        <v>2024-07-19</v>
      </c>
      <c r="G695" t="str">
        <f t="shared" si="41"/>
        <v>2024-07-19</v>
      </c>
      <c r="H695">
        <f t="shared" si="42"/>
        <v>0</v>
      </c>
      <c r="J695" t="str">
        <f>K695&amp;L695</f>
        <v>Ткаченко Андрей ОлеговичПопова Светлана Геннадьевна</v>
      </c>
      <c r="K695" t="s">
        <v>26</v>
      </c>
      <c r="L695" t="s">
        <v>18</v>
      </c>
      <c r="M695" t="s">
        <v>368</v>
      </c>
      <c r="N695" t="str">
        <f t="shared" si="43"/>
        <v>Кузнецов Дмитрий ЛьвовичФедоров Максим Андреевич</v>
      </c>
      <c r="O695" t="s">
        <v>11</v>
      </c>
      <c r="P695" t="s">
        <v>97</v>
      </c>
      <c r="Q695" t="s">
        <v>242</v>
      </c>
    </row>
    <row r="696" spans="4:17" x14ac:dyDescent="0.25">
      <c r="D696" t="s">
        <v>38</v>
      </c>
      <c r="E696" t="s">
        <v>111</v>
      </c>
      <c r="F696" t="str">
        <f t="shared" si="40"/>
        <v>2023-10-23</v>
      </c>
      <c r="G696" t="str">
        <f t="shared" si="41"/>
        <v>2024-02-29</v>
      </c>
      <c r="H696">
        <f t="shared" si="42"/>
        <v>129</v>
      </c>
      <c r="J696" t="str">
        <f>K696&amp;L696</f>
        <v>Громова Мария ИльиничнаВасильева Виктория Артемовна</v>
      </c>
      <c r="K696" t="s">
        <v>43</v>
      </c>
      <c r="L696" t="s">
        <v>274</v>
      </c>
      <c r="M696" t="s">
        <v>368</v>
      </c>
      <c r="N696" t="str">
        <f t="shared" si="43"/>
        <v>Фролов Сергей ВикторовичФедоров Максим Андреевич</v>
      </c>
      <c r="O696" t="s">
        <v>38</v>
      </c>
      <c r="P696" t="s">
        <v>97</v>
      </c>
      <c r="Q696" t="s">
        <v>242</v>
      </c>
    </row>
    <row r="697" spans="4:17" x14ac:dyDescent="0.25">
      <c r="D697" t="s">
        <v>38</v>
      </c>
      <c r="E697" t="s">
        <v>39</v>
      </c>
      <c r="F697" t="str">
        <f t="shared" si="40"/>
        <v>2023-09-07</v>
      </c>
      <c r="G697" t="str">
        <f t="shared" si="41"/>
        <v>2024-07-22</v>
      </c>
      <c r="H697">
        <f t="shared" si="42"/>
        <v>319</v>
      </c>
      <c r="J697" t="str">
        <f>K697&amp;L697</f>
        <v>Белов Алексей КонстантиновичСидоров Дмитрий Александрович</v>
      </c>
      <c r="K697" t="s">
        <v>5</v>
      </c>
      <c r="L697" t="s">
        <v>255</v>
      </c>
      <c r="M697" t="s">
        <v>369</v>
      </c>
      <c r="N697" t="str">
        <f t="shared" si="43"/>
        <v>Орлов Павел ДенисовичЕгоров Иван Андреевич</v>
      </c>
      <c r="O697" t="s">
        <v>13</v>
      </c>
      <c r="P697" t="s">
        <v>186</v>
      </c>
      <c r="Q697" t="s">
        <v>242</v>
      </c>
    </row>
    <row r="698" spans="4:17" x14ac:dyDescent="0.25">
      <c r="D698" t="s">
        <v>38</v>
      </c>
      <c r="E698" t="s">
        <v>209</v>
      </c>
      <c r="F698" t="str">
        <f t="shared" si="40"/>
        <v>2024-05-20</v>
      </c>
      <c r="G698" t="str">
        <f t="shared" si="41"/>
        <v>2024-05-20</v>
      </c>
      <c r="H698">
        <f t="shared" si="42"/>
        <v>0</v>
      </c>
      <c r="J698" t="str">
        <f>K698&amp;L698</f>
        <v>Орлов Павел ДенисовичПетрова Валерия Викторовна</v>
      </c>
      <c r="K698" t="s">
        <v>13</v>
      </c>
      <c r="L698" t="s">
        <v>275</v>
      </c>
      <c r="M698" t="s">
        <v>369</v>
      </c>
      <c r="N698" t="str">
        <f t="shared" si="43"/>
        <v>Сидорова Елена ВасильевнаВолкова Анна Станиславовна</v>
      </c>
      <c r="O698" t="s">
        <v>8</v>
      </c>
      <c r="P698" t="s">
        <v>54</v>
      </c>
      <c r="Q698" t="s">
        <v>241</v>
      </c>
    </row>
    <row r="699" spans="4:17" x14ac:dyDescent="0.25">
      <c r="D699" t="s">
        <v>38</v>
      </c>
      <c r="E699" t="s">
        <v>144</v>
      </c>
      <c r="F699" t="str">
        <f t="shared" si="40"/>
        <v>2023-10-18</v>
      </c>
      <c r="G699" t="str">
        <f t="shared" si="41"/>
        <v>2024-02-09</v>
      </c>
      <c r="H699">
        <f t="shared" si="42"/>
        <v>114</v>
      </c>
      <c r="J699" t="str">
        <f>K699&amp;L699</f>
        <v>Громова Мария ИльиничнаЕгорова Мария Кирилловна</v>
      </c>
      <c r="K699" t="s">
        <v>43</v>
      </c>
      <c r="L699" t="s">
        <v>370</v>
      </c>
      <c r="M699" t="s">
        <v>371</v>
      </c>
      <c r="N699" t="str">
        <f t="shared" si="43"/>
        <v>Петров Владимир КирилловичИванова Полина Дмитриевна</v>
      </c>
      <c r="O699" t="s">
        <v>19</v>
      </c>
      <c r="P699" t="s">
        <v>91</v>
      </c>
      <c r="Q699" t="s">
        <v>241</v>
      </c>
    </row>
    <row r="700" spans="4:17" x14ac:dyDescent="0.25">
      <c r="D700" t="s">
        <v>38</v>
      </c>
      <c r="E700" t="s">
        <v>102</v>
      </c>
      <c r="F700" t="str">
        <f t="shared" si="40"/>
        <v>2024-03-21</v>
      </c>
      <c r="G700" t="str">
        <f t="shared" si="41"/>
        <v>2024-08-05</v>
      </c>
      <c r="H700">
        <f t="shared" si="42"/>
        <v>137</v>
      </c>
      <c r="J700" t="str">
        <f>K700&amp;L700</f>
        <v>Сидорова Елена ВасильевнаВасильев Илья Алексеевич</v>
      </c>
      <c r="K700" t="s">
        <v>8</v>
      </c>
      <c r="L700" t="s">
        <v>232</v>
      </c>
      <c r="M700" t="s">
        <v>371</v>
      </c>
      <c r="N700" t="str">
        <f t="shared" si="43"/>
        <v>Семенова Ирина ВалерьевнаПопов Никита Андреевич</v>
      </c>
      <c r="O700" t="s">
        <v>16</v>
      </c>
      <c r="P700" t="s">
        <v>165</v>
      </c>
      <c r="Q700" t="s">
        <v>241</v>
      </c>
    </row>
    <row r="701" spans="4:17" x14ac:dyDescent="0.25">
      <c r="D701" t="s">
        <v>38</v>
      </c>
      <c r="E701" t="s">
        <v>75</v>
      </c>
      <c r="F701" t="str">
        <f t="shared" si="40"/>
        <v>2024-09-02</v>
      </c>
      <c r="G701" t="str">
        <f t="shared" si="41"/>
        <v>2024-09-02</v>
      </c>
      <c r="H701">
        <f t="shared" si="42"/>
        <v>0</v>
      </c>
      <c r="J701" t="str">
        <f>K701&amp;L701</f>
        <v>Новикова Ольга ПетровнаНиколаев Никита Викторович</v>
      </c>
      <c r="K701" t="s">
        <v>29</v>
      </c>
      <c r="L701" t="s">
        <v>253</v>
      </c>
      <c r="M701" t="s">
        <v>371</v>
      </c>
      <c r="N701" t="str">
        <f t="shared" si="43"/>
        <v>Фролов Сергей ВикторовичСтепанова Алиса Артемовна</v>
      </c>
      <c r="O701" t="s">
        <v>38</v>
      </c>
      <c r="P701" t="s">
        <v>237</v>
      </c>
      <c r="Q701" t="s">
        <v>241</v>
      </c>
    </row>
    <row r="702" spans="4:17" x14ac:dyDescent="0.25">
      <c r="D702" t="s">
        <v>38</v>
      </c>
      <c r="E702" t="s">
        <v>206</v>
      </c>
      <c r="F702" t="str">
        <f t="shared" si="40"/>
        <v>2023-12-12</v>
      </c>
      <c r="G702" t="str">
        <f t="shared" si="41"/>
        <v>2024-05-02</v>
      </c>
      <c r="H702">
        <f t="shared" si="42"/>
        <v>142</v>
      </c>
      <c r="J702" t="str">
        <f>K702&amp;L702</f>
        <v>Громова Мария ИльиничнаАлексеева Полина Викторовна</v>
      </c>
      <c r="K702" t="s">
        <v>43</v>
      </c>
      <c r="L702" t="s">
        <v>14</v>
      </c>
      <c r="M702" t="s">
        <v>371</v>
      </c>
      <c r="N702" t="str">
        <f t="shared" si="43"/>
        <v>Орлов Павел ДенисовичСмирнова Екатерина Ивановна</v>
      </c>
      <c r="O702" t="s">
        <v>13</v>
      </c>
      <c r="P702" t="s">
        <v>28</v>
      </c>
      <c r="Q702" t="s">
        <v>241</v>
      </c>
    </row>
    <row r="703" spans="4:17" x14ac:dyDescent="0.25">
      <c r="D703" t="s">
        <v>38</v>
      </c>
      <c r="E703" t="s">
        <v>246</v>
      </c>
      <c r="F703" t="str">
        <f t="shared" si="40"/>
        <v>2023-12-29</v>
      </c>
      <c r="G703" t="str">
        <f t="shared" si="41"/>
        <v>2023-12-29</v>
      </c>
      <c r="H703">
        <f t="shared" si="42"/>
        <v>0</v>
      </c>
      <c r="J703" t="str">
        <f>K703&amp;L703</f>
        <v>Белов Алексей КонстантиновичАлексеев Никита Алексеевич</v>
      </c>
      <c r="K703" t="s">
        <v>5</v>
      </c>
      <c r="L703" t="s">
        <v>171</v>
      </c>
      <c r="M703" t="s">
        <v>371</v>
      </c>
      <c r="N703" t="str">
        <f t="shared" si="43"/>
        <v>Орлов Павел ДенисовичНовикова София Ивановна</v>
      </c>
      <c r="O703" t="s">
        <v>13</v>
      </c>
      <c r="P703" t="s">
        <v>33</v>
      </c>
      <c r="Q703" t="s">
        <v>240</v>
      </c>
    </row>
    <row r="704" spans="4:17" x14ac:dyDescent="0.25">
      <c r="D704" t="s">
        <v>38</v>
      </c>
      <c r="E704" t="s">
        <v>61</v>
      </c>
      <c r="F704" t="str">
        <f t="shared" si="40"/>
        <v>2023-09-13</v>
      </c>
      <c r="G704" t="str">
        <f t="shared" si="41"/>
        <v>2023-09-13</v>
      </c>
      <c r="H704">
        <f t="shared" si="42"/>
        <v>0</v>
      </c>
      <c r="J704" t="str">
        <f>K704&amp;L704</f>
        <v>Новикова Ольга ПетровнаПопова Полина Юрьевна</v>
      </c>
      <c r="K704" t="s">
        <v>29</v>
      </c>
      <c r="L704" t="s">
        <v>248</v>
      </c>
      <c r="M704" t="s">
        <v>372</v>
      </c>
      <c r="N704" t="str">
        <f t="shared" si="43"/>
        <v>Сидорова Елена ВасильевнаВасильев Андрей Павлович</v>
      </c>
      <c r="O704" t="s">
        <v>8</v>
      </c>
      <c r="P704" t="s">
        <v>151</v>
      </c>
      <c r="Q704" t="s">
        <v>238</v>
      </c>
    </row>
    <row r="705" spans="4:17" x14ac:dyDescent="0.25">
      <c r="D705" t="s">
        <v>38</v>
      </c>
      <c r="E705" t="s">
        <v>82</v>
      </c>
      <c r="F705" t="str">
        <f t="shared" si="40"/>
        <v>2024-09-02</v>
      </c>
      <c r="G705" t="str">
        <f t="shared" si="41"/>
        <v>2024-09-02</v>
      </c>
      <c r="H705">
        <f t="shared" si="42"/>
        <v>0</v>
      </c>
      <c r="J705" t="str">
        <f>K705&amp;L705</f>
        <v>Сидорова Елена ВасильевнаПетрова Ольга Геннадьевна</v>
      </c>
      <c r="K705" t="s">
        <v>8</v>
      </c>
      <c r="L705" t="s">
        <v>184</v>
      </c>
      <c r="M705" t="s">
        <v>372</v>
      </c>
      <c r="N705" t="str">
        <f t="shared" si="43"/>
        <v>Семенова Ирина ВалерьевнаНиколаев Александр Ильич</v>
      </c>
      <c r="O705" t="s">
        <v>16</v>
      </c>
      <c r="P705" t="s">
        <v>89</v>
      </c>
      <c r="Q705" t="s">
        <v>238</v>
      </c>
    </row>
    <row r="706" spans="4:17" x14ac:dyDescent="0.25">
      <c r="D706" t="s">
        <v>38</v>
      </c>
      <c r="E706" t="s">
        <v>88</v>
      </c>
      <c r="F706" t="str">
        <f t="shared" si="40"/>
        <v>2024-08-26</v>
      </c>
      <c r="G706" t="str">
        <f t="shared" si="41"/>
        <v>2024-08-26</v>
      </c>
      <c r="H706">
        <f t="shared" si="42"/>
        <v>0</v>
      </c>
      <c r="J706" t="str">
        <f>K706&amp;L706</f>
        <v>Сидорова Елена ВасильевнаВасильева Ксения Егоровна</v>
      </c>
      <c r="K706" t="s">
        <v>8</v>
      </c>
      <c r="L706" t="s">
        <v>220</v>
      </c>
      <c r="M706" t="s">
        <v>373</v>
      </c>
      <c r="N706" t="str">
        <f t="shared" si="43"/>
        <v>Громова Мария ИльиничнаЛебедев Никита Викторович</v>
      </c>
      <c r="O706" t="s">
        <v>43</v>
      </c>
      <c r="P706" t="s">
        <v>239</v>
      </c>
      <c r="Q706" t="s">
        <v>238</v>
      </c>
    </row>
    <row r="707" spans="4:17" x14ac:dyDescent="0.25">
      <c r="D707" t="s">
        <v>38</v>
      </c>
      <c r="E707" t="s">
        <v>178</v>
      </c>
      <c r="F707" t="str">
        <f t="shared" ref="F707:F770" si="44">VLOOKUP(D707&amp;E707,J:M,4,0)</f>
        <v>2023-11-27</v>
      </c>
      <c r="G707" t="str">
        <f t="shared" ref="G707:G770" si="45">VLOOKUP(D707&amp;E707,N:Q,4,0)</f>
        <v>2023-11-27</v>
      </c>
      <c r="H707">
        <f t="shared" ref="H707:H770" si="46">G707-F707</f>
        <v>0</v>
      </c>
      <c r="J707" t="str">
        <f>K707&amp;L707</f>
        <v>Громова Мария ИльиничнаКозлов Илья Геннадьевич</v>
      </c>
      <c r="K707" t="s">
        <v>43</v>
      </c>
      <c r="L707" t="s">
        <v>153</v>
      </c>
      <c r="M707" t="s">
        <v>373</v>
      </c>
      <c r="N707" t="str">
        <f t="shared" ref="N707:N770" si="47">O707&amp;P707</f>
        <v>Белов Алексей КонстантиновичСеменова София Алексеевна</v>
      </c>
      <c r="O707" t="s">
        <v>5</v>
      </c>
      <c r="P707" t="s">
        <v>227</v>
      </c>
      <c r="Q707" t="s">
        <v>238</v>
      </c>
    </row>
    <row r="708" spans="4:17" x14ac:dyDescent="0.25">
      <c r="D708" t="s">
        <v>38</v>
      </c>
      <c r="E708" t="s">
        <v>20</v>
      </c>
      <c r="F708" t="str">
        <f t="shared" si="44"/>
        <v>2023-10-02</v>
      </c>
      <c r="G708" t="str">
        <f t="shared" si="45"/>
        <v>2023-10-02</v>
      </c>
      <c r="H708">
        <f t="shared" si="46"/>
        <v>0</v>
      </c>
      <c r="J708" t="str">
        <f>K708&amp;L708</f>
        <v>Орлов Павел ДенисовичАлексеева Юлия Никитична</v>
      </c>
      <c r="K708" t="s">
        <v>13</v>
      </c>
      <c r="L708" t="s">
        <v>93</v>
      </c>
      <c r="M708" t="s">
        <v>373</v>
      </c>
      <c r="N708" t="str">
        <f t="shared" si="47"/>
        <v>Яковлев Артем ИгоревичЛебедева Светлана Андреевна</v>
      </c>
      <c r="O708" t="s">
        <v>21</v>
      </c>
      <c r="P708" t="s">
        <v>176</v>
      </c>
      <c r="Q708" t="s">
        <v>238</v>
      </c>
    </row>
    <row r="709" spans="4:17" x14ac:dyDescent="0.25">
      <c r="D709" t="s">
        <v>38</v>
      </c>
      <c r="E709" t="s">
        <v>73</v>
      </c>
      <c r="F709" t="str">
        <f t="shared" si="44"/>
        <v>2024-03-18</v>
      </c>
      <c r="G709" t="str">
        <f t="shared" si="45"/>
        <v>2024-03-18</v>
      </c>
      <c r="H709">
        <f t="shared" si="46"/>
        <v>0</v>
      </c>
      <c r="J709" t="str">
        <f>K709&amp;L709</f>
        <v>Фролов Сергей ВикторовичПавлов Сергей Олегович</v>
      </c>
      <c r="K709" t="s">
        <v>38</v>
      </c>
      <c r="L709" t="s">
        <v>209</v>
      </c>
      <c r="M709" t="s">
        <v>374</v>
      </c>
      <c r="N709" t="str">
        <f t="shared" si="47"/>
        <v>Орлов Павел ДенисовичСеменова София Алексеевна</v>
      </c>
      <c r="O709" t="s">
        <v>13</v>
      </c>
      <c r="P709" t="s">
        <v>227</v>
      </c>
      <c r="Q709" t="s">
        <v>238</v>
      </c>
    </row>
    <row r="710" spans="4:17" x14ac:dyDescent="0.25">
      <c r="D710" t="s">
        <v>38</v>
      </c>
      <c r="E710" t="s">
        <v>183</v>
      </c>
      <c r="F710" t="str">
        <f t="shared" si="44"/>
        <v>2024-07-22</v>
      </c>
      <c r="G710" t="str">
        <f t="shared" si="45"/>
        <v>2024-07-22</v>
      </c>
      <c r="H710">
        <f t="shared" si="46"/>
        <v>0</v>
      </c>
      <c r="J710" t="str">
        <f>K710&amp;L710</f>
        <v>Петров Владимир КирилловичФедоров Владимир Артемович</v>
      </c>
      <c r="K710" t="s">
        <v>19</v>
      </c>
      <c r="L710" t="s">
        <v>217</v>
      </c>
      <c r="M710" t="s">
        <v>374</v>
      </c>
      <c r="N710" t="str">
        <f t="shared" si="47"/>
        <v>Иванова Анна СергеевнаПопов Сергей Артемович</v>
      </c>
      <c r="O710" t="s">
        <v>55</v>
      </c>
      <c r="P710" t="s">
        <v>174</v>
      </c>
      <c r="Q710" t="s">
        <v>236</v>
      </c>
    </row>
    <row r="711" spans="4:17" x14ac:dyDescent="0.25">
      <c r="D711" t="s">
        <v>38</v>
      </c>
      <c r="E711" t="s">
        <v>59</v>
      </c>
      <c r="F711" t="str">
        <f t="shared" si="44"/>
        <v>2024-04-09</v>
      </c>
      <c r="G711" t="str">
        <f t="shared" si="45"/>
        <v>2024-04-09</v>
      </c>
      <c r="H711">
        <f t="shared" si="46"/>
        <v>0</v>
      </c>
      <c r="J711" t="str">
        <f>K711&amp;L711</f>
        <v>Фролов Сергей ВикторовичКозлова Наталья Романовна</v>
      </c>
      <c r="K711" t="s">
        <v>38</v>
      </c>
      <c r="L711" t="s">
        <v>342</v>
      </c>
      <c r="M711" t="s">
        <v>374</v>
      </c>
      <c r="N711" t="str">
        <f t="shared" si="47"/>
        <v>Сидорова Елена ВасильевнаВолкова Анна Станиславовна</v>
      </c>
      <c r="O711" t="s">
        <v>8</v>
      </c>
      <c r="P711" t="s">
        <v>54</v>
      </c>
      <c r="Q711" t="s">
        <v>236</v>
      </c>
    </row>
    <row r="712" spans="4:17" x14ac:dyDescent="0.25">
      <c r="D712" t="s">
        <v>38</v>
      </c>
      <c r="E712" t="s">
        <v>45</v>
      </c>
      <c r="F712" t="str">
        <f t="shared" si="44"/>
        <v>2023-11-30</v>
      </c>
      <c r="G712" t="str">
        <f t="shared" si="45"/>
        <v>2023-11-30</v>
      </c>
      <c r="H712">
        <f t="shared" si="46"/>
        <v>0</v>
      </c>
      <c r="J712" t="str">
        <f>K712&amp;L712</f>
        <v>Семенова Ирина ВалерьевнаМорозов Илья Станиславович</v>
      </c>
      <c r="K712" t="s">
        <v>16</v>
      </c>
      <c r="L712" t="s">
        <v>114</v>
      </c>
      <c r="M712" t="s">
        <v>374</v>
      </c>
      <c r="N712" t="str">
        <f t="shared" si="47"/>
        <v>Новикова Ольга ПетровнаАлексеев Никита Алексеевич</v>
      </c>
      <c r="O712" t="s">
        <v>29</v>
      </c>
      <c r="P712" t="s">
        <v>171</v>
      </c>
      <c r="Q712" t="s">
        <v>236</v>
      </c>
    </row>
    <row r="713" spans="4:17" x14ac:dyDescent="0.25">
      <c r="D713" t="s">
        <v>38</v>
      </c>
      <c r="E713" t="s">
        <v>125</v>
      </c>
      <c r="F713" t="str">
        <f t="shared" si="44"/>
        <v>2023-10-17</v>
      </c>
      <c r="G713" t="str">
        <f t="shared" si="45"/>
        <v>2023-10-17</v>
      </c>
      <c r="H713">
        <f t="shared" si="46"/>
        <v>0</v>
      </c>
      <c r="J713" t="str">
        <f>K713&amp;L713</f>
        <v>Семенова Ирина ВалерьевнаЛебедев Никита Викторович</v>
      </c>
      <c r="K713" t="s">
        <v>16</v>
      </c>
      <c r="L713" t="s">
        <v>239</v>
      </c>
      <c r="M713" t="s">
        <v>374</v>
      </c>
      <c r="N713" t="str">
        <f t="shared" si="47"/>
        <v>Семенова Ирина ВалерьевнаФедоров Андрей Владимирович</v>
      </c>
      <c r="O713" t="s">
        <v>16</v>
      </c>
      <c r="P713" t="s">
        <v>79</v>
      </c>
      <c r="Q713" t="s">
        <v>236</v>
      </c>
    </row>
    <row r="714" spans="4:17" x14ac:dyDescent="0.25">
      <c r="D714" t="s">
        <v>38</v>
      </c>
      <c r="E714" t="s">
        <v>28</v>
      </c>
      <c r="F714" t="str">
        <f t="shared" si="44"/>
        <v>2024-02-12</v>
      </c>
      <c r="G714" t="str">
        <f t="shared" si="45"/>
        <v>2024-04-01</v>
      </c>
      <c r="H714">
        <f t="shared" si="46"/>
        <v>49</v>
      </c>
      <c r="J714" t="str">
        <f>K714&amp;L714</f>
        <v>Семенова Ирина ВалерьевнаСидорова Екатерина Станиславовна</v>
      </c>
      <c r="K714" t="s">
        <v>16</v>
      </c>
      <c r="L714" t="s">
        <v>194</v>
      </c>
      <c r="M714" t="s">
        <v>374</v>
      </c>
      <c r="N714" t="str">
        <f t="shared" si="47"/>
        <v>Громова Мария ИльиничнаПетрова Ольга Сергеевна</v>
      </c>
      <c r="O714" t="s">
        <v>43</v>
      </c>
      <c r="P714" t="s">
        <v>119</v>
      </c>
      <c r="Q714" t="s">
        <v>236</v>
      </c>
    </row>
    <row r="715" spans="4:17" x14ac:dyDescent="0.25">
      <c r="D715" t="s">
        <v>38</v>
      </c>
      <c r="E715" t="s">
        <v>22</v>
      </c>
      <c r="F715" t="str">
        <f t="shared" si="44"/>
        <v>2024-06-05</v>
      </c>
      <c r="G715" t="str">
        <f t="shared" si="45"/>
        <v>2024-06-10</v>
      </c>
      <c r="H715">
        <f t="shared" si="46"/>
        <v>5</v>
      </c>
      <c r="J715" t="str">
        <f>K715&amp;L715</f>
        <v>Кузнецов Дмитрий ЛьвовичЕгорова Татьяна Ильинична</v>
      </c>
      <c r="K715" t="s">
        <v>11</v>
      </c>
      <c r="L715" t="s">
        <v>188</v>
      </c>
      <c r="M715" t="s">
        <v>374</v>
      </c>
      <c r="N715" t="str">
        <f t="shared" si="47"/>
        <v>Ткаченко Андрей ОлеговичСтепанова Алиса Артемовна</v>
      </c>
      <c r="O715" t="s">
        <v>26</v>
      </c>
      <c r="P715" t="s">
        <v>237</v>
      </c>
      <c r="Q715" t="s">
        <v>236</v>
      </c>
    </row>
    <row r="716" spans="4:17" x14ac:dyDescent="0.25">
      <c r="D716" t="s">
        <v>38</v>
      </c>
      <c r="E716" t="s">
        <v>303</v>
      </c>
      <c r="F716" t="str">
        <f t="shared" si="44"/>
        <v>2024-07-25</v>
      </c>
      <c r="G716" t="str">
        <f t="shared" si="45"/>
        <v>2024-07-25</v>
      </c>
      <c r="H716">
        <f t="shared" si="46"/>
        <v>0</v>
      </c>
      <c r="J716" t="str">
        <f>K716&amp;L716</f>
        <v>Иванова Анна СергеевнаНовикова София Ивановна</v>
      </c>
      <c r="K716" t="s">
        <v>55</v>
      </c>
      <c r="L716" t="s">
        <v>33</v>
      </c>
      <c r="M716" t="s">
        <v>374</v>
      </c>
      <c r="N716" t="str">
        <f t="shared" si="47"/>
        <v>Сидорова Елена ВасильевнаСтепанова Александра Дмитриевна</v>
      </c>
      <c r="O716" t="s">
        <v>8</v>
      </c>
      <c r="P716" t="s">
        <v>46</v>
      </c>
      <c r="Q716" t="s">
        <v>236</v>
      </c>
    </row>
    <row r="717" spans="4:17" x14ac:dyDescent="0.25">
      <c r="D717" t="s">
        <v>38</v>
      </c>
      <c r="E717" t="s">
        <v>237</v>
      </c>
      <c r="F717" t="str">
        <f t="shared" si="44"/>
        <v>2023-12-22</v>
      </c>
      <c r="G717" t="str">
        <f t="shared" si="45"/>
        <v>2023-12-22</v>
      </c>
      <c r="H717">
        <f t="shared" si="46"/>
        <v>0</v>
      </c>
      <c r="J717" t="str">
        <f>K717&amp;L717</f>
        <v>Кузнецов Дмитрий ЛьвовичНовиков Дмитрий Олегович</v>
      </c>
      <c r="K717" t="s">
        <v>11</v>
      </c>
      <c r="L717" t="s">
        <v>375</v>
      </c>
      <c r="M717" t="s">
        <v>374</v>
      </c>
      <c r="N717" t="str">
        <f t="shared" si="47"/>
        <v>Орлов Павел ДенисовичСидорова София Артемовна</v>
      </c>
      <c r="O717" t="s">
        <v>13</v>
      </c>
      <c r="P717" t="s">
        <v>45</v>
      </c>
      <c r="Q717" t="s">
        <v>236</v>
      </c>
    </row>
    <row r="718" spans="4:17" x14ac:dyDescent="0.25">
      <c r="D718" t="s">
        <v>38</v>
      </c>
      <c r="E718" t="s">
        <v>79</v>
      </c>
      <c r="F718" t="str">
        <f t="shared" si="44"/>
        <v>2024-01-15</v>
      </c>
      <c r="G718" t="str">
        <f t="shared" si="45"/>
        <v>2024-01-15</v>
      </c>
      <c r="H718">
        <f t="shared" si="46"/>
        <v>0</v>
      </c>
      <c r="J718" t="str">
        <f>K718&amp;L718</f>
        <v>Ткаченко Андрей ОлеговичСидоров Дмитрий Александрович</v>
      </c>
      <c r="K718" t="s">
        <v>26</v>
      </c>
      <c r="L718" t="s">
        <v>255</v>
      </c>
      <c r="M718" t="s">
        <v>376</v>
      </c>
      <c r="N718" t="str">
        <f t="shared" si="47"/>
        <v>Сидорова Елена ВасильевнаСтепанова Анна Романовна</v>
      </c>
      <c r="O718" t="s">
        <v>8</v>
      </c>
      <c r="P718" t="s">
        <v>234</v>
      </c>
      <c r="Q718" t="s">
        <v>235</v>
      </c>
    </row>
    <row r="719" spans="4:17" x14ac:dyDescent="0.25">
      <c r="D719" t="s">
        <v>38</v>
      </c>
      <c r="E719" t="s">
        <v>97</v>
      </c>
      <c r="F719" t="str">
        <f t="shared" si="44"/>
        <v>2023-12-25</v>
      </c>
      <c r="G719" t="str">
        <f t="shared" si="45"/>
        <v>2024-06-05</v>
      </c>
      <c r="H719">
        <f t="shared" si="46"/>
        <v>163</v>
      </c>
      <c r="J719" t="str">
        <f>K719&amp;L719</f>
        <v>Кузнецов Дмитрий ЛьвовичПавлов Сергей Олегович</v>
      </c>
      <c r="K719" t="s">
        <v>11</v>
      </c>
      <c r="L719" t="s">
        <v>209</v>
      </c>
      <c r="M719" t="s">
        <v>376</v>
      </c>
      <c r="N719" t="str">
        <f t="shared" si="47"/>
        <v>Орлов Павел ДенисовичКозлова Екатерина Викторовна</v>
      </c>
      <c r="O719" t="s">
        <v>13</v>
      </c>
      <c r="P719" t="s">
        <v>202</v>
      </c>
      <c r="Q719" t="s">
        <v>235</v>
      </c>
    </row>
    <row r="720" spans="4:17" x14ac:dyDescent="0.25">
      <c r="D720" t="s">
        <v>38</v>
      </c>
      <c r="E720" t="s">
        <v>104</v>
      </c>
      <c r="F720" t="str">
        <f t="shared" si="44"/>
        <v>2023-09-28</v>
      </c>
      <c r="G720" t="str">
        <f t="shared" si="45"/>
        <v>2024-05-31</v>
      </c>
      <c r="H720">
        <f t="shared" si="46"/>
        <v>246</v>
      </c>
      <c r="J720" t="str">
        <f>K720&amp;L720</f>
        <v>Орлов Павел ДенисовичЛебедева Валерия Геннадьевна</v>
      </c>
      <c r="K720" t="s">
        <v>13</v>
      </c>
      <c r="L720" t="s">
        <v>177</v>
      </c>
      <c r="M720" t="s">
        <v>376</v>
      </c>
      <c r="N720" t="str">
        <f t="shared" si="47"/>
        <v>Новикова Ольга ПетровнаПавлов Андрей Владимирович</v>
      </c>
      <c r="O720" t="s">
        <v>29</v>
      </c>
      <c r="P720" t="s">
        <v>199</v>
      </c>
      <c r="Q720" t="s">
        <v>235</v>
      </c>
    </row>
    <row r="721" spans="4:17" x14ac:dyDescent="0.25">
      <c r="D721" t="s">
        <v>21</v>
      </c>
      <c r="E721" t="s">
        <v>190</v>
      </c>
      <c r="F721" t="str">
        <f t="shared" si="44"/>
        <v>2024-07-30</v>
      </c>
      <c r="G721" t="str">
        <f t="shared" si="45"/>
        <v>2024-07-30</v>
      </c>
      <c r="H721">
        <f t="shared" si="46"/>
        <v>0</v>
      </c>
      <c r="J721" t="str">
        <f>K721&amp;L721</f>
        <v>Белов Алексей КонстантиновичПопов Павел Артемович</v>
      </c>
      <c r="K721" t="s">
        <v>5</v>
      </c>
      <c r="L721" t="s">
        <v>158</v>
      </c>
      <c r="M721" t="s">
        <v>376</v>
      </c>
      <c r="N721" t="str">
        <f t="shared" si="47"/>
        <v>Ткаченко Андрей ОлеговичВасильев Илья Алексеевич</v>
      </c>
      <c r="O721" t="s">
        <v>26</v>
      </c>
      <c r="P721" t="s">
        <v>232</v>
      </c>
      <c r="Q721" t="s">
        <v>233</v>
      </c>
    </row>
    <row r="722" spans="4:17" x14ac:dyDescent="0.25">
      <c r="D722" t="s">
        <v>21</v>
      </c>
      <c r="E722" t="s">
        <v>193</v>
      </c>
      <c r="F722" t="str">
        <f t="shared" si="44"/>
        <v>2023-12-25</v>
      </c>
      <c r="G722" t="str">
        <f t="shared" si="45"/>
        <v>2023-12-25</v>
      </c>
      <c r="H722">
        <f t="shared" si="46"/>
        <v>0</v>
      </c>
      <c r="J722" t="str">
        <f>K722&amp;L722</f>
        <v>Кузнецов Дмитрий ЛьвовичПетров Константин Егорович</v>
      </c>
      <c r="K722" t="s">
        <v>11</v>
      </c>
      <c r="L722" t="s">
        <v>102</v>
      </c>
      <c r="M722" t="s">
        <v>376</v>
      </c>
      <c r="N722" t="str">
        <f t="shared" si="47"/>
        <v>Петров Владимир КирилловичСмирнова Екатерина Ивановна</v>
      </c>
      <c r="O722" t="s">
        <v>19</v>
      </c>
      <c r="P722" t="s">
        <v>28</v>
      </c>
      <c r="Q722" t="s">
        <v>233</v>
      </c>
    </row>
    <row r="723" spans="4:17" x14ac:dyDescent="0.25">
      <c r="D723" t="s">
        <v>21</v>
      </c>
      <c r="E723" t="s">
        <v>72</v>
      </c>
      <c r="F723" t="str">
        <f t="shared" si="44"/>
        <v>2024-08-28</v>
      </c>
      <c r="G723" t="str">
        <f t="shared" si="45"/>
        <v>2024-08-28</v>
      </c>
      <c r="H723">
        <f t="shared" si="46"/>
        <v>0</v>
      </c>
      <c r="J723" t="str">
        <f>K723&amp;L723</f>
        <v>Петров Владимир КирилловичСмирнов Дмитрий Егорович</v>
      </c>
      <c r="K723" t="s">
        <v>19</v>
      </c>
      <c r="L723" t="s">
        <v>250</v>
      </c>
      <c r="M723" t="s">
        <v>377</v>
      </c>
      <c r="N723" t="str">
        <f t="shared" si="47"/>
        <v>Белов Алексей КонстантиновичКузнецова Ирина Павловна</v>
      </c>
      <c r="O723" t="s">
        <v>5</v>
      </c>
      <c r="P723" t="s">
        <v>116</v>
      </c>
      <c r="Q723" t="s">
        <v>233</v>
      </c>
    </row>
    <row r="724" spans="4:17" x14ac:dyDescent="0.25">
      <c r="D724" t="s">
        <v>21</v>
      </c>
      <c r="E724" t="s">
        <v>269</v>
      </c>
      <c r="F724" t="str">
        <f t="shared" si="44"/>
        <v>2024-02-05</v>
      </c>
      <c r="G724" t="str">
        <f t="shared" si="45"/>
        <v>2024-02-09</v>
      </c>
      <c r="H724">
        <f t="shared" si="46"/>
        <v>4</v>
      </c>
      <c r="J724" t="str">
        <f>K724&amp;L724</f>
        <v>Петров Владимир КирилловичФедоров Андрей Владимирович</v>
      </c>
      <c r="K724" t="s">
        <v>19</v>
      </c>
      <c r="L724" t="s">
        <v>79</v>
      </c>
      <c r="M724" t="s">
        <v>378</v>
      </c>
      <c r="N724" t="str">
        <f t="shared" si="47"/>
        <v>Иванова Анна СергеевнаПетров Константин Егорович</v>
      </c>
      <c r="O724" t="s">
        <v>55</v>
      </c>
      <c r="P724" t="s">
        <v>102</v>
      </c>
      <c r="Q724" t="s">
        <v>231</v>
      </c>
    </row>
    <row r="725" spans="4:17" x14ac:dyDescent="0.25">
      <c r="D725" t="s">
        <v>21</v>
      </c>
      <c r="E725" t="s">
        <v>274</v>
      </c>
      <c r="F725" t="str">
        <f t="shared" si="44"/>
        <v>2024-08-09</v>
      </c>
      <c r="G725" t="str">
        <f t="shared" si="45"/>
        <v>2024-08-09</v>
      </c>
      <c r="H725">
        <f t="shared" si="46"/>
        <v>0</v>
      </c>
      <c r="J725" t="str">
        <f>K725&amp;L725</f>
        <v>Орлов Павел ДенисовичОрлова Вероника Андреевна</v>
      </c>
      <c r="K725" t="s">
        <v>13</v>
      </c>
      <c r="L725" t="s">
        <v>100</v>
      </c>
      <c r="M725" t="s">
        <v>378</v>
      </c>
      <c r="N725" t="str">
        <f t="shared" si="47"/>
        <v>Орлов Павел ДенисовичПетрова Виктория Юрьевна</v>
      </c>
      <c r="O725" t="s">
        <v>13</v>
      </c>
      <c r="P725" t="s">
        <v>71</v>
      </c>
      <c r="Q725" t="s">
        <v>231</v>
      </c>
    </row>
    <row r="726" spans="4:17" x14ac:dyDescent="0.25">
      <c r="D726" t="s">
        <v>21</v>
      </c>
      <c r="E726" t="s">
        <v>57</v>
      </c>
      <c r="F726" t="str">
        <f t="shared" si="44"/>
        <v>2024-03-04</v>
      </c>
      <c r="G726" t="str">
        <f t="shared" si="45"/>
        <v>2024-03-04</v>
      </c>
      <c r="H726">
        <f t="shared" si="46"/>
        <v>0</v>
      </c>
      <c r="J726" t="str">
        <f>K726&amp;L726</f>
        <v>Орлов Павел ДенисовичСмирнов Дмитрий Егорович</v>
      </c>
      <c r="K726" t="s">
        <v>13</v>
      </c>
      <c r="L726" t="s">
        <v>250</v>
      </c>
      <c r="M726" t="s">
        <v>379</v>
      </c>
      <c r="N726" t="str">
        <f t="shared" si="47"/>
        <v>Фролов Сергей ВикторовичПетров Павел Юрьевич</v>
      </c>
      <c r="O726" t="s">
        <v>38</v>
      </c>
      <c r="P726" t="s">
        <v>206</v>
      </c>
      <c r="Q726" t="s">
        <v>230</v>
      </c>
    </row>
    <row r="727" spans="4:17" x14ac:dyDescent="0.25">
      <c r="D727" t="s">
        <v>21</v>
      </c>
      <c r="E727" t="s">
        <v>27</v>
      </c>
      <c r="F727" t="str">
        <f t="shared" si="44"/>
        <v>2023-11-08</v>
      </c>
      <c r="G727" t="str">
        <f t="shared" si="45"/>
        <v>2023-11-08</v>
      </c>
      <c r="H727">
        <f t="shared" si="46"/>
        <v>0</v>
      </c>
      <c r="J727" t="str">
        <f>K727&amp;L727</f>
        <v>Кузнецов Дмитрий ЛьвовичВасильева Дарья Андреевна</v>
      </c>
      <c r="K727" t="s">
        <v>11</v>
      </c>
      <c r="L727" t="s">
        <v>57</v>
      </c>
      <c r="M727" t="s">
        <v>379</v>
      </c>
      <c r="N727" t="str">
        <f t="shared" si="47"/>
        <v>Петров Владимир КирилловичПопов Георгий Егорович</v>
      </c>
      <c r="O727" t="s">
        <v>19</v>
      </c>
      <c r="P727" t="s">
        <v>61</v>
      </c>
      <c r="Q727" t="s">
        <v>230</v>
      </c>
    </row>
    <row r="728" spans="4:17" x14ac:dyDescent="0.25">
      <c r="D728" t="s">
        <v>21</v>
      </c>
      <c r="E728" t="s">
        <v>187</v>
      </c>
      <c r="F728" t="str">
        <f t="shared" si="44"/>
        <v>2024-02-15</v>
      </c>
      <c r="G728" t="str">
        <f t="shared" si="45"/>
        <v>2024-07-30</v>
      </c>
      <c r="H728">
        <f t="shared" si="46"/>
        <v>166</v>
      </c>
      <c r="J728" t="str">
        <f>K728&amp;L728</f>
        <v>Кузнецов Дмитрий ЛьвовичСтепанова Алиса Артемовна</v>
      </c>
      <c r="K728" t="s">
        <v>11</v>
      </c>
      <c r="L728" t="s">
        <v>237</v>
      </c>
      <c r="M728" t="s">
        <v>379</v>
      </c>
      <c r="N728" t="str">
        <f t="shared" si="47"/>
        <v>Яковлев Артем ИгоревичОрлов Андрей Никитич</v>
      </c>
      <c r="O728" t="s">
        <v>21</v>
      </c>
      <c r="P728" t="s">
        <v>111</v>
      </c>
      <c r="Q728" t="s">
        <v>229</v>
      </c>
    </row>
    <row r="729" spans="4:17" x14ac:dyDescent="0.25">
      <c r="D729" t="s">
        <v>21</v>
      </c>
      <c r="E729" t="s">
        <v>42</v>
      </c>
      <c r="F729" t="str">
        <f t="shared" si="44"/>
        <v>2024-03-12</v>
      </c>
      <c r="G729" t="str">
        <f t="shared" si="45"/>
        <v>2024-03-12</v>
      </c>
      <c r="H729">
        <f t="shared" si="46"/>
        <v>0</v>
      </c>
      <c r="J729" t="str">
        <f>K729&amp;L729</f>
        <v>Сидорова Елена ВасильевнаЕгоров Алексей Михайлович</v>
      </c>
      <c r="K729" t="s">
        <v>8</v>
      </c>
      <c r="L729" t="s">
        <v>107</v>
      </c>
      <c r="M729" t="s">
        <v>379</v>
      </c>
      <c r="N729" t="str">
        <f t="shared" si="47"/>
        <v>Ткаченко Андрей ОлеговичСмирнова Екатерина Геннадьевна</v>
      </c>
      <c r="O729" t="s">
        <v>26</v>
      </c>
      <c r="P729" t="s">
        <v>169</v>
      </c>
      <c r="Q729" t="s">
        <v>229</v>
      </c>
    </row>
    <row r="730" spans="4:17" x14ac:dyDescent="0.25">
      <c r="D730" t="s">
        <v>21</v>
      </c>
      <c r="E730" t="s">
        <v>54</v>
      </c>
      <c r="F730" t="str">
        <f t="shared" si="44"/>
        <v>2023-09-11</v>
      </c>
      <c r="G730" t="str">
        <f t="shared" si="45"/>
        <v>2023-09-11</v>
      </c>
      <c r="H730">
        <f t="shared" si="46"/>
        <v>0</v>
      </c>
      <c r="J730" t="str">
        <f>K730&amp;L730</f>
        <v>Фролов Сергей ВикторовичАлексеева Полина Викторовна</v>
      </c>
      <c r="K730" t="s">
        <v>38</v>
      </c>
      <c r="L730" t="s">
        <v>14</v>
      </c>
      <c r="M730" t="s">
        <v>379</v>
      </c>
      <c r="N730" t="str">
        <f t="shared" si="47"/>
        <v>Петров Владимир КирилловичКузнецов Кирилл Александрович</v>
      </c>
      <c r="O730" t="s">
        <v>19</v>
      </c>
      <c r="P730" t="s">
        <v>92</v>
      </c>
      <c r="Q730" t="s">
        <v>229</v>
      </c>
    </row>
    <row r="731" spans="4:17" x14ac:dyDescent="0.25">
      <c r="D731" t="s">
        <v>21</v>
      </c>
      <c r="E731" t="s">
        <v>159</v>
      </c>
      <c r="F731" t="str">
        <f t="shared" si="44"/>
        <v>2024-05-10</v>
      </c>
      <c r="G731" t="str">
        <f t="shared" si="45"/>
        <v>2024-05-10</v>
      </c>
      <c r="H731">
        <f t="shared" si="46"/>
        <v>0</v>
      </c>
      <c r="J731" t="str">
        <f>K731&amp;L731</f>
        <v>Кузнецов Дмитрий ЛьвовичПетрова Ольга Геннадьевна</v>
      </c>
      <c r="K731" t="s">
        <v>11</v>
      </c>
      <c r="L731" t="s">
        <v>184</v>
      </c>
      <c r="M731" t="s">
        <v>379</v>
      </c>
      <c r="N731" t="str">
        <f t="shared" si="47"/>
        <v>Новикова Ольга ПетровнаНиколаева Алиса Ильинична</v>
      </c>
      <c r="O731" t="s">
        <v>29</v>
      </c>
      <c r="P731" t="s">
        <v>67</v>
      </c>
      <c r="Q731" t="s">
        <v>229</v>
      </c>
    </row>
    <row r="732" spans="4:17" x14ac:dyDescent="0.25">
      <c r="D732" t="s">
        <v>21</v>
      </c>
      <c r="E732" t="s">
        <v>263</v>
      </c>
      <c r="F732" t="str">
        <f t="shared" si="44"/>
        <v>2024-01-15</v>
      </c>
      <c r="G732" t="str">
        <f t="shared" si="45"/>
        <v>2024-04-05</v>
      </c>
      <c r="H732">
        <f t="shared" si="46"/>
        <v>81</v>
      </c>
      <c r="J732" t="str">
        <f>K732&amp;L732</f>
        <v>Новикова Ольга ПетровнаПавлов Андрей Владимирович</v>
      </c>
      <c r="K732" t="s">
        <v>29</v>
      </c>
      <c r="L732" t="s">
        <v>199</v>
      </c>
      <c r="M732" t="s">
        <v>379</v>
      </c>
      <c r="N732" t="str">
        <f t="shared" si="47"/>
        <v>Громова Мария ИльиничнаФедорова Татьяна Викторовна</v>
      </c>
      <c r="O732" t="s">
        <v>43</v>
      </c>
      <c r="P732" t="s">
        <v>104</v>
      </c>
      <c r="Q732" t="s">
        <v>229</v>
      </c>
    </row>
    <row r="733" spans="4:17" x14ac:dyDescent="0.25">
      <c r="D733" t="s">
        <v>21</v>
      </c>
      <c r="E733" t="s">
        <v>112</v>
      </c>
      <c r="F733" t="str">
        <f t="shared" si="44"/>
        <v>2023-10-02</v>
      </c>
      <c r="G733" t="str">
        <f t="shared" si="45"/>
        <v>2023-10-02</v>
      </c>
      <c r="H733">
        <f t="shared" si="46"/>
        <v>0</v>
      </c>
      <c r="J733" t="str">
        <f>K733&amp;L733</f>
        <v>Кузнецов Дмитрий ЛьвовичЛебедев Михаил Кириллович</v>
      </c>
      <c r="K733" t="s">
        <v>11</v>
      </c>
      <c r="L733" t="s">
        <v>40</v>
      </c>
      <c r="M733" t="s">
        <v>379</v>
      </c>
      <c r="N733" t="str">
        <f t="shared" si="47"/>
        <v>Яковлев Артем ИгоревичСмирнова Елена Олеговна</v>
      </c>
      <c r="O733" t="s">
        <v>21</v>
      </c>
      <c r="P733" t="s">
        <v>22</v>
      </c>
      <c r="Q733" t="s">
        <v>228</v>
      </c>
    </row>
    <row r="734" spans="4:17" x14ac:dyDescent="0.25">
      <c r="D734" t="s">
        <v>21</v>
      </c>
      <c r="E734" t="s">
        <v>49</v>
      </c>
      <c r="F734" t="str">
        <f t="shared" si="44"/>
        <v>2024-03-25</v>
      </c>
      <c r="G734" t="str">
        <f t="shared" si="45"/>
        <v>2024-06-03</v>
      </c>
      <c r="H734">
        <f t="shared" si="46"/>
        <v>70</v>
      </c>
      <c r="J734" t="str">
        <f>K734&amp;L734</f>
        <v>Новикова Ольга ПетровнаПетрова Людмила Олеговна</v>
      </c>
      <c r="K734" t="s">
        <v>29</v>
      </c>
      <c r="L734" t="s">
        <v>333</v>
      </c>
      <c r="M734" t="s">
        <v>379</v>
      </c>
      <c r="N734" t="str">
        <f t="shared" si="47"/>
        <v>Орлов Павел ДенисовичКузнецов Алексей Олегович</v>
      </c>
      <c r="O734" t="s">
        <v>13</v>
      </c>
      <c r="P734" t="s">
        <v>216</v>
      </c>
      <c r="Q734" t="s">
        <v>228</v>
      </c>
    </row>
    <row r="735" spans="4:17" x14ac:dyDescent="0.25">
      <c r="D735" t="s">
        <v>21</v>
      </c>
      <c r="E735" t="s">
        <v>370</v>
      </c>
      <c r="F735" t="str">
        <f t="shared" si="44"/>
        <v>2024-08-29</v>
      </c>
      <c r="G735" t="str">
        <f t="shared" si="45"/>
        <v>2024-08-29</v>
      </c>
      <c r="H735">
        <f t="shared" si="46"/>
        <v>0</v>
      </c>
      <c r="J735" t="str">
        <f>K735&amp;L735</f>
        <v>Ткаченко Андрей ОлеговичНовиков Иван Павлович</v>
      </c>
      <c r="K735" t="s">
        <v>26</v>
      </c>
      <c r="L735" t="s">
        <v>36</v>
      </c>
      <c r="M735" t="s">
        <v>380</v>
      </c>
      <c r="N735" t="str">
        <f t="shared" si="47"/>
        <v>Орлов Павел ДенисовичКузнецов Егор Андреевич</v>
      </c>
      <c r="O735" t="s">
        <v>13</v>
      </c>
      <c r="P735" t="s">
        <v>30</v>
      </c>
      <c r="Q735" t="s">
        <v>226</v>
      </c>
    </row>
    <row r="736" spans="4:17" x14ac:dyDescent="0.25">
      <c r="D736" t="s">
        <v>21</v>
      </c>
      <c r="E736" t="s">
        <v>400</v>
      </c>
      <c r="F736" t="str">
        <f t="shared" si="44"/>
        <v>2024-06-28</v>
      </c>
      <c r="G736" t="str">
        <f t="shared" si="45"/>
        <v>2024-06-28</v>
      </c>
      <c r="H736">
        <f t="shared" si="46"/>
        <v>0</v>
      </c>
      <c r="J736" t="str">
        <f>K736&amp;L736</f>
        <v>Петров Владимир КирилловичПопов Георгий Ильич</v>
      </c>
      <c r="K736" t="s">
        <v>19</v>
      </c>
      <c r="L736" t="s">
        <v>148</v>
      </c>
      <c r="M736" t="s">
        <v>381</v>
      </c>
      <c r="N736" t="str">
        <f t="shared" si="47"/>
        <v>Ткаченко Андрей ОлеговичСеменова София Алексеевна</v>
      </c>
      <c r="O736" t="s">
        <v>26</v>
      </c>
      <c r="P736" t="s">
        <v>227</v>
      </c>
      <c r="Q736" t="s">
        <v>226</v>
      </c>
    </row>
    <row r="737" spans="4:17" x14ac:dyDescent="0.25">
      <c r="D737" t="s">
        <v>21</v>
      </c>
      <c r="E737" t="s">
        <v>188</v>
      </c>
      <c r="F737" t="str">
        <f t="shared" si="44"/>
        <v>2024-06-24</v>
      </c>
      <c r="G737" t="str">
        <f t="shared" si="45"/>
        <v>2024-08-30</v>
      </c>
      <c r="H737">
        <f t="shared" si="46"/>
        <v>67</v>
      </c>
      <c r="J737" t="str">
        <f>K737&amp;L737</f>
        <v>Семенова Ирина ВалерьевнаПавлов Андрей Владимирович</v>
      </c>
      <c r="K737" t="s">
        <v>16</v>
      </c>
      <c r="L737" t="s">
        <v>199</v>
      </c>
      <c r="M737" t="s">
        <v>381</v>
      </c>
      <c r="N737" t="str">
        <f t="shared" si="47"/>
        <v>Белов Алексей КонстантиновичКозлов Роман Егорович</v>
      </c>
      <c r="O737" t="s">
        <v>5</v>
      </c>
      <c r="P737" t="s">
        <v>134</v>
      </c>
      <c r="Q737" t="s">
        <v>226</v>
      </c>
    </row>
    <row r="738" spans="4:17" x14ac:dyDescent="0.25">
      <c r="D738" t="s">
        <v>21</v>
      </c>
      <c r="E738" t="s">
        <v>264</v>
      </c>
      <c r="F738" t="str">
        <f t="shared" si="44"/>
        <v>2024-02-26</v>
      </c>
      <c r="G738" t="str">
        <f t="shared" si="45"/>
        <v>2024-02-26</v>
      </c>
      <c r="H738">
        <f t="shared" si="46"/>
        <v>0</v>
      </c>
      <c r="J738" t="str">
        <f>K738&amp;L738</f>
        <v>Иванова Анна СергеевнаПопова Наталья Станиславовна</v>
      </c>
      <c r="K738" t="s">
        <v>55</v>
      </c>
      <c r="L738" t="s">
        <v>178</v>
      </c>
      <c r="M738" t="s">
        <v>381</v>
      </c>
      <c r="N738" t="str">
        <f t="shared" si="47"/>
        <v>Яковлев Артем ИгоревичПетров Михаил Павлович</v>
      </c>
      <c r="O738" t="s">
        <v>21</v>
      </c>
      <c r="P738" t="s">
        <v>15</v>
      </c>
      <c r="Q738" t="s">
        <v>226</v>
      </c>
    </row>
    <row r="739" spans="4:17" x14ac:dyDescent="0.25">
      <c r="D739" t="s">
        <v>21</v>
      </c>
      <c r="E739" t="s">
        <v>91</v>
      </c>
      <c r="F739" t="str">
        <f t="shared" si="44"/>
        <v>2024-01-12</v>
      </c>
      <c r="G739" t="str">
        <f t="shared" si="45"/>
        <v>2024-01-12</v>
      </c>
      <c r="H739">
        <f t="shared" si="46"/>
        <v>0</v>
      </c>
      <c r="J739" t="str">
        <f>K739&amp;L739</f>
        <v>Сидорова Елена ВасильевнаВасильева Ксения Егоровна</v>
      </c>
      <c r="K739" t="s">
        <v>8</v>
      </c>
      <c r="L739" t="s">
        <v>220</v>
      </c>
      <c r="M739" t="s">
        <v>381</v>
      </c>
      <c r="N739" t="str">
        <f t="shared" si="47"/>
        <v>Новикова Ольга ПетровнаЛебедев Михаил Кириллович</v>
      </c>
      <c r="O739" t="s">
        <v>29</v>
      </c>
      <c r="P739" t="s">
        <v>40</v>
      </c>
      <c r="Q739" t="s">
        <v>225</v>
      </c>
    </row>
    <row r="740" spans="4:17" x14ac:dyDescent="0.25">
      <c r="D740" t="s">
        <v>21</v>
      </c>
      <c r="E740" t="s">
        <v>127</v>
      </c>
      <c r="F740" t="str">
        <f t="shared" si="44"/>
        <v>2023-10-10</v>
      </c>
      <c r="G740" t="str">
        <f t="shared" si="45"/>
        <v>2023-10-10</v>
      </c>
      <c r="H740">
        <f t="shared" si="46"/>
        <v>0</v>
      </c>
      <c r="J740" t="str">
        <f>K740&amp;L740</f>
        <v>Яковлев Артем ИгоревичПопов Георгий Егорович</v>
      </c>
      <c r="K740" t="s">
        <v>21</v>
      </c>
      <c r="L740" t="s">
        <v>61</v>
      </c>
      <c r="M740" t="s">
        <v>381</v>
      </c>
      <c r="N740" t="str">
        <f t="shared" si="47"/>
        <v>Ткаченко Андрей ОлеговичФедорова Екатерина Владимировна</v>
      </c>
      <c r="O740" t="s">
        <v>26</v>
      </c>
      <c r="P740" t="s">
        <v>25</v>
      </c>
      <c r="Q740" t="s">
        <v>225</v>
      </c>
    </row>
    <row r="741" spans="4:17" x14ac:dyDescent="0.25">
      <c r="D741" t="s">
        <v>21</v>
      </c>
      <c r="E741" t="s">
        <v>52</v>
      </c>
      <c r="F741" t="str">
        <f t="shared" si="44"/>
        <v>2023-09-11</v>
      </c>
      <c r="G741" t="str">
        <f t="shared" si="45"/>
        <v>2023-09-11</v>
      </c>
      <c r="H741">
        <f t="shared" si="46"/>
        <v>0</v>
      </c>
      <c r="J741" t="str">
        <f>K741&amp;L741</f>
        <v>Белов Алексей КонстантиновичПетров Павел Юрьевич</v>
      </c>
      <c r="K741" t="s">
        <v>5</v>
      </c>
      <c r="L741" t="s">
        <v>206</v>
      </c>
      <c r="M741" t="s">
        <v>381</v>
      </c>
      <c r="N741" t="str">
        <f t="shared" si="47"/>
        <v>Кузнецов Дмитрий ЛьвовичКузнецов Александр Романович</v>
      </c>
      <c r="O741" t="s">
        <v>11</v>
      </c>
      <c r="P741" t="s">
        <v>78</v>
      </c>
      <c r="Q741" t="s">
        <v>225</v>
      </c>
    </row>
    <row r="742" spans="4:17" x14ac:dyDescent="0.25">
      <c r="D742" t="s">
        <v>21</v>
      </c>
      <c r="E742" t="s">
        <v>34</v>
      </c>
      <c r="F742" t="str">
        <f t="shared" si="44"/>
        <v>2024-04-29</v>
      </c>
      <c r="G742" t="str">
        <f t="shared" si="45"/>
        <v>2024-04-29</v>
      </c>
      <c r="H742">
        <f t="shared" si="46"/>
        <v>0</v>
      </c>
      <c r="J742" t="str">
        <f>K742&amp;L742</f>
        <v>Новикова Ольга ПетровнаПетрова Ольга Сергеевна</v>
      </c>
      <c r="K742" t="s">
        <v>29</v>
      </c>
      <c r="L742" t="s">
        <v>119</v>
      </c>
      <c r="M742" t="s">
        <v>382</v>
      </c>
      <c r="N742" t="str">
        <f t="shared" si="47"/>
        <v>Кузнецов Дмитрий ЛьвовичКозлова Александра Андреевна</v>
      </c>
      <c r="O742" t="s">
        <v>11</v>
      </c>
      <c r="P742" t="s">
        <v>34</v>
      </c>
      <c r="Q742" t="s">
        <v>224</v>
      </c>
    </row>
    <row r="743" spans="4:17" x14ac:dyDescent="0.25">
      <c r="D743" t="s">
        <v>21</v>
      </c>
      <c r="E743" t="s">
        <v>202</v>
      </c>
      <c r="F743" t="str">
        <f t="shared" si="44"/>
        <v>2023-11-14</v>
      </c>
      <c r="G743" t="str">
        <f t="shared" si="45"/>
        <v>2024-01-24</v>
      </c>
      <c r="H743">
        <f t="shared" si="46"/>
        <v>71</v>
      </c>
      <c r="J743" t="str">
        <f>K743&amp;L743</f>
        <v>Орлов Павел ДенисовичНовиков Павел Сергеевич</v>
      </c>
      <c r="K743" t="s">
        <v>13</v>
      </c>
      <c r="L743" t="s">
        <v>145</v>
      </c>
      <c r="M743" t="s">
        <v>383</v>
      </c>
      <c r="N743" t="str">
        <f t="shared" si="47"/>
        <v>Семенова Ирина ВалерьевнаСмирнова Екатерина Ивановна</v>
      </c>
      <c r="O743" t="s">
        <v>16</v>
      </c>
      <c r="P743" t="s">
        <v>28</v>
      </c>
      <c r="Q743" t="s">
        <v>224</v>
      </c>
    </row>
    <row r="744" spans="4:17" x14ac:dyDescent="0.25">
      <c r="D744" t="s">
        <v>21</v>
      </c>
      <c r="E744" t="s">
        <v>167</v>
      </c>
      <c r="F744" t="str">
        <f t="shared" si="44"/>
        <v>2024-06-11</v>
      </c>
      <c r="G744" t="str">
        <f t="shared" si="45"/>
        <v>2024-06-11</v>
      </c>
      <c r="H744">
        <f t="shared" si="46"/>
        <v>0</v>
      </c>
      <c r="J744" t="str">
        <f>K744&amp;L744</f>
        <v>Иванова Анна СергеевнаСмирнова Валерия Станиславовна</v>
      </c>
      <c r="K744" t="s">
        <v>55</v>
      </c>
      <c r="L744" t="s">
        <v>12</v>
      </c>
      <c r="M744" t="s">
        <v>383</v>
      </c>
      <c r="N744" t="str">
        <f t="shared" si="47"/>
        <v>Громова Мария ИльиничнаПетров Артем Егорович</v>
      </c>
      <c r="O744" t="s">
        <v>43</v>
      </c>
      <c r="P744" t="s">
        <v>136</v>
      </c>
      <c r="Q744" t="s">
        <v>224</v>
      </c>
    </row>
    <row r="745" spans="4:17" x14ac:dyDescent="0.25">
      <c r="D745" t="s">
        <v>21</v>
      </c>
      <c r="E745" t="s">
        <v>116</v>
      </c>
      <c r="F745" t="str">
        <f t="shared" si="44"/>
        <v>2023-10-03</v>
      </c>
      <c r="G745" t="str">
        <f t="shared" si="45"/>
        <v>2023-10-23</v>
      </c>
      <c r="H745">
        <f t="shared" si="46"/>
        <v>20</v>
      </c>
      <c r="J745" t="str">
        <f>K745&amp;L745</f>
        <v>Фролов Сергей ВикторовичФедорова Татьяна Викторовна</v>
      </c>
      <c r="K745" t="s">
        <v>38</v>
      </c>
      <c r="L745" t="s">
        <v>104</v>
      </c>
      <c r="M745" t="s">
        <v>383</v>
      </c>
      <c r="N745" t="str">
        <f t="shared" si="47"/>
        <v>Ткаченко Андрей ОлеговичСмирнова Екатерина Геннадьевна</v>
      </c>
      <c r="O745" t="s">
        <v>26</v>
      </c>
      <c r="P745" t="s">
        <v>169</v>
      </c>
      <c r="Q745" t="s">
        <v>224</v>
      </c>
    </row>
    <row r="746" spans="4:17" x14ac:dyDescent="0.25">
      <c r="D746" t="s">
        <v>21</v>
      </c>
      <c r="E746" t="s">
        <v>115</v>
      </c>
      <c r="F746" t="str">
        <f t="shared" si="44"/>
        <v>2024-03-11</v>
      </c>
      <c r="G746" t="str">
        <f t="shared" si="45"/>
        <v>2024-03-11</v>
      </c>
      <c r="H746">
        <f t="shared" si="46"/>
        <v>0</v>
      </c>
      <c r="J746" t="str">
        <f>K746&amp;L746</f>
        <v>Орлов Павел ДенисовичВолков Алексей Никитич</v>
      </c>
      <c r="K746" t="s">
        <v>13</v>
      </c>
      <c r="L746" t="s">
        <v>187</v>
      </c>
      <c r="M746" t="s">
        <v>384</v>
      </c>
      <c r="N746" t="str">
        <f t="shared" si="47"/>
        <v>Громова Мария ИльиничнаПопов Павел Артемович</v>
      </c>
      <c r="O746" t="s">
        <v>43</v>
      </c>
      <c r="P746" t="s">
        <v>158</v>
      </c>
      <c r="Q746" t="s">
        <v>224</v>
      </c>
    </row>
    <row r="747" spans="4:17" x14ac:dyDescent="0.25">
      <c r="D747" t="s">
        <v>21</v>
      </c>
      <c r="E747" t="s">
        <v>176</v>
      </c>
      <c r="F747" t="str">
        <f t="shared" si="44"/>
        <v>2023-12-19</v>
      </c>
      <c r="G747" t="str">
        <f t="shared" si="45"/>
        <v>2023-12-19</v>
      </c>
      <c r="H747">
        <f t="shared" si="46"/>
        <v>0</v>
      </c>
      <c r="J747" t="str">
        <f>K747&amp;L747</f>
        <v>Громова Мария ИльиничнаИванов Андрей Дмитриевич</v>
      </c>
      <c r="K747" t="s">
        <v>43</v>
      </c>
      <c r="L747" t="s">
        <v>328</v>
      </c>
      <c r="M747" t="s">
        <v>384</v>
      </c>
      <c r="N747" t="str">
        <f t="shared" si="47"/>
        <v>Ткаченко Андрей ОлеговичАлексеева Юлия Никитична</v>
      </c>
      <c r="O747" t="s">
        <v>26</v>
      </c>
      <c r="P747" t="s">
        <v>93</v>
      </c>
      <c r="Q747" t="s">
        <v>223</v>
      </c>
    </row>
    <row r="748" spans="4:17" x14ac:dyDescent="0.25">
      <c r="D748" t="s">
        <v>21</v>
      </c>
      <c r="E748" t="s">
        <v>141</v>
      </c>
      <c r="F748" t="str">
        <f t="shared" si="44"/>
        <v>2024-01-05</v>
      </c>
      <c r="G748" t="str">
        <f t="shared" si="45"/>
        <v>2024-03-25</v>
      </c>
      <c r="H748">
        <f t="shared" si="46"/>
        <v>80</v>
      </c>
      <c r="J748" t="str">
        <f>K748&amp;L748</f>
        <v>Кузнецов Дмитрий ЛьвовичНовикова София Ивановна</v>
      </c>
      <c r="K748" t="s">
        <v>11</v>
      </c>
      <c r="L748" t="s">
        <v>33</v>
      </c>
      <c r="M748" t="s">
        <v>384</v>
      </c>
      <c r="N748" t="str">
        <f t="shared" si="47"/>
        <v>Фролов Сергей ВикторовичАлексеев Никита Алексеевич</v>
      </c>
      <c r="O748" t="s">
        <v>38</v>
      </c>
      <c r="P748" t="s">
        <v>171</v>
      </c>
      <c r="Q748" t="s">
        <v>223</v>
      </c>
    </row>
    <row r="749" spans="4:17" x14ac:dyDescent="0.25">
      <c r="D749" t="s">
        <v>21</v>
      </c>
      <c r="E749" t="s">
        <v>114</v>
      </c>
      <c r="F749" t="str">
        <f t="shared" si="44"/>
        <v>2024-01-22</v>
      </c>
      <c r="G749" t="str">
        <f t="shared" si="45"/>
        <v>2024-01-22</v>
      </c>
      <c r="H749">
        <f t="shared" si="46"/>
        <v>0</v>
      </c>
      <c r="J749" t="str">
        <f>K749&amp;L749</f>
        <v>Орлов Павел ДенисовичОрлов Владимир Никитич</v>
      </c>
      <c r="K749" t="s">
        <v>13</v>
      </c>
      <c r="L749" t="s">
        <v>32</v>
      </c>
      <c r="M749" t="s">
        <v>384</v>
      </c>
      <c r="N749" t="str">
        <f t="shared" si="47"/>
        <v>Громова Мария ИльиничнаФедорова Екатерина Владимировна</v>
      </c>
      <c r="O749" t="s">
        <v>43</v>
      </c>
      <c r="P749" t="s">
        <v>25</v>
      </c>
      <c r="Q749" t="s">
        <v>222</v>
      </c>
    </row>
    <row r="750" spans="4:17" x14ac:dyDescent="0.25">
      <c r="D750" t="s">
        <v>21</v>
      </c>
      <c r="E750" t="s">
        <v>129</v>
      </c>
      <c r="F750" t="str">
        <f t="shared" si="44"/>
        <v>2024-08-05</v>
      </c>
      <c r="G750" t="str">
        <f t="shared" si="45"/>
        <v>2024-08-05</v>
      </c>
      <c r="H750">
        <f t="shared" si="46"/>
        <v>0</v>
      </c>
      <c r="J750" t="str">
        <f>K750&amp;L750</f>
        <v>Яковлев Артем ИгоревичЕгоров Сергей Андреевич</v>
      </c>
      <c r="K750" t="s">
        <v>21</v>
      </c>
      <c r="L750" t="s">
        <v>49</v>
      </c>
      <c r="M750" t="s">
        <v>384</v>
      </c>
      <c r="N750" t="str">
        <f t="shared" si="47"/>
        <v>Новикова Ольга ПетровнаВолкова Анна Викторовна</v>
      </c>
      <c r="O750" t="s">
        <v>29</v>
      </c>
      <c r="P750" t="s">
        <v>42</v>
      </c>
      <c r="Q750" t="s">
        <v>222</v>
      </c>
    </row>
    <row r="751" spans="4:17" x14ac:dyDescent="0.25">
      <c r="D751" t="s">
        <v>21</v>
      </c>
      <c r="E751" t="s">
        <v>76</v>
      </c>
      <c r="F751" t="str">
        <f t="shared" si="44"/>
        <v>2024-04-12</v>
      </c>
      <c r="G751" t="str">
        <f t="shared" si="45"/>
        <v>2024-04-12</v>
      </c>
      <c r="H751">
        <f t="shared" si="46"/>
        <v>0</v>
      </c>
      <c r="J751" t="str">
        <f>K751&amp;L751</f>
        <v>Семенова Ирина ВалерьевнаПетрова Виктория Юрьевна</v>
      </c>
      <c r="K751" t="s">
        <v>16</v>
      </c>
      <c r="L751" t="s">
        <v>71</v>
      </c>
      <c r="M751" t="s">
        <v>384</v>
      </c>
      <c r="N751" t="str">
        <f t="shared" si="47"/>
        <v>Петров Владимир КирилловичФедорова Екатерина Владимировна</v>
      </c>
      <c r="O751" t="s">
        <v>19</v>
      </c>
      <c r="P751" t="s">
        <v>25</v>
      </c>
      <c r="Q751" t="s">
        <v>222</v>
      </c>
    </row>
    <row r="752" spans="4:17" x14ac:dyDescent="0.25">
      <c r="D752" t="s">
        <v>21</v>
      </c>
      <c r="E752" t="s">
        <v>33</v>
      </c>
      <c r="F752" t="str">
        <f t="shared" si="44"/>
        <v>2023-09-19</v>
      </c>
      <c r="G752" t="str">
        <f t="shared" si="45"/>
        <v>2024-08-15</v>
      </c>
      <c r="H752">
        <f t="shared" si="46"/>
        <v>331</v>
      </c>
      <c r="J752" t="str">
        <f>K752&amp;L752</f>
        <v>Ткаченко Андрей ОлеговичИванов Андрей Дмитриевич</v>
      </c>
      <c r="K752" t="s">
        <v>26</v>
      </c>
      <c r="L752" t="s">
        <v>328</v>
      </c>
      <c r="M752" t="s">
        <v>384</v>
      </c>
      <c r="N752" t="str">
        <f t="shared" si="47"/>
        <v>Фролов Сергей ВикторовичСидорова София Артемовна</v>
      </c>
      <c r="O752" t="s">
        <v>38</v>
      </c>
      <c r="P752" t="s">
        <v>45</v>
      </c>
      <c r="Q752" t="s">
        <v>219</v>
      </c>
    </row>
    <row r="753" spans="4:17" x14ac:dyDescent="0.25">
      <c r="D753" t="s">
        <v>21</v>
      </c>
      <c r="E753" t="s">
        <v>111</v>
      </c>
      <c r="F753" t="str">
        <f t="shared" si="44"/>
        <v>2023-12-11</v>
      </c>
      <c r="G753" t="str">
        <f t="shared" si="45"/>
        <v>2023-12-11</v>
      </c>
      <c r="H753">
        <f t="shared" si="46"/>
        <v>0</v>
      </c>
      <c r="J753" t="str">
        <f>K753&amp;L753</f>
        <v>Фролов Сергей ВикторовичКузнецов Михаил Иванович</v>
      </c>
      <c r="K753" t="s">
        <v>38</v>
      </c>
      <c r="L753" t="s">
        <v>207</v>
      </c>
      <c r="M753" t="s">
        <v>385</v>
      </c>
      <c r="N753" t="str">
        <f t="shared" si="47"/>
        <v>Новикова Ольга ПетровнаСеменова Полина Сергеевна</v>
      </c>
      <c r="O753" t="s">
        <v>29</v>
      </c>
      <c r="P753" t="s">
        <v>183</v>
      </c>
      <c r="Q753" t="s">
        <v>219</v>
      </c>
    </row>
    <row r="754" spans="4:17" x14ac:dyDescent="0.25">
      <c r="D754" t="s">
        <v>21</v>
      </c>
      <c r="E754" t="s">
        <v>32</v>
      </c>
      <c r="F754" t="str">
        <f t="shared" si="44"/>
        <v>2023-09-06</v>
      </c>
      <c r="G754" t="str">
        <f t="shared" si="45"/>
        <v>2024-03-11</v>
      </c>
      <c r="H754">
        <f t="shared" si="46"/>
        <v>187</v>
      </c>
      <c r="J754" t="str">
        <f>K754&amp;L754</f>
        <v>Яковлев Артем ИгоревичФедоров Максим Андреевич</v>
      </c>
      <c r="K754" t="s">
        <v>21</v>
      </c>
      <c r="L754" t="s">
        <v>97</v>
      </c>
      <c r="M754" t="s">
        <v>385</v>
      </c>
      <c r="N754" t="str">
        <f t="shared" si="47"/>
        <v>Орлов Павел ДенисовичВасильева Ксения Егоровна</v>
      </c>
      <c r="O754" t="s">
        <v>13</v>
      </c>
      <c r="P754" t="s">
        <v>220</v>
      </c>
      <c r="Q754" t="s">
        <v>219</v>
      </c>
    </row>
    <row r="755" spans="4:17" x14ac:dyDescent="0.25">
      <c r="D755" t="s">
        <v>21</v>
      </c>
      <c r="E755" t="s">
        <v>199</v>
      </c>
      <c r="F755" t="str">
        <f t="shared" si="44"/>
        <v>2023-11-13</v>
      </c>
      <c r="G755" t="str">
        <f t="shared" si="45"/>
        <v>2023-11-13</v>
      </c>
      <c r="H755">
        <f t="shared" si="46"/>
        <v>0</v>
      </c>
      <c r="J755" t="str">
        <f>K755&amp;L755</f>
        <v>Новикова Ольга ПетровнаНиколаев Александр Ильич</v>
      </c>
      <c r="K755" t="s">
        <v>29</v>
      </c>
      <c r="L755" t="s">
        <v>89</v>
      </c>
      <c r="M755" t="s">
        <v>386</v>
      </c>
      <c r="N755" t="str">
        <f t="shared" si="47"/>
        <v>Белов Алексей КонстантиновичЕгоров Илья Андреевич</v>
      </c>
      <c r="O755" t="s">
        <v>5</v>
      </c>
      <c r="P755" t="s">
        <v>221</v>
      </c>
      <c r="Q755" t="s">
        <v>219</v>
      </c>
    </row>
    <row r="756" spans="4:17" x14ac:dyDescent="0.25">
      <c r="D756" t="s">
        <v>21</v>
      </c>
      <c r="E756" t="s">
        <v>209</v>
      </c>
      <c r="F756" t="str">
        <f t="shared" si="44"/>
        <v>2024-07-05</v>
      </c>
      <c r="G756" t="str">
        <f t="shared" si="45"/>
        <v>2024-07-05</v>
      </c>
      <c r="H756">
        <f t="shared" si="46"/>
        <v>0</v>
      </c>
      <c r="J756" t="str">
        <f>K756&amp;L756</f>
        <v>Громова Мария ИльиничнаОрлов Андрей Никитич</v>
      </c>
      <c r="K756" t="s">
        <v>43</v>
      </c>
      <c r="L756" t="s">
        <v>111</v>
      </c>
      <c r="M756" t="s">
        <v>386</v>
      </c>
      <c r="N756" t="str">
        <f t="shared" si="47"/>
        <v>Кузнецов Дмитрий ЛьвовичСидоров Кирилл Михайлович</v>
      </c>
      <c r="O756" t="s">
        <v>11</v>
      </c>
      <c r="P756" t="s">
        <v>59</v>
      </c>
      <c r="Q756" t="s">
        <v>218</v>
      </c>
    </row>
    <row r="757" spans="4:17" x14ac:dyDescent="0.25">
      <c r="D757" t="s">
        <v>21</v>
      </c>
      <c r="E757" t="s">
        <v>319</v>
      </c>
      <c r="F757" t="str">
        <f t="shared" si="44"/>
        <v>2024-03-14</v>
      </c>
      <c r="G757" t="str">
        <f t="shared" si="45"/>
        <v>2024-03-14</v>
      </c>
      <c r="H757">
        <f t="shared" si="46"/>
        <v>0</v>
      </c>
      <c r="J757" t="str">
        <f>K757&amp;L757</f>
        <v>Фролов Сергей ВикторовичФедоров Максим Андреевич</v>
      </c>
      <c r="K757" t="s">
        <v>38</v>
      </c>
      <c r="L757" t="s">
        <v>97</v>
      </c>
      <c r="M757" t="s">
        <v>386</v>
      </c>
      <c r="N757" t="str">
        <f t="shared" si="47"/>
        <v>Иванова Анна СергеевнаЛебедева Валерия Геннадьевна</v>
      </c>
      <c r="O757" t="s">
        <v>55</v>
      </c>
      <c r="P757" t="s">
        <v>177</v>
      </c>
      <c r="Q757" t="s">
        <v>218</v>
      </c>
    </row>
    <row r="758" spans="4:17" x14ac:dyDescent="0.25">
      <c r="D758" t="s">
        <v>21</v>
      </c>
      <c r="E758" t="s">
        <v>144</v>
      </c>
      <c r="F758" t="str">
        <f t="shared" si="44"/>
        <v>2024-07-22</v>
      </c>
      <c r="G758" t="str">
        <f t="shared" si="45"/>
        <v>2024-07-22</v>
      </c>
      <c r="H758">
        <f t="shared" si="46"/>
        <v>0</v>
      </c>
      <c r="J758" t="str">
        <f>K758&amp;L758</f>
        <v>Фролов Сергей ВикторовичСмирнова Елена Олеговна</v>
      </c>
      <c r="K758" t="s">
        <v>38</v>
      </c>
      <c r="L758" t="s">
        <v>22</v>
      </c>
      <c r="M758" t="s">
        <v>386</v>
      </c>
      <c r="N758" t="str">
        <f t="shared" si="47"/>
        <v>Семенова Ирина ВалерьевнаНиколаев Андрей Ильич</v>
      </c>
      <c r="O758" t="s">
        <v>16</v>
      </c>
      <c r="P758" t="s">
        <v>63</v>
      </c>
      <c r="Q758" t="s">
        <v>218</v>
      </c>
    </row>
    <row r="759" spans="4:17" x14ac:dyDescent="0.25">
      <c r="D759" t="s">
        <v>21</v>
      </c>
      <c r="E759" t="s">
        <v>419</v>
      </c>
      <c r="F759" t="str">
        <f t="shared" si="44"/>
        <v>2024-07-18</v>
      </c>
      <c r="G759" t="str">
        <f t="shared" si="45"/>
        <v>2024-07-18</v>
      </c>
      <c r="H759">
        <f t="shared" si="46"/>
        <v>0</v>
      </c>
      <c r="J759" t="str">
        <f>K759&amp;L759</f>
        <v>Сидорова Елена ВасильевнаНиколаева Анна Михайловна</v>
      </c>
      <c r="K759" t="s">
        <v>8</v>
      </c>
      <c r="L759" t="s">
        <v>129</v>
      </c>
      <c r="M759" t="s">
        <v>386</v>
      </c>
      <c r="N759" t="str">
        <f t="shared" si="47"/>
        <v>Яковлев Артем ИгоревичСеменов Никита Александрович</v>
      </c>
      <c r="O759" t="s">
        <v>21</v>
      </c>
      <c r="P759" t="s">
        <v>73</v>
      </c>
      <c r="Q759" t="s">
        <v>218</v>
      </c>
    </row>
    <row r="760" spans="4:17" x14ac:dyDescent="0.25">
      <c r="D760" t="s">
        <v>21</v>
      </c>
      <c r="E760" t="s">
        <v>126</v>
      </c>
      <c r="F760" t="str">
        <f t="shared" si="44"/>
        <v>2024-07-05</v>
      </c>
      <c r="G760" t="str">
        <f t="shared" si="45"/>
        <v>2024-07-05</v>
      </c>
      <c r="H760">
        <f t="shared" si="46"/>
        <v>0</v>
      </c>
      <c r="J760" t="str">
        <f>K760&amp;L760</f>
        <v>Яковлев Артем ИгоревичСмирнова Екатерина Геннадьевна</v>
      </c>
      <c r="K760" t="s">
        <v>21</v>
      </c>
      <c r="L760" t="s">
        <v>169</v>
      </c>
      <c r="M760" t="s">
        <v>387</v>
      </c>
      <c r="N760" t="str">
        <f t="shared" si="47"/>
        <v>Иванова Анна СергеевнаСеменова Александра Егоровна</v>
      </c>
      <c r="O760" t="s">
        <v>55</v>
      </c>
      <c r="P760" t="s">
        <v>94</v>
      </c>
      <c r="Q760" t="s">
        <v>214</v>
      </c>
    </row>
    <row r="761" spans="4:17" x14ac:dyDescent="0.25">
      <c r="D761" t="s">
        <v>21</v>
      </c>
      <c r="E761" t="s">
        <v>102</v>
      </c>
      <c r="F761" t="str">
        <f t="shared" si="44"/>
        <v>2024-03-21</v>
      </c>
      <c r="G761" t="str">
        <f t="shared" si="45"/>
        <v>2024-03-21</v>
      </c>
      <c r="H761">
        <f t="shared" si="46"/>
        <v>0</v>
      </c>
      <c r="J761" t="str">
        <f>K761&amp;L761</f>
        <v>Семенова Ирина ВалерьевнаКузнецов Егор Андреевич</v>
      </c>
      <c r="K761" t="s">
        <v>16</v>
      </c>
      <c r="L761" t="s">
        <v>30</v>
      </c>
      <c r="M761" t="s">
        <v>388</v>
      </c>
      <c r="N761" t="str">
        <f t="shared" si="47"/>
        <v>Семенова Ирина ВалерьевнаНовикова София Ивановна</v>
      </c>
      <c r="O761" t="s">
        <v>16</v>
      </c>
      <c r="P761" t="s">
        <v>33</v>
      </c>
      <c r="Q761" t="s">
        <v>214</v>
      </c>
    </row>
    <row r="762" spans="4:17" x14ac:dyDescent="0.25">
      <c r="D762" t="s">
        <v>21</v>
      </c>
      <c r="E762" t="s">
        <v>15</v>
      </c>
      <c r="F762" t="str">
        <f t="shared" si="44"/>
        <v>2023-12-07</v>
      </c>
      <c r="G762" t="str">
        <f t="shared" si="45"/>
        <v>2023-12-07</v>
      </c>
      <c r="H762">
        <f t="shared" si="46"/>
        <v>0</v>
      </c>
      <c r="J762" t="str">
        <f>K762&amp;L762</f>
        <v>Фролов Сергей ВикторовичСмирнова Елена Олеговна</v>
      </c>
      <c r="K762" t="s">
        <v>38</v>
      </c>
      <c r="L762" t="s">
        <v>22</v>
      </c>
      <c r="M762" t="s">
        <v>388</v>
      </c>
      <c r="N762" t="str">
        <f t="shared" si="47"/>
        <v>Фролов Сергей ВикторовичПопова Наталья Станиславовна</v>
      </c>
      <c r="O762" t="s">
        <v>38</v>
      </c>
      <c r="P762" t="s">
        <v>178</v>
      </c>
      <c r="Q762" t="s">
        <v>214</v>
      </c>
    </row>
    <row r="763" spans="4:17" x14ac:dyDescent="0.25">
      <c r="D763" t="s">
        <v>21</v>
      </c>
      <c r="E763" t="s">
        <v>75</v>
      </c>
      <c r="F763" t="str">
        <f t="shared" si="44"/>
        <v>2023-09-18</v>
      </c>
      <c r="G763" t="str">
        <f t="shared" si="45"/>
        <v>2023-09-18</v>
      </c>
      <c r="H763">
        <f t="shared" si="46"/>
        <v>0</v>
      </c>
      <c r="J763" t="str">
        <f>K763&amp;L763</f>
        <v>Громова Мария ИльиничнаВолкова Людмила Кирилловна</v>
      </c>
      <c r="K763" t="s">
        <v>43</v>
      </c>
      <c r="L763" t="s">
        <v>139</v>
      </c>
      <c r="M763" t="s">
        <v>388</v>
      </c>
      <c r="N763" t="str">
        <f t="shared" si="47"/>
        <v>Иванова Анна СергеевнаВолкова Виктория Артемовна</v>
      </c>
      <c r="O763" t="s">
        <v>55</v>
      </c>
      <c r="P763" t="s">
        <v>159</v>
      </c>
      <c r="Q763" t="s">
        <v>214</v>
      </c>
    </row>
    <row r="764" spans="4:17" x14ac:dyDescent="0.25">
      <c r="D764" t="s">
        <v>21</v>
      </c>
      <c r="E764" t="s">
        <v>109</v>
      </c>
      <c r="F764" t="str">
        <f t="shared" si="44"/>
        <v>2023-09-29</v>
      </c>
      <c r="G764" t="str">
        <f t="shared" si="45"/>
        <v>2023-09-29</v>
      </c>
      <c r="H764">
        <f t="shared" si="46"/>
        <v>0</v>
      </c>
      <c r="J764" t="str">
        <f>K764&amp;L764</f>
        <v>Иванова Анна СергеевнаПетров Михаил Павлович</v>
      </c>
      <c r="K764" t="s">
        <v>55</v>
      </c>
      <c r="L764" t="s">
        <v>15</v>
      </c>
      <c r="M764" t="s">
        <v>388</v>
      </c>
      <c r="N764" t="str">
        <f t="shared" si="47"/>
        <v>Орлов Павел ДенисовичСтепанов Кирилл Алексеевич</v>
      </c>
      <c r="O764" t="s">
        <v>13</v>
      </c>
      <c r="P764" t="s">
        <v>200</v>
      </c>
      <c r="Q764" t="s">
        <v>214</v>
      </c>
    </row>
    <row r="765" spans="4:17" x14ac:dyDescent="0.25">
      <c r="D765" t="s">
        <v>21</v>
      </c>
      <c r="E765" t="s">
        <v>184</v>
      </c>
      <c r="F765" t="str">
        <f t="shared" si="44"/>
        <v>2024-01-29</v>
      </c>
      <c r="G765" t="str">
        <f t="shared" si="45"/>
        <v>2024-03-25</v>
      </c>
      <c r="H765">
        <f t="shared" si="46"/>
        <v>56</v>
      </c>
      <c r="J765" t="str">
        <f>K765&amp;L765</f>
        <v>Сидорова Елена ВасильевнаВасильева Ксения Егоровна</v>
      </c>
      <c r="K765" t="s">
        <v>8</v>
      </c>
      <c r="L765" t="s">
        <v>220</v>
      </c>
      <c r="M765" t="s">
        <v>388</v>
      </c>
      <c r="N765" t="str">
        <f t="shared" si="47"/>
        <v>Петров Владимир КирилловичКозлов Артур Сергеевич</v>
      </c>
      <c r="O765" t="s">
        <v>19</v>
      </c>
      <c r="P765" t="s">
        <v>215</v>
      </c>
      <c r="Q765" t="s">
        <v>214</v>
      </c>
    </row>
    <row r="766" spans="4:17" x14ac:dyDescent="0.25">
      <c r="D766" t="s">
        <v>21</v>
      </c>
      <c r="E766" t="s">
        <v>61</v>
      </c>
      <c r="F766" t="str">
        <f t="shared" si="44"/>
        <v>2024-05-29</v>
      </c>
      <c r="G766" t="str">
        <f t="shared" si="45"/>
        <v>2024-05-29</v>
      </c>
      <c r="H766">
        <f t="shared" si="46"/>
        <v>0</v>
      </c>
      <c r="J766" t="str">
        <f>K766&amp;L766</f>
        <v>Иванова Анна СергеевнаСмирнов Роман Кириллович</v>
      </c>
      <c r="K766" t="s">
        <v>55</v>
      </c>
      <c r="L766" t="s">
        <v>125</v>
      </c>
      <c r="M766" t="s">
        <v>388</v>
      </c>
      <c r="N766" t="str">
        <f t="shared" si="47"/>
        <v>Семенова Ирина ВалерьевнаВолкова София Александровна</v>
      </c>
      <c r="O766" t="s">
        <v>16</v>
      </c>
      <c r="P766" t="s">
        <v>112</v>
      </c>
      <c r="Q766" t="s">
        <v>214</v>
      </c>
    </row>
    <row r="767" spans="4:17" x14ac:dyDescent="0.25">
      <c r="D767" t="s">
        <v>21</v>
      </c>
      <c r="E767" t="s">
        <v>148</v>
      </c>
      <c r="F767" t="str">
        <f t="shared" si="44"/>
        <v>2024-04-18</v>
      </c>
      <c r="G767" t="str">
        <f t="shared" si="45"/>
        <v>2024-04-18</v>
      </c>
      <c r="H767">
        <f t="shared" si="46"/>
        <v>0</v>
      </c>
      <c r="J767" t="str">
        <f>K767&amp;L767</f>
        <v>Семенова Ирина ВалерьевнаСеменов Иван Артемович</v>
      </c>
      <c r="K767" t="s">
        <v>16</v>
      </c>
      <c r="L767" t="s">
        <v>295</v>
      </c>
      <c r="M767" t="s">
        <v>388</v>
      </c>
      <c r="N767" t="str">
        <f t="shared" si="47"/>
        <v>Громова Мария ИльиничнаКузнецов Алексей Олегович</v>
      </c>
      <c r="O767" t="s">
        <v>43</v>
      </c>
      <c r="P767" t="s">
        <v>216</v>
      </c>
      <c r="Q767" t="s">
        <v>214</v>
      </c>
    </row>
    <row r="768" spans="4:17" x14ac:dyDescent="0.25">
      <c r="D768" t="s">
        <v>21</v>
      </c>
      <c r="E768" t="s">
        <v>138</v>
      </c>
      <c r="F768" t="str">
        <f t="shared" si="44"/>
        <v>2023-10-16</v>
      </c>
      <c r="G768" t="str">
        <f t="shared" si="45"/>
        <v>2024-06-28</v>
      </c>
      <c r="H768">
        <f t="shared" si="46"/>
        <v>256</v>
      </c>
      <c r="J768" t="str">
        <f>K768&amp;L768</f>
        <v>Орлов Павел ДенисовичПетров Михаил Павлович</v>
      </c>
      <c r="K768" t="s">
        <v>13</v>
      </c>
      <c r="L768" t="s">
        <v>15</v>
      </c>
      <c r="M768" t="s">
        <v>388</v>
      </c>
      <c r="N768" t="str">
        <f t="shared" si="47"/>
        <v>Ткаченко Андрей ОлеговичСидорова София Александровна</v>
      </c>
      <c r="O768" t="s">
        <v>26</v>
      </c>
      <c r="P768" t="s">
        <v>118</v>
      </c>
      <c r="Q768" t="s">
        <v>214</v>
      </c>
    </row>
    <row r="769" spans="4:17" x14ac:dyDescent="0.25">
      <c r="D769" t="s">
        <v>21</v>
      </c>
      <c r="E769" t="s">
        <v>158</v>
      </c>
      <c r="F769" t="str">
        <f t="shared" si="44"/>
        <v>2024-04-15</v>
      </c>
      <c r="G769" t="str">
        <f t="shared" si="45"/>
        <v>2024-04-15</v>
      </c>
      <c r="H769">
        <f t="shared" si="46"/>
        <v>0</v>
      </c>
      <c r="J769" t="str">
        <f>K769&amp;L769</f>
        <v>Сидорова Елена ВасильевнаПетрова Алиса Егоровна</v>
      </c>
      <c r="K769" t="s">
        <v>8</v>
      </c>
      <c r="L769" t="s">
        <v>109</v>
      </c>
      <c r="M769" t="s">
        <v>388</v>
      </c>
      <c r="N769" t="str">
        <f t="shared" si="47"/>
        <v>Громова Мария ИльиничнаПопов Никита Андреевич</v>
      </c>
      <c r="O769" t="s">
        <v>43</v>
      </c>
      <c r="P769" t="s">
        <v>165</v>
      </c>
      <c r="Q769" t="s">
        <v>214</v>
      </c>
    </row>
    <row r="770" spans="4:17" x14ac:dyDescent="0.25">
      <c r="D770" t="s">
        <v>21</v>
      </c>
      <c r="E770" t="s">
        <v>88</v>
      </c>
      <c r="F770" t="str">
        <f t="shared" si="44"/>
        <v>2023-09-21</v>
      </c>
      <c r="G770" t="str">
        <f t="shared" si="45"/>
        <v>2024-08-16</v>
      </c>
      <c r="H770">
        <f t="shared" si="46"/>
        <v>330</v>
      </c>
      <c r="J770" t="str">
        <f>K770&amp;L770</f>
        <v>Петров Владимир КирилловичПетров Артем Егорович</v>
      </c>
      <c r="K770" t="s">
        <v>19</v>
      </c>
      <c r="L770" t="s">
        <v>136</v>
      </c>
      <c r="M770" t="s">
        <v>388</v>
      </c>
      <c r="N770" t="str">
        <f t="shared" si="47"/>
        <v>Петров Владимир КирилловичФедоров Владимир Артемович</v>
      </c>
      <c r="O770" t="s">
        <v>19</v>
      </c>
      <c r="P770" t="s">
        <v>217</v>
      </c>
      <c r="Q770" t="s">
        <v>214</v>
      </c>
    </row>
    <row r="771" spans="4:17" x14ac:dyDescent="0.25">
      <c r="D771" t="s">
        <v>21</v>
      </c>
      <c r="E771" t="s">
        <v>174</v>
      </c>
      <c r="F771" t="str">
        <f t="shared" ref="F771:F790" si="48">VLOOKUP(D771&amp;E771,J:M,4,0)</f>
        <v>2024-04-26</v>
      </c>
      <c r="G771" t="str">
        <f t="shared" ref="G771:G790" si="49">VLOOKUP(D771&amp;E771,N:Q,4,0)</f>
        <v>2024-04-26</v>
      </c>
      <c r="H771">
        <f t="shared" ref="H771:H790" si="50">G771-F771</f>
        <v>0</v>
      </c>
      <c r="J771" t="str">
        <f>K771&amp;L771</f>
        <v>Белов Алексей КонстантиновичЕгоров Никита Олегович</v>
      </c>
      <c r="K771" t="s">
        <v>5</v>
      </c>
      <c r="L771" t="s">
        <v>121</v>
      </c>
      <c r="M771" t="s">
        <v>389</v>
      </c>
      <c r="N771" t="str">
        <f t="shared" ref="N771:N834" si="51">O771&amp;P771</f>
        <v>Петров Владимир КирилловичВолкова Светлана Ивановна</v>
      </c>
      <c r="O771" t="s">
        <v>19</v>
      </c>
      <c r="P771" t="s">
        <v>64</v>
      </c>
      <c r="Q771" t="s">
        <v>213</v>
      </c>
    </row>
    <row r="772" spans="4:17" x14ac:dyDescent="0.25">
      <c r="D772" t="s">
        <v>21</v>
      </c>
      <c r="E772" t="s">
        <v>178</v>
      </c>
      <c r="F772" t="str">
        <f t="shared" si="48"/>
        <v>2023-11-01</v>
      </c>
      <c r="G772" t="str">
        <f t="shared" si="49"/>
        <v>2023-11-01</v>
      </c>
      <c r="H772">
        <f t="shared" si="50"/>
        <v>0</v>
      </c>
      <c r="J772" t="str">
        <f>K772&amp;L772</f>
        <v>Громова Мария ИльиничнаСмирнов Роман Кириллович</v>
      </c>
      <c r="K772" t="s">
        <v>43</v>
      </c>
      <c r="L772" t="s">
        <v>125</v>
      </c>
      <c r="M772" t="s">
        <v>389</v>
      </c>
      <c r="N772" t="str">
        <f t="shared" si="51"/>
        <v>Новикова Ольга ПетровнаВасильев Владимир Алексеевич</v>
      </c>
      <c r="O772" t="s">
        <v>29</v>
      </c>
      <c r="P772" t="s">
        <v>68</v>
      </c>
      <c r="Q772" t="s">
        <v>212</v>
      </c>
    </row>
    <row r="773" spans="4:17" x14ac:dyDescent="0.25">
      <c r="D773" t="s">
        <v>21</v>
      </c>
      <c r="E773" t="s">
        <v>160</v>
      </c>
      <c r="F773" t="str">
        <f t="shared" si="48"/>
        <v>2024-08-07</v>
      </c>
      <c r="G773" t="str">
        <f t="shared" si="49"/>
        <v>2024-08-07</v>
      </c>
      <c r="H773">
        <f t="shared" si="50"/>
        <v>0</v>
      </c>
      <c r="J773" t="str">
        <f>K773&amp;L773</f>
        <v>Петров Владимир КирилловичАлексеев Егор Юрьевич</v>
      </c>
      <c r="K773" t="s">
        <v>19</v>
      </c>
      <c r="L773" t="s">
        <v>193</v>
      </c>
      <c r="M773" t="s">
        <v>389</v>
      </c>
      <c r="N773" t="str">
        <f t="shared" si="51"/>
        <v>Фролов Сергей ВикторовичАлексеева Юлия Никитична</v>
      </c>
      <c r="O773" t="s">
        <v>38</v>
      </c>
      <c r="P773" t="s">
        <v>93</v>
      </c>
      <c r="Q773" t="s">
        <v>210</v>
      </c>
    </row>
    <row r="774" spans="4:17" x14ac:dyDescent="0.25">
      <c r="D774" t="s">
        <v>21</v>
      </c>
      <c r="E774" t="s">
        <v>295</v>
      </c>
      <c r="F774" t="str">
        <f t="shared" si="48"/>
        <v>2024-04-08</v>
      </c>
      <c r="G774" t="str">
        <f t="shared" si="49"/>
        <v>2024-04-08</v>
      </c>
      <c r="H774">
        <f t="shared" si="50"/>
        <v>0</v>
      </c>
      <c r="J774" t="str">
        <f>K774&amp;L774</f>
        <v>Яковлев Артем ИгоревичКузнецов Кирилл Павлович</v>
      </c>
      <c r="K774" t="s">
        <v>21</v>
      </c>
      <c r="L774" t="s">
        <v>167</v>
      </c>
      <c r="M774" t="s">
        <v>389</v>
      </c>
      <c r="N774" t="str">
        <f t="shared" si="51"/>
        <v>Орлов Павел ДенисовичНиколаева Мария Никитична</v>
      </c>
      <c r="O774" t="s">
        <v>13</v>
      </c>
      <c r="P774" t="s">
        <v>211</v>
      </c>
      <c r="Q774" t="s">
        <v>210</v>
      </c>
    </row>
    <row r="775" spans="4:17" x14ac:dyDescent="0.25">
      <c r="D775" t="s">
        <v>21</v>
      </c>
      <c r="E775" t="s">
        <v>20</v>
      </c>
      <c r="F775" t="str">
        <f t="shared" si="48"/>
        <v>2024-03-04</v>
      </c>
      <c r="G775" t="str">
        <f t="shared" si="49"/>
        <v>2024-03-04</v>
      </c>
      <c r="H775">
        <f t="shared" si="50"/>
        <v>0</v>
      </c>
      <c r="J775" t="str">
        <f>K775&amp;L775</f>
        <v>Громова Мария ИльиничнаВолкова Виктория Павловна</v>
      </c>
      <c r="K775" t="s">
        <v>43</v>
      </c>
      <c r="L775" t="s">
        <v>294</v>
      </c>
      <c r="M775" t="s">
        <v>390</v>
      </c>
      <c r="N775" t="str">
        <f t="shared" si="51"/>
        <v>Иванова Анна СергеевнаВасильев Андрей Дмитриевич</v>
      </c>
      <c r="O775" t="s">
        <v>55</v>
      </c>
      <c r="P775" t="s">
        <v>172</v>
      </c>
      <c r="Q775" t="s">
        <v>208</v>
      </c>
    </row>
    <row r="776" spans="4:17" x14ac:dyDescent="0.25">
      <c r="D776" t="s">
        <v>21</v>
      </c>
      <c r="E776" t="s">
        <v>73</v>
      </c>
      <c r="F776" t="str">
        <f t="shared" si="48"/>
        <v>2023-11-28</v>
      </c>
      <c r="G776" t="str">
        <f t="shared" si="49"/>
        <v>2024-01-22</v>
      </c>
      <c r="H776">
        <f t="shared" si="50"/>
        <v>55</v>
      </c>
      <c r="J776" t="str">
        <f>K776&amp;L776</f>
        <v>Кузнецов Дмитрий ЛьвовичКузнецов Кирилл Александрович</v>
      </c>
      <c r="K776" t="s">
        <v>11</v>
      </c>
      <c r="L776" t="s">
        <v>92</v>
      </c>
      <c r="M776" t="s">
        <v>390</v>
      </c>
      <c r="N776" t="str">
        <f t="shared" si="51"/>
        <v>Петров Владимир КирилловичПавлов Сергей Олегович</v>
      </c>
      <c r="O776" t="s">
        <v>19</v>
      </c>
      <c r="P776" t="s">
        <v>209</v>
      </c>
      <c r="Q776" t="s">
        <v>208</v>
      </c>
    </row>
    <row r="777" spans="4:17" x14ac:dyDescent="0.25">
      <c r="D777" t="s">
        <v>21</v>
      </c>
      <c r="E777" t="s">
        <v>173</v>
      </c>
      <c r="F777" t="str">
        <f t="shared" si="48"/>
        <v>2024-05-10</v>
      </c>
      <c r="G777" t="str">
        <f t="shared" si="49"/>
        <v>2024-05-10</v>
      </c>
      <c r="H777">
        <f t="shared" si="50"/>
        <v>0</v>
      </c>
      <c r="J777" t="str">
        <f>K777&amp;L777</f>
        <v>Кузнецов Дмитрий ЛьвовичВасильев Андрей Дмитриевич</v>
      </c>
      <c r="K777" t="s">
        <v>11</v>
      </c>
      <c r="L777" t="s">
        <v>172</v>
      </c>
      <c r="M777" t="s">
        <v>391</v>
      </c>
      <c r="N777" t="str">
        <f t="shared" si="51"/>
        <v>Семенова Ирина ВалерьевнаКозлов Илья Геннадьевич</v>
      </c>
      <c r="O777" t="s">
        <v>16</v>
      </c>
      <c r="P777" t="s">
        <v>153</v>
      </c>
      <c r="Q777" t="s">
        <v>205</v>
      </c>
    </row>
    <row r="778" spans="4:17" x14ac:dyDescent="0.25">
      <c r="D778" t="s">
        <v>21</v>
      </c>
      <c r="E778" t="s">
        <v>59</v>
      </c>
      <c r="F778" t="str">
        <f t="shared" si="48"/>
        <v>2024-04-04</v>
      </c>
      <c r="G778" t="str">
        <f t="shared" si="49"/>
        <v>2024-04-04</v>
      </c>
      <c r="H778">
        <f t="shared" si="50"/>
        <v>0</v>
      </c>
      <c r="J778" t="str">
        <f>K778&amp;L778</f>
        <v>Семенова Ирина ВалерьевнаПопова Наталья Станиславовна</v>
      </c>
      <c r="K778" t="s">
        <v>16</v>
      </c>
      <c r="L778" t="s">
        <v>178</v>
      </c>
      <c r="M778" t="s">
        <v>391</v>
      </c>
      <c r="N778" t="str">
        <f t="shared" si="51"/>
        <v>Иванова Анна СергеевнаПетров Павел Юрьевич</v>
      </c>
      <c r="O778" t="s">
        <v>55</v>
      </c>
      <c r="P778" t="s">
        <v>206</v>
      </c>
      <c r="Q778" t="s">
        <v>205</v>
      </c>
    </row>
    <row r="779" spans="4:17" x14ac:dyDescent="0.25">
      <c r="D779" t="s">
        <v>21</v>
      </c>
      <c r="E779" t="s">
        <v>50</v>
      </c>
      <c r="F779" t="str">
        <f t="shared" si="48"/>
        <v>2024-03-11</v>
      </c>
      <c r="G779" t="str">
        <f t="shared" si="49"/>
        <v>2024-03-11</v>
      </c>
      <c r="H779">
        <f t="shared" si="50"/>
        <v>0</v>
      </c>
      <c r="J779" t="str">
        <f>K779&amp;L779</f>
        <v>Новикова Ольга ПетровнаКузнецов Егор Андреевич</v>
      </c>
      <c r="K779" t="s">
        <v>29</v>
      </c>
      <c r="L779" t="s">
        <v>30</v>
      </c>
      <c r="M779" t="s">
        <v>391</v>
      </c>
      <c r="N779" t="str">
        <f t="shared" si="51"/>
        <v>Белов Алексей КонстантиновичСмирнова Екатерина Ивановна</v>
      </c>
      <c r="O779" t="s">
        <v>5</v>
      </c>
      <c r="P779" t="s">
        <v>28</v>
      </c>
      <c r="Q779" t="s">
        <v>205</v>
      </c>
    </row>
    <row r="780" spans="4:17" x14ac:dyDescent="0.25">
      <c r="D780" t="s">
        <v>21</v>
      </c>
      <c r="E780" t="s">
        <v>258</v>
      </c>
      <c r="F780" t="str">
        <f t="shared" si="48"/>
        <v>2024-01-29</v>
      </c>
      <c r="G780" t="str">
        <f t="shared" si="49"/>
        <v>2024-01-29</v>
      </c>
      <c r="H780">
        <f t="shared" si="50"/>
        <v>0</v>
      </c>
      <c r="J780" t="str">
        <f>K780&amp;L780</f>
        <v>Кузнецов Дмитрий ЛьвовичЛебедев Дмитрий Дмитриевич</v>
      </c>
      <c r="K780" t="s">
        <v>11</v>
      </c>
      <c r="L780" t="s">
        <v>392</v>
      </c>
      <c r="M780" t="s">
        <v>391</v>
      </c>
      <c r="N780" t="str">
        <f t="shared" si="51"/>
        <v>Ткаченко Андрей ОлеговичИванов Георгий Павлович</v>
      </c>
      <c r="O780" t="s">
        <v>26</v>
      </c>
      <c r="P780" t="s">
        <v>149</v>
      </c>
      <c r="Q780" t="s">
        <v>205</v>
      </c>
    </row>
    <row r="781" spans="4:17" x14ac:dyDescent="0.25">
      <c r="D781" t="s">
        <v>21</v>
      </c>
      <c r="E781" t="s">
        <v>125</v>
      </c>
      <c r="F781" t="str">
        <f t="shared" si="48"/>
        <v>2023-10-09</v>
      </c>
      <c r="G781" t="str">
        <f t="shared" si="49"/>
        <v>2023-10-09</v>
      </c>
      <c r="H781">
        <f t="shared" si="50"/>
        <v>0</v>
      </c>
      <c r="J781" t="str">
        <f>K781&amp;L781</f>
        <v>Кузнецов Дмитрий ЛьвовичНовикова Екатерина Павловна</v>
      </c>
      <c r="K781" t="s">
        <v>11</v>
      </c>
      <c r="L781" t="s">
        <v>76</v>
      </c>
      <c r="M781" t="s">
        <v>393</v>
      </c>
      <c r="N781" t="str">
        <f t="shared" si="51"/>
        <v>Фролов Сергей ВикторовичКузнецов Кирилл Александрович</v>
      </c>
      <c r="O781" t="s">
        <v>38</v>
      </c>
      <c r="P781" t="s">
        <v>92</v>
      </c>
      <c r="Q781" t="s">
        <v>205</v>
      </c>
    </row>
    <row r="782" spans="4:17" x14ac:dyDescent="0.25">
      <c r="D782" t="s">
        <v>21</v>
      </c>
      <c r="E782" t="s">
        <v>12</v>
      </c>
      <c r="F782" t="str">
        <f t="shared" si="48"/>
        <v>2024-01-29</v>
      </c>
      <c r="G782" t="str">
        <f t="shared" si="49"/>
        <v>2024-01-29</v>
      </c>
      <c r="H782">
        <f t="shared" si="50"/>
        <v>0</v>
      </c>
      <c r="J782" t="str">
        <f>K782&amp;L782</f>
        <v>Орлов Павел ДенисовичВолкова Светлана Ивановна</v>
      </c>
      <c r="K782" t="s">
        <v>13</v>
      </c>
      <c r="L782" t="s">
        <v>64</v>
      </c>
      <c r="M782" t="s">
        <v>393</v>
      </c>
      <c r="N782" t="str">
        <f t="shared" si="51"/>
        <v>Орлов Павел ДенисовичКозлов Роман Егорович</v>
      </c>
      <c r="O782" t="s">
        <v>13</v>
      </c>
      <c r="P782" t="s">
        <v>134</v>
      </c>
      <c r="Q782" t="s">
        <v>205</v>
      </c>
    </row>
    <row r="783" spans="4:17" x14ac:dyDescent="0.25">
      <c r="D783" t="s">
        <v>21</v>
      </c>
      <c r="E783" t="s">
        <v>169</v>
      </c>
      <c r="F783" t="str">
        <f t="shared" si="48"/>
        <v>2024-06-07</v>
      </c>
      <c r="G783" t="str">
        <f t="shared" si="49"/>
        <v>2024-08-05</v>
      </c>
      <c r="H783">
        <f t="shared" si="50"/>
        <v>59</v>
      </c>
      <c r="J783" t="str">
        <f>K783&amp;L783</f>
        <v>Сидорова Елена ВасильевнаПавлова София Геннадьевна</v>
      </c>
      <c r="K783" t="s">
        <v>8</v>
      </c>
      <c r="L783" t="s">
        <v>126</v>
      </c>
      <c r="M783" t="s">
        <v>394</v>
      </c>
      <c r="N783" t="str">
        <f t="shared" si="51"/>
        <v>Иванова Анна СергеевнаЛебедев Михаил Кириллович</v>
      </c>
      <c r="O783" t="s">
        <v>55</v>
      </c>
      <c r="P783" t="s">
        <v>40</v>
      </c>
      <c r="Q783" t="s">
        <v>205</v>
      </c>
    </row>
    <row r="784" spans="4:17" x14ac:dyDescent="0.25">
      <c r="D784" t="s">
        <v>21</v>
      </c>
      <c r="E784" t="s">
        <v>22</v>
      </c>
      <c r="F784" t="str">
        <f t="shared" si="48"/>
        <v>2023-09-05</v>
      </c>
      <c r="G784" t="str">
        <f t="shared" si="49"/>
        <v>2023-12-08</v>
      </c>
      <c r="H784">
        <f t="shared" si="50"/>
        <v>94</v>
      </c>
      <c r="J784" t="str">
        <f>K784&amp;L784</f>
        <v>Петров Владимир КирилловичСеменов Иван Артемович</v>
      </c>
      <c r="K784" t="s">
        <v>19</v>
      </c>
      <c r="L784" t="s">
        <v>295</v>
      </c>
      <c r="M784" t="s">
        <v>394</v>
      </c>
      <c r="N784" t="str">
        <f t="shared" si="51"/>
        <v>Петров Владимир КирилловичКузнецов Михаил Иванович</v>
      </c>
      <c r="O784" t="s">
        <v>19</v>
      </c>
      <c r="P784" t="s">
        <v>207</v>
      </c>
      <c r="Q784" t="s">
        <v>205</v>
      </c>
    </row>
    <row r="785" spans="4:17" x14ac:dyDescent="0.25">
      <c r="D785" t="s">
        <v>21</v>
      </c>
      <c r="E785" t="s">
        <v>200</v>
      </c>
      <c r="F785" t="str">
        <f t="shared" si="48"/>
        <v>2024-04-16</v>
      </c>
      <c r="G785" t="str">
        <f t="shared" si="49"/>
        <v>2024-04-16</v>
      </c>
      <c r="H785">
        <f t="shared" si="50"/>
        <v>0</v>
      </c>
      <c r="J785" t="str">
        <f>K785&amp;L785</f>
        <v>Петров Владимир КирилловичФедорова Татьяна Викторовна</v>
      </c>
      <c r="K785" t="s">
        <v>19</v>
      </c>
      <c r="L785" t="s">
        <v>104</v>
      </c>
      <c r="M785" t="s">
        <v>394</v>
      </c>
      <c r="N785" t="str">
        <f t="shared" si="51"/>
        <v>Семенова Ирина ВалерьевнаСтепанова Александра Дмитриевна</v>
      </c>
      <c r="O785" t="s">
        <v>16</v>
      </c>
      <c r="P785" t="s">
        <v>46</v>
      </c>
      <c r="Q785" t="s">
        <v>205</v>
      </c>
    </row>
    <row r="786" spans="4:17" x14ac:dyDescent="0.25">
      <c r="D786" t="s">
        <v>21</v>
      </c>
      <c r="E786" t="s">
        <v>46</v>
      </c>
      <c r="F786" t="str">
        <f t="shared" si="48"/>
        <v>2023-12-29</v>
      </c>
      <c r="G786" t="str">
        <f t="shared" si="49"/>
        <v>2023-12-29</v>
      </c>
      <c r="H786">
        <f t="shared" si="50"/>
        <v>0</v>
      </c>
      <c r="J786" t="str">
        <f>K786&amp;L786</f>
        <v>Громова Мария ИльиничнаПопова Полина Сергеевна</v>
      </c>
      <c r="K786" t="s">
        <v>43</v>
      </c>
      <c r="L786" t="s">
        <v>160</v>
      </c>
      <c r="M786" t="s">
        <v>394</v>
      </c>
      <c r="N786" t="str">
        <f t="shared" si="51"/>
        <v>Орлов Павел ДенисовичПетрова Ольга Сергеевна</v>
      </c>
      <c r="O786" t="s">
        <v>13</v>
      </c>
      <c r="P786" t="s">
        <v>119</v>
      </c>
      <c r="Q786" t="s">
        <v>204</v>
      </c>
    </row>
    <row r="787" spans="4:17" x14ac:dyDescent="0.25">
      <c r="D787" t="s">
        <v>21</v>
      </c>
      <c r="E787" t="s">
        <v>234</v>
      </c>
      <c r="F787" t="str">
        <f t="shared" si="48"/>
        <v>2024-07-22</v>
      </c>
      <c r="G787" t="str">
        <f t="shared" si="49"/>
        <v>2024-07-22</v>
      </c>
      <c r="H787">
        <f t="shared" si="50"/>
        <v>0</v>
      </c>
      <c r="J787" t="str">
        <f>K787&amp;L787</f>
        <v>Сидорова Елена ВасильевнаВасильев Илья Алексеевич</v>
      </c>
      <c r="K787" t="s">
        <v>8</v>
      </c>
      <c r="L787" t="s">
        <v>232</v>
      </c>
      <c r="M787" t="s">
        <v>394</v>
      </c>
      <c r="N787" t="str">
        <f t="shared" si="51"/>
        <v>Кузнецов Дмитрий ЛьвовичВолков Павел Иванович</v>
      </c>
      <c r="O787" t="s">
        <v>11</v>
      </c>
      <c r="P787" t="s">
        <v>74</v>
      </c>
      <c r="Q787" t="s">
        <v>204</v>
      </c>
    </row>
    <row r="788" spans="4:17" x14ac:dyDescent="0.25">
      <c r="D788" t="s">
        <v>21</v>
      </c>
      <c r="E788" t="s">
        <v>24</v>
      </c>
      <c r="F788" t="str">
        <f t="shared" si="48"/>
        <v>2024-07-08</v>
      </c>
      <c r="G788" t="str">
        <f t="shared" si="49"/>
        <v>2024-07-08</v>
      </c>
      <c r="H788">
        <f t="shared" si="50"/>
        <v>0</v>
      </c>
      <c r="J788" t="str">
        <f>K788&amp;L788</f>
        <v>Белов Алексей КонстантиновичВасильев Егор Павлович</v>
      </c>
      <c r="K788" t="s">
        <v>5</v>
      </c>
      <c r="L788" t="s">
        <v>65</v>
      </c>
      <c r="M788" t="s">
        <v>394</v>
      </c>
      <c r="N788" t="str">
        <f t="shared" si="51"/>
        <v>Орлов Павел ДенисовичЕгорова Татьяна Ильинична</v>
      </c>
      <c r="O788" t="s">
        <v>13</v>
      </c>
      <c r="P788" t="s">
        <v>188</v>
      </c>
      <c r="Q788" t="s">
        <v>204</v>
      </c>
    </row>
    <row r="789" spans="4:17" x14ac:dyDescent="0.25">
      <c r="D789" t="s">
        <v>21</v>
      </c>
      <c r="E789" t="s">
        <v>97</v>
      </c>
      <c r="F789" t="str">
        <f t="shared" si="48"/>
        <v>2024-02-14</v>
      </c>
      <c r="G789" t="str">
        <f t="shared" si="49"/>
        <v>2024-06-04</v>
      </c>
      <c r="H789">
        <f t="shared" si="50"/>
        <v>111</v>
      </c>
      <c r="J789" t="str">
        <f>K789&amp;L789</f>
        <v>Фролов Сергей ВикторовичМорозов Илья Станиславович</v>
      </c>
      <c r="K789" t="s">
        <v>38</v>
      </c>
      <c r="L789" t="s">
        <v>114</v>
      </c>
      <c r="M789" t="s">
        <v>394</v>
      </c>
      <c r="N789" t="str">
        <f t="shared" si="51"/>
        <v>Фролов Сергей ВикторовичВасильев Егор Павлович</v>
      </c>
      <c r="O789" t="s">
        <v>38</v>
      </c>
      <c r="P789" t="s">
        <v>65</v>
      </c>
      <c r="Q789" t="s">
        <v>203</v>
      </c>
    </row>
    <row r="790" spans="4:17" x14ac:dyDescent="0.25">
      <c r="D790" t="s">
        <v>21</v>
      </c>
      <c r="E790" t="s">
        <v>25</v>
      </c>
      <c r="F790" t="str">
        <f t="shared" si="48"/>
        <v>2024-08-19</v>
      </c>
      <c r="G790" t="str">
        <f t="shared" si="49"/>
        <v>2024-08-19</v>
      </c>
      <c r="H790">
        <f t="shared" si="50"/>
        <v>0</v>
      </c>
      <c r="J790" t="str">
        <f>K790&amp;L790</f>
        <v>Новикова Ольга ПетровнаПопов Роман Владимирович</v>
      </c>
      <c r="K790" t="s">
        <v>29</v>
      </c>
      <c r="L790" t="s">
        <v>88</v>
      </c>
      <c r="M790" t="s">
        <v>395</v>
      </c>
      <c r="N790" t="str">
        <f t="shared" si="51"/>
        <v>Сидорова Елена ВасильевнаИванова Ольга Дмитриевна</v>
      </c>
      <c r="O790" t="s">
        <v>8</v>
      </c>
      <c r="P790" t="s">
        <v>131</v>
      </c>
      <c r="Q790" t="s">
        <v>203</v>
      </c>
    </row>
    <row r="791" spans="4:17" x14ac:dyDescent="0.25">
      <c r="J791" t="str">
        <f>K791&amp;L791</f>
        <v>Сидорова Елена ВасильевнаНовикова София Ивановна</v>
      </c>
      <c r="K791" t="s">
        <v>8</v>
      </c>
      <c r="L791" t="s">
        <v>33</v>
      </c>
      <c r="M791" t="s">
        <v>395</v>
      </c>
      <c r="N791" t="str">
        <f t="shared" si="51"/>
        <v>Кузнецов Дмитрий ЛьвовичПопов Георгий Егорович</v>
      </c>
      <c r="O791" t="s">
        <v>11</v>
      </c>
      <c r="P791" t="s">
        <v>61</v>
      </c>
      <c r="Q791" t="s">
        <v>201</v>
      </c>
    </row>
    <row r="792" spans="4:17" x14ac:dyDescent="0.25">
      <c r="J792" t="str">
        <f>K792&amp;L792</f>
        <v>Яковлев Артем ИгоревичСмирнова Екатерина Геннадьевна</v>
      </c>
      <c r="K792" t="s">
        <v>21</v>
      </c>
      <c r="L792" t="s">
        <v>169</v>
      </c>
      <c r="M792" t="s">
        <v>395</v>
      </c>
      <c r="N792" t="str">
        <f t="shared" si="51"/>
        <v>Петров Владимир КирилловичАлексеева Мария Олеговна</v>
      </c>
      <c r="O792" t="s">
        <v>19</v>
      </c>
      <c r="P792" t="s">
        <v>72</v>
      </c>
      <c r="Q792" t="s">
        <v>201</v>
      </c>
    </row>
    <row r="793" spans="4:17" x14ac:dyDescent="0.25">
      <c r="J793" t="str">
        <f>K793&amp;L793</f>
        <v>Сидорова Елена ВасильевнаПетров Павел Юрьевич</v>
      </c>
      <c r="K793" t="s">
        <v>8</v>
      </c>
      <c r="L793" t="s">
        <v>206</v>
      </c>
      <c r="M793" t="s">
        <v>395</v>
      </c>
      <c r="N793" t="str">
        <f t="shared" si="51"/>
        <v>Новикова Ольга ПетровнаПетров Михаил Павлович</v>
      </c>
      <c r="O793" t="s">
        <v>29</v>
      </c>
      <c r="P793" t="s">
        <v>15</v>
      </c>
      <c r="Q793" t="s">
        <v>201</v>
      </c>
    </row>
    <row r="794" spans="4:17" x14ac:dyDescent="0.25">
      <c r="J794" t="str">
        <f>K794&amp;L794</f>
        <v>Иванова Анна СергеевнаСмирнова Елена Олеговна</v>
      </c>
      <c r="K794" t="s">
        <v>55</v>
      </c>
      <c r="L794" t="s">
        <v>22</v>
      </c>
      <c r="M794" t="s">
        <v>395</v>
      </c>
      <c r="N794" t="str">
        <f t="shared" si="51"/>
        <v>Яковлев Артем ИгоревичКозлова Екатерина Викторовна</v>
      </c>
      <c r="O794" t="s">
        <v>21</v>
      </c>
      <c r="P794" t="s">
        <v>202</v>
      </c>
      <c r="Q794" t="s">
        <v>201</v>
      </c>
    </row>
    <row r="795" spans="4:17" x14ac:dyDescent="0.25">
      <c r="J795" t="str">
        <f>K795&amp;L795</f>
        <v>Семенова Ирина ВалерьевнаИванов Георгий Павлович</v>
      </c>
      <c r="K795" t="s">
        <v>16</v>
      </c>
      <c r="L795" t="s">
        <v>149</v>
      </c>
      <c r="M795" t="s">
        <v>396</v>
      </c>
      <c r="N795" t="str">
        <f t="shared" si="51"/>
        <v>Семенова Ирина ВалерьевнаОрлова Алиса Егоровна</v>
      </c>
      <c r="O795" t="s">
        <v>16</v>
      </c>
      <c r="P795" t="s">
        <v>197</v>
      </c>
      <c r="Q795" t="s">
        <v>198</v>
      </c>
    </row>
    <row r="796" spans="4:17" x14ac:dyDescent="0.25">
      <c r="J796" t="str">
        <f>K796&amp;L796</f>
        <v>Сидорова Елена ВасильевнаКузнецов Кирилл Александрович</v>
      </c>
      <c r="K796" t="s">
        <v>8</v>
      </c>
      <c r="L796" t="s">
        <v>92</v>
      </c>
      <c r="M796" t="s">
        <v>397</v>
      </c>
      <c r="N796" t="str">
        <f t="shared" si="51"/>
        <v>Ткаченко Андрей ОлеговичКозлов Илья Геннадьевич</v>
      </c>
      <c r="O796" t="s">
        <v>26</v>
      </c>
      <c r="P796" t="s">
        <v>153</v>
      </c>
      <c r="Q796" t="s">
        <v>198</v>
      </c>
    </row>
    <row r="797" spans="4:17" x14ac:dyDescent="0.25">
      <c r="J797" t="str">
        <f>K797&amp;L797</f>
        <v>Петров Владимир КирилловичВасильев Андрей Дмитриевич</v>
      </c>
      <c r="K797" t="s">
        <v>19</v>
      </c>
      <c r="L797" t="s">
        <v>172</v>
      </c>
      <c r="M797" t="s">
        <v>397</v>
      </c>
      <c r="N797" t="str">
        <f t="shared" si="51"/>
        <v>Ткаченко Андрей ОлеговичСеменова Полина Сергеевна</v>
      </c>
      <c r="O797" t="s">
        <v>26</v>
      </c>
      <c r="P797" t="s">
        <v>183</v>
      </c>
      <c r="Q797" t="s">
        <v>198</v>
      </c>
    </row>
    <row r="798" spans="4:17" x14ac:dyDescent="0.25">
      <c r="J798" t="str">
        <f>K798&amp;L798</f>
        <v>Белов Алексей КонстантиновичКузнецов Алексей Олегович</v>
      </c>
      <c r="K798" t="s">
        <v>5</v>
      </c>
      <c r="L798" t="s">
        <v>216</v>
      </c>
      <c r="M798" t="s">
        <v>397</v>
      </c>
      <c r="N798" t="str">
        <f t="shared" si="51"/>
        <v>Орлов Павел ДенисовичИванов Георгий Павлович</v>
      </c>
      <c r="O798" t="s">
        <v>13</v>
      </c>
      <c r="P798" t="s">
        <v>149</v>
      </c>
      <c r="Q798" t="s">
        <v>198</v>
      </c>
    </row>
    <row r="799" spans="4:17" x14ac:dyDescent="0.25">
      <c r="J799" t="str">
        <f>K799&amp;L799</f>
        <v>Орлов Павел ДенисовичВолкова Екатерина Егоровна</v>
      </c>
      <c r="K799" t="s">
        <v>13</v>
      </c>
      <c r="L799" t="s">
        <v>58</v>
      </c>
      <c r="M799" t="s">
        <v>397</v>
      </c>
      <c r="N799" t="str">
        <f t="shared" si="51"/>
        <v>Яковлев Артем ИгоревичПавлов Андрей Владимирович</v>
      </c>
      <c r="O799" t="s">
        <v>21</v>
      </c>
      <c r="P799" t="s">
        <v>199</v>
      </c>
      <c r="Q799" t="s">
        <v>198</v>
      </c>
    </row>
    <row r="800" spans="4:17" x14ac:dyDescent="0.25">
      <c r="J800" t="str">
        <f>K800&amp;L800</f>
        <v>Петров Владимир КирилловичКузнецов Егор Андреевич</v>
      </c>
      <c r="K800" t="s">
        <v>19</v>
      </c>
      <c r="L800" t="s">
        <v>30</v>
      </c>
      <c r="M800" t="s">
        <v>397</v>
      </c>
      <c r="N800" t="str">
        <f t="shared" si="51"/>
        <v>Громова Мария ИльиничнаСтепанов Кирилл Алексеевич</v>
      </c>
      <c r="O800" t="s">
        <v>43</v>
      </c>
      <c r="P800" t="s">
        <v>200</v>
      </c>
      <c r="Q800" t="s">
        <v>198</v>
      </c>
    </row>
    <row r="801" spans="10:17" x14ac:dyDescent="0.25">
      <c r="J801" t="str">
        <f>K801&amp;L801</f>
        <v>Яковлев Артем ИгоревичЕгорова Татьяна Ильинична</v>
      </c>
      <c r="K801" t="s">
        <v>21</v>
      </c>
      <c r="L801" t="s">
        <v>188</v>
      </c>
      <c r="M801" t="s">
        <v>398</v>
      </c>
      <c r="N801" t="str">
        <f t="shared" si="51"/>
        <v>Ткаченко Андрей ОлеговичПопов Роман Владимирович</v>
      </c>
      <c r="O801" t="s">
        <v>26</v>
      </c>
      <c r="P801" t="s">
        <v>88</v>
      </c>
      <c r="Q801" t="s">
        <v>198</v>
      </c>
    </row>
    <row r="802" spans="10:17" x14ac:dyDescent="0.25">
      <c r="J802" t="str">
        <f>K802&amp;L802</f>
        <v>Петров Владимир КирилловичПопова Полина Сергеевна</v>
      </c>
      <c r="K802" t="s">
        <v>19</v>
      </c>
      <c r="L802" t="s">
        <v>160</v>
      </c>
      <c r="M802" t="s">
        <v>398</v>
      </c>
      <c r="N802" t="str">
        <f t="shared" si="51"/>
        <v>Петров Владимир КирилловичВолкова Анна Викторовна</v>
      </c>
      <c r="O802" t="s">
        <v>19</v>
      </c>
      <c r="P802" t="s">
        <v>42</v>
      </c>
      <c r="Q802" t="s">
        <v>195</v>
      </c>
    </row>
    <row r="803" spans="10:17" x14ac:dyDescent="0.25">
      <c r="J803" t="str">
        <f>K803&amp;L803</f>
        <v>Ткаченко Андрей ОлеговичЕгоров Никита Олегович</v>
      </c>
      <c r="K803" t="s">
        <v>26</v>
      </c>
      <c r="L803" t="s">
        <v>121</v>
      </c>
      <c r="M803" t="s">
        <v>399</v>
      </c>
      <c r="N803" t="str">
        <f t="shared" si="51"/>
        <v>Орлов Павел ДенисовичСтепанов Михаил Егорович</v>
      </c>
      <c r="O803" t="s">
        <v>13</v>
      </c>
      <c r="P803" t="s">
        <v>196</v>
      </c>
      <c r="Q803" t="s">
        <v>195</v>
      </c>
    </row>
    <row r="804" spans="10:17" x14ac:dyDescent="0.25">
      <c r="J804" t="str">
        <f>K804&amp;L804</f>
        <v>Фролов Сергей ВикторовичЕгорова Наталья Станиславовна</v>
      </c>
      <c r="K804" t="s">
        <v>38</v>
      </c>
      <c r="L804" t="s">
        <v>400</v>
      </c>
      <c r="M804" t="s">
        <v>399</v>
      </c>
      <c r="N804" t="str">
        <f t="shared" si="51"/>
        <v>Орлов Павел ДенисовичНовикова Ольга Викторовна</v>
      </c>
      <c r="O804" t="s">
        <v>13</v>
      </c>
      <c r="P804" t="s">
        <v>47</v>
      </c>
      <c r="Q804" t="s">
        <v>192</v>
      </c>
    </row>
    <row r="805" spans="10:17" x14ac:dyDescent="0.25">
      <c r="J805" t="str">
        <f>K805&amp;L805</f>
        <v>Петров Владимир КирилловичПопов Роман Владимирович</v>
      </c>
      <c r="K805" t="s">
        <v>19</v>
      </c>
      <c r="L805" t="s">
        <v>88</v>
      </c>
      <c r="M805" t="s">
        <v>399</v>
      </c>
      <c r="N805" t="str">
        <f t="shared" si="51"/>
        <v>Ткаченко Андрей ОлеговичАлексеев Егор Юрьевич</v>
      </c>
      <c r="O805" t="s">
        <v>26</v>
      </c>
      <c r="P805" t="s">
        <v>193</v>
      </c>
      <c r="Q805" t="s">
        <v>192</v>
      </c>
    </row>
    <row r="806" spans="10:17" x14ac:dyDescent="0.25">
      <c r="J806" t="str">
        <f>K806&amp;L806</f>
        <v>Орлов Павел ДенисовичПавлова Наталья Павловна</v>
      </c>
      <c r="K806" t="s">
        <v>13</v>
      </c>
      <c r="L806" t="s">
        <v>144</v>
      </c>
      <c r="M806" t="s">
        <v>401</v>
      </c>
      <c r="N806" t="str">
        <f t="shared" si="51"/>
        <v>Белов Алексей КонстантиновичСидорова Екатерина Станиславовна</v>
      </c>
      <c r="O806" t="s">
        <v>5</v>
      </c>
      <c r="P806" t="s">
        <v>194</v>
      </c>
      <c r="Q806" t="s">
        <v>192</v>
      </c>
    </row>
    <row r="807" spans="10:17" x14ac:dyDescent="0.25">
      <c r="J807" t="str">
        <f>K807&amp;L807</f>
        <v>Сидорова Елена ВасильевнаСмирнов Матвей Юрьевич</v>
      </c>
      <c r="K807" t="s">
        <v>8</v>
      </c>
      <c r="L807" t="s">
        <v>272</v>
      </c>
      <c r="M807" t="s">
        <v>401</v>
      </c>
      <c r="N807" t="str">
        <f t="shared" si="51"/>
        <v>Семенова Ирина ВалерьевнаПетров Константин Егорович</v>
      </c>
      <c r="O807" t="s">
        <v>16</v>
      </c>
      <c r="P807" t="s">
        <v>102</v>
      </c>
      <c r="Q807" t="s">
        <v>191</v>
      </c>
    </row>
    <row r="808" spans="10:17" x14ac:dyDescent="0.25">
      <c r="J808" t="str">
        <f>K808&amp;L808</f>
        <v>Кузнецов Дмитрий ЛьвовичПетрова Наталья Владимировна</v>
      </c>
      <c r="K808" t="s">
        <v>11</v>
      </c>
      <c r="L808" t="s">
        <v>246</v>
      </c>
      <c r="M808" t="s">
        <v>401</v>
      </c>
      <c r="N808" t="str">
        <f t="shared" si="51"/>
        <v>Кузнецов Дмитрий ЛьвовичВолкова Анна Викторовна</v>
      </c>
      <c r="O808" t="s">
        <v>11</v>
      </c>
      <c r="P808" t="s">
        <v>42</v>
      </c>
      <c r="Q808" t="s">
        <v>191</v>
      </c>
    </row>
    <row r="809" spans="10:17" x14ac:dyDescent="0.25">
      <c r="J809" t="str">
        <f>K809&amp;L809</f>
        <v>Иванова Анна СергеевнаПопова Полина Сергеевна</v>
      </c>
      <c r="K809" t="s">
        <v>55</v>
      </c>
      <c r="L809" t="s">
        <v>160</v>
      </c>
      <c r="M809" t="s">
        <v>402</v>
      </c>
      <c r="N809" t="str">
        <f t="shared" si="51"/>
        <v>Яковлев Артем ИгоревичВасильева Елена Андреевна</v>
      </c>
      <c r="O809" t="s">
        <v>21</v>
      </c>
      <c r="P809" t="s">
        <v>27</v>
      </c>
      <c r="Q809" t="s">
        <v>191</v>
      </c>
    </row>
    <row r="810" spans="10:17" x14ac:dyDescent="0.25">
      <c r="J810" t="str">
        <f>K810&amp;L810</f>
        <v>Белов Алексей КонстантиновичПетров Константин Егорович</v>
      </c>
      <c r="K810" t="s">
        <v>5</v>
      </c>
      <c r="L810" t="s">
        <v>102</v>
      </c>
      <c r="M810" t="s">
        <v>403</v>
      </c>
      <c r="N810" t="str">
        <f t="shared" si="51"/>
        <v>Ткаченко Андрей ОлеговичВолкова Светлана Ивановна</v>
      </c>
      <c r="O810" t="s">
        <v>26</v>
      </c>
      <c r="P810" t="s">
        <v>64</v>
      </c>
      <c r="Q810" t="s">
        <v>189</v>
      </c>
    </row>
    <row r="811" spans="10:17" x14ac:dyDescent="0.25">
      <c r="J811" t="str">
        <f>K811&amp;L811</f>
        <v>Кузнецов Дмитрий ЛьвовичАлексеева Светлана Артемовна</v>
      </c>
      <c r="K811" t="s">
        <v>11</v>
      </c>
      <c r="L811" t="s">
        <v>98</v>
      </c>
      <c r="M811" t="s">
        <v>403</v>
      </c>
      <c r="N811" t="str">
        <f t="shared" si="51"/>
        <v>Петров Владимир КирилловичАлексеев Артур Артемович</v>
      </c>
      <c r="O811" t="s">
        <v>19</v>
      </c>
      <c r="P811" t="s">
        <v>190</v>
      </c>
      <c r="Q811" t="s">
        <v>189</v>
      </c>
    </row>
    <row r="812" spans="10:17" x14ac:dyDescent="0.25">
      <c r="J812" t="str">
        <f>K812&amp;L812</f>
        <v>Яковлев Артем ИгоревичЕгорова Наталья Станиславовна</v>
      </c>
      <c r="K812" t="s">
        <v>21</v>
      </c>
      <c r="L812" t="s">
        <v>400</v>
      </c>
      <c r="M812" t="s">
        <v>403</v>
      </c>
      <c r="N812" t="str">
        <f t="shared" si="51"/>
        <v>Громова Мария ИльиничнаСмирнова Валерия Станиславовна</v>
      </c>
      <c r="O812" t="s">
        <v>43</v>
      </c>
      <c r="P812" t="s">
        <v>12</v>
      </c>
      <c r="Q812" t="s">
        <v>185</v>
      </c>
    </row>
    <row r="813" spans="10:17" x14ac:dyDescent="0.25">
      <c r="J813" t="str">
        <f>K813&amp;L813</f>
        <v>Яковлев Артем ИгоревичПопов Матвей Иванович</v>
      </c>
      <c r="K813" t="s">
        <v>21</v>
      </c>
      <c r="L813" t="s">
        <v>138</v>
      </c>
      <c r="M813" t="s">
        <v>403</v>
      </c>
      <c r="N813" t="str">
        <f t="shared" si="51"/>
        <v>Сидорова Елена ВасильевнаЕгоров Иван Андреевич</v>
      </c>
      <c r="O813" t="s">
        <v>8</v>
      </c>
      <c r="P813" t="s">
        <v>186</v>
      </c>
      <c r="Q813" t="s">
        <v>185</v>
      </c>
    </row>
    <row r="814" spans="10:17" x14ac:dyDescent="0.25">
      <c r="J814" t="str">
        <f>K814&amp;L814</f>
        <v>Петров Владимир КирилловичАлексеев Егор Юрьевич</v>
      </c>
      <c r="K814" t="s">
        <v>19</v>
      </c>
      <c r="L814" t="s">
        <v>193</v>
      </c>
      <c r="M814" t="s">
        <v>404</v>
      </c>
      <c r="N814" t="str">
        <f t="shared" si="51"/>
        <v>Семенова Ирина ВалерьевнаВолков Алексей Никитич</v>
      </c>
      <c r="O814" t="s">
        <v>16</v>
      </c>
      <c r="P814" t="s">
        <v>187</v>
      </c>
      <c r="Q814" t="s">
        <v>185</v>
      </c>
    </row>
    <row r="815" spans="10:17" x14ac:dyDescent="0.25">
      <c r="J815" t="str">
        <f>K815&amp;L815</f>
        <v>Семенова Ирина ВалерьевнаАлексеев Егор Юрьевич</v>
      </c>
      <c r="K815" t="s">
        <v>16</v>
      </c>
      <c r="L815" t="s">
        <v>193</v>
      </c>
      <c r="M815" t="s">
        <v>404</v>
      </c>
      <c r="N815" t="str">
        <f t="shared" si="51"/>
        <v>Белов Алексей КонстантиновичНовиков Павел Сергеевич</v>
      </c>
      <c r="O815" t="s">
        <v>5</v>
      </c>
      <c r="P815" t="s">
        <v>145</v>
      </c>
      <c r="Q815" t="s">
        <v>185</v>
      </c>
    </row>
    <row r="816" spans="10:17" x14ac:dyDescent="0.25">
      <c r="J816" t="str">
        <f>K816&amp;L816</f>
        <v>Кузнецов Дмитрий ЛьвовичНиколаева Мария Никитична</v>
      </c>
      <c r="K816" t="s">
        <v>11</v>
      </c>
      <c r="L816" t="s">
        <v>211</v>
      </c>
      <c r="M816" t="s">
        <v>404</v>
      </c>
      <c r="N816" t="str">
        <f t="shared" si="51"/>
        <v>Петров Владимир КирилловичНовикова Екатерина Павловна</v>
      </c>
      <c r="O816" t="s">
        <v>19</v>
      </c>
      <c r="P816" t="s">
        <v>76</v>
      </c>
      <c r="Q816" t="s">
        <v>185</v>
      </c>
    </row>
    <row r="817" spans="10:17" x14ac:dyDescent="0.25">
      <c r="J817" t="str">
        <f>K817&amp;L817</f>
        <v>Громова Мария ИльиничнаКузнецов Егор Андреевич</v>
      </c>
      <c r="K817" t="s">
        <v>43</v>
      </c>
      <c r="L817" t="s">
        <v>30</v>
      </c>
      <c r="M817" t="s">
        <v>404</v>
      </c>
      <c r="N817" t="str">
        <f t="shared" si="51"/>
        <v>Фролов Сергей ВикторовичЕгорова Татьяна Ильинична</v>
      </c>
      <c r="O817" t="s">
        <v>38</v>
      </c>
      <c r="P817" t="s">
        <v>188</v>
      </c>
      <c r="Q817" t="s">
        <v>185</v>
      </c>
    </row>
    <row r="818" spans="10:17" x14ac:dyDescent="0.25">
      <c r="J818" t="str">
        <f>K818&amp;L818</f>
        <v>Орлов Павел ДенисовичПавлова Юлия Андреевна</v>
      </c>
      <c r="K818" t="s">
        <v>13</v>
      </c>
      <c r="L818" t="s">
        <v>405</v>
      </c>
      <c r="M818" t="s">
        <v>404</v>
      </c>
      <c r="N818" t="str">
        <f t="shared" si="51"/>
        <v>Новикова Ольга ПетровнаСеменов Никита Александрович</v>
      </c>
      <c r="O818" t="s">
        <v>29</v>
      </c>
      <c r="P818" t="s">
        <v>73</v>
      </c>
      <c r="Q818" t="s">
        <v>185</v>
      </c>
    </row>
    <row r="819" spans="10:17" x14ac:dyDescent="0.25">
      <c r="J819" t="str">
        <f>K819&amp;L819</f>
        <v>Кузнецов Дмитрий ЛьвовичЛебедева Светлана Андреевна</v>
      </c>
      <c r="K819" t="s">
        <v>11</v>
      </c>
      <c r="L819" t="s">
        <v>176</v>
      </c>
      <c r="M819" t="s">
        <v>404</v>
      </c>
      <c r="N819" t="str">
        <f t="shared" si="51"/>
        <v>Новикова Ольга ПетровнаСеменова Александра Егоровна</v>
      </c>
      <c r="O819" t="s">
        <v>29</v>
      </c>
      <c r="P819" t="s">
        <v>94</v>
      </c>
      <c r="Q819" t="s">
        <v>185</v>
      </c>
    </row>
    <row r="820" spans="10:17" x14ac:dyDescent="0.25">
      <c r="J820" t="str">
        <f>K820&amp;L820</f>
        <v>Семенова Ирина ВалерьевнаМорозов Иван Геннадьевич</v>
      </c>
      <c r="K820" t="s">
        <v>16</v>
      </c>
      <c r="L820" t="s">
        <v>257</v>
      </c>
      <c r="M820" t="s">
        <v>404</v>
      </c>
      <c r="N820" t="str">
        <f t="shared" si="51"/>
        <v>Петров Владимир КирилловичВолкова Екатерина Егоровна</v>
      </c>
      <c r="O820" t="s">
        <v>19</v>
      </c>
      <c r="P820" t="s">
        <v>58</v>
      </c>
      <c r="Q820" t="s">
        <v>185</v>
      </c>
    </row>
    <row r="821" spans="10:17" x14ac:dyDescent="0.25">
      <c r="J821" t="str">
        <f>K821&amp;L821</f>
        <v>Громова Мария ИльиничнаЕгоров Никита Олегович</v>
      </c>
      <c r="K821" t="s">
        <v>43</v>
      </c>
      <c r="L821" t="s">
        <v>121</v>
      </c>
      <c r="M821" t="s">
        <v>404</v>
      </c>
      <c r="N821" t="str">
        <f t="shared" si="51"/>
        <v>Громова Мария ИльиничнаЛебедева Валерия Геннадьевна</v>
      </c>
      <c r="O821" t="s">
        <v>43</v>
      </c>
      <c r="P821" t="s">
        <v>177</v>
      </c>
      <c r="Q821" t="s">
        <v>182</v>
      </c>
    </row>
    <row r="822" spans="10:17" x14ac:dyDescent="0.25">
      <c r="J822" t="str">
        <f>K822&amp;L822</f>
        <v>Орлов Павел ДенисовичОрлова Вероника Андреевна</v>
      </c>
      <c r="K822" t="s">
        <v>13</v>
      </c>
      <c r="L822" t="s">
        <v>100</v>
      </c>
      <c r="M822" t="s">
        <v>404</v>
      </c>
      <c r="N822" t="str">
        <f t="shared" si="51"/>
        <v>Белов Алексей КонстантиновичВолков Владимир Артемович</v>
      </c>
      <c r="O822" t="s">
        <v>5</v>
      </c>
      <c r="P822" t="s">
        <v>9</v>
      </c>
      <c r="Q822" t="s">
        <v>182</v>
      </c>
    </row>
    <row r="823" spans="10:17" x14ac:dyDescent="0.25">
      <c r="J823" t="str">
        <f>K823&amp;L823</f>
        <v>Белов Алексей КонстантиновичЕгоров Никита Олегович</v>
      </c>
      <c r="K823" t="s">
        <v>5</v>
      </c>
      <c r="L823" t="s">
        <v>121</v>
      </c>
      <c r="M823" t="s">
        <v>404</v>
      </c>
      <c r="N823" t="str">
        <f t="shared" si="51"/>
        <v>Белов Алексей КонстантиновичНовикова Ольга Викторовна</v>
      </c>
      <c r="O823" t="s">
        <v>5</v>
      </c>
      <c r="P823" t="s">
        <v>47</v>
      </c>
      <c r="Q823" t="s">
        <v>182</v>
      </c>
    </row>
    <row r="824" spans="10:17" x14ac:dyDescent="0.25">
      <c r="J824" t="str">
        <f>K824&amp;L824</f>
        <v>Орлов Павел ДенисовичСеменов Матвей Михайлович</v>
      </c>
      <c r="K824" t="s">
        <v>13</v>
      </c>
      <c r="L824" t="s">
        <v>311</v>
      </c>
      <c r="M824" t="s">
        <v>404</v>
      </c>
      <c r="N824" t="str">
        <f t="shared" si="51"/>
        <v>Белов Алексей КонстантиновичСеменова Полина Сергеевна</v>
      </c>
      <c r="O824" t="s">
        <v>5</v>
      </c>
      <c r="P824" t="s">
        <v>183</v>
      </c>
      <c r="Q824" t="s">
        <v>182</v>
      </c>
    </row>
    <row r="825" spans="10:17" x14ac:dyDescent="0.25">
      <c r="J825" t="str">
        <f>K825&amp;L825</f>
        <v>Кузнецов Дмитрий ЛьвовичПопов Никита Андреевич</v>
      </c>
      <c r="K825" t="s">
        <v>11</v>
      </c>
      <c r="L825" t="s">
        <v>165</v>
      </c>
      <c r="M825" t="s">
        <v>404</v>
      </c>
      <c r="N825" t="str">
        <f t="shared" si="51"/>
        <v>Иванова Анна СергеевнаПетрова Ольга Геннадьевна</v>
      </c>
      <c r="O825" t="s">
        <v>55</v>
      </c>
      <c r="P825" t="s">
        <v>184</v>
      </c>
      <c r="Q825" t="s">
        <v>182</v>
      </c>
    </row>
    <row r="826" spans="10:17" x14ac:dyDescent="0.25">
      <c r="J826" t="str">
        <f>K826&amp;L826</f>
        <v>Кузнецов Дмитрий ЛьвовичАлексеева Светлана Артемовна</v>
      </c>
      <c r="K826" t="s">
        <v>11</v>
      </c>
      <c r="L826" t="s">
        <v>98</v>
      </c>
      <c r="M826" t="s">
        <v>404</v>
      </c>
      <c r="N826" t="str">
        <f t="shared" si="51"/>
        <v>Громова Мария ИльиничнаСмирнова Мария Артемовна</v>
      </c>
      <c r="O826" t="s">
        <v>43</v>
      </c>
      <c r="P826" t="s">
        <v>44</v>
      </c>
      <c r="Q826" t="s">
        <v>180</v>
      </c>
    </row>
    <row r="827" spans="10:17" x14ac:dyDescent="0.25">
      <c r="J827" t="str">
        <f>K827&amp;L827</f>
        <v>Иванова Анна СергеевнаПавлов Алексей Юрьевич</v>
      </c>
      <c r="K827" t="s">
        <v>55</v>
      </c>
      <c r="L827" t="s">
        <v>105</v>
      </c>
      <c r="M827" t="s">
        <v>406</v>
      </c>
      <c r="N827" t="str">
        <f t="shared" si="51"/>
        <v>Громова Мария ИльиничнаПавлова Наталья Павловна</v>
      </c>
      <c r="O827" t="s">
        <v>43</v>
      </c>
      <c r="P827" t="s">
        <v>144</v>
      </c>
      <c r="Q827" t="s">
        <v>180</v>
      </c>
    </row>
    <row r="828" spans="10:17" x14ac:dyDescent="0.25">
      <c r="J828" t="str">
        <f>K828&amp;L828</f>
        <v>Семенова Ирина ВалерьевнаВасильев Илья Алексеевич</v>
      </c>
      <c r="K828" t="s">
        <v>16</v>
      </c>
      <c r="L828" t="s">
        <v>232</v>
      </c>
      <c r="M828" t="s">
        <v>407</v>
      </c>
      <c r="N828" t="str">
        <f t="shared" si="51"/>
        <v>Новикова Ольга ПетровнаЕгоров Андрей Егорович</v>
      </c>
      <c r="O828" t="s">
        <v>29</v>
      </c>
      <c r="P828" t="s">
        <v>181</v>
      </c>
      <c r="Q828" t="s">
        <v>180</v>
      </c>
    </row>
    <row r="829" spans="10:17" x14ac:dyDescent="0.25">
      <c r="J829" t="str">
        <f>K829&amp;L829</f>
        <v>Семенова Ирина ВалерьевнаПопов Роман Владимирович</v>
      </c>
      <c r="K829" t="s">
        <v>16</v>
      </c>
      <c r="L829" t="s">
        <v>88</v>
      </c>
      <c r="M829" t="s">
        <v>407</v>
      </c>
      <c r="N829" t="str">
        <f t="shared" si="51"/>
        <v>Яковлев Артем ИгоревичПопова Наталья Станиславовна</v>
      </c>
      <c r="O829" t="s">
        <v>21</v>
      </c>
      <c r="P829" t="s">
        <v>178</v>
      </c>
      <c r="Q829" t="s">
        <v>179</v>
      </c>
    </row>
    <row r="830" spans="10:17" x14ac:dyDescent="0.25">
      <c r="J830" t="str">
        <f>K830&amp;L830</f>
        <v>Громова Мария ИльиничнаСидорова София Александровна</v>
      </c>
      <c r="K830" t="s">
        <v>43</v>
      </c>
      <c r="L830" t="s">
        <v>118</v>
      </c>
      <c r="M830" t="s">
        <v>407</v>
      </c>
      <c r="N830" t="str">
        <f t="shared" si="51"/>
        <v>Иванова Анна СергеевнаЛебедев Матвей Павлович</v>
      </c>
      <c r="O830" t="s">
        <v>55</v>
      </c>
      <c r="P830" t="s">
        <v>115</v>
      </c>
      <c r="Q830" t="s">
        <v>179</v>
      </c>
    </row>
    <row r="831" spans="10:17" x14ac:dyDescent="0.25">
      <c r="J831" t="str">
        <f>K831&amp;L831</f>
        <v>Белов Алексей КонстантиновичПетрова Алиса Егоровна</v>
      </c>
      <c r="K831" t="s">
        <v>5</v>
      </c>
      <c r="L831" t="s">
        <v>109</v>
      </c>
      <c r="M831" t="s">
        <v>407</v>
      </c>
      <c r="N831" t="str">
        <f t="shared" si="51"/>
        <v>Сидорова Елена ВасильевнаПопов Георгий Егорович</v>
      </c>
      <c r="O831" t="s">
        <v>8</v>
      </c>
      <c r="P831" t="s">
        <v>61</v>
      </c>
      <c r="Q831" t="s">
        <v>179</v>
      </c>
    </row>
    <row r="832" spans="10:17" x14ac:dyDescent="0.25">
      <c r="J832" t="str">
        <f>K832&amp;L832</f>
        <v>Фролов Сергей ВикторовичАлексеева Валерия Викторовна</v>
      </c>
      <c r="K832" t="s">
        <v>38</v>
      </c>
      <c r="L832" t="s">
        <v>96</v>
      </c>
      <c r="M832" t="s">
        <v>408</v>
      </c>
      <c r="N832" t="str">
        <f t="shared" si="51"/>
        <v>Иванова Анна СергеевнаПопов Роман Владимирович</v>
      </c>
      <c r="O832" t="s">
        <v>55</v>
      </c>
      <c r="P832" t="s">
        <v>88</v>
      </c>
      <c r="Q832" t="s">
        <v>175</v>
      </c>
    </row>
    <row r="833" spans="10:17" x14ac:dyDescent="0.25">
      <c r="J833" t="str">
        <f>K833&amp;L833</f>
        <v>Орлов Павел ДенисовичСтепанова Анна Романовна</v>
      </c>
      <c r="K833" t="s">
        <v>13</v>
      </c>
      <c r="L833" t="s">
        <v>234</v>
      </c>
      <c r="M833" t="s">
        <v>408</v>
      </c>
      <c r="N833" t="str">
        <f t="shared" si="51"/>
        <v>Иванова Анна СергеевнаЛебедева Светлана Андреевна</v>
      </c>
      <c r="O833" t="s">
        <v>55</v>
      </c>
      <c r="P833" t="s">
        <v>176</v>
      </c>
      <c r="Q833" t="s">
        <v>175</v>
      </c>
    </row>
    <row r="834" spans="10:17" x14ac:dyDescent="0.25">
      <c r="J834" t="str">
        <f>K834&amp;L834</f>
        <v>Семенова Ирина ВалерьевнаОрлов Андрей Никитич</v>
      </c>
      <c r="K834" t="s">
        <v>16</v>
      </c>
      <c r="L834" t="s">
        <v>111</v>
      </c>
      <c r="M834" t="s">
        <v>409</v>
      </c>
      <c r="N834" t="str">
        <f t="shared" si="51"/>
        <v>Семенова Ирина ВалерьевнаЛебедева Валерия Геннадьевна</v>
      </c>
      <c r="O834" t="s">
        <v>16</v>
      </c>
      <c r="P834" t="s">
        <v>177</v>
      </c>
      <c r="Q834" t="s">
        <v>175</v>
      </c>
    </row>
    <row r="835" spans="10:17" x14ac:dyDescent="0.25">
      <c r="J835" t="str">
        <f>K835&amp;L835</f>
        <v>Новикова Ольга ПетровнаКузнецов Иван Ильич</v>
      </c>
      <c r="K835" t="s">
        <v>29</v>
      </c>
      <c r="L835" t="s">
        <v>410</v>
      </c>
      <c r="M835" t="s">
        <v>409</v>
      </c>
      <c r="N835" t="str">
        <f t="shared" ref="N835:N898" si="52">O835&amp;P835</f>
        <v>Сидорова Елена ВасильевнаСмирнова Елена Олеговна</v>
      </c>
      <c r="O835" t="s">
        <v>8</v>
      </c>
      <c r="P835" t="s">
        <v>22</v>
      </c>
      <c r="Q835" t="s">
        <v>175</v>
      </c>
    </row>
    <row r="836" spans="10:17" x14ac:dyDescent="0.25">
      <c r="J836" t="str">
        <f>K836&amp;L836</f>
        <v>Фролов Сергей ВикторовичНиколаев Никита Викторович</v>
      </c>
      <c r="K836" t="s">
        <v>38</v>
      </c>
      <c r="L836" t="s">
        <v>253</v>
      </c>
      <c r="M836" t="s">
        <v>409</v>
      </c>
      <c r="N836" t="str">
        <f t="shared" si="52"/>
        <v>Семенова Ирина ВалерьевнаСмирнова Екатерина Геннадьевна</v>
      </c>
      <c r="O836" t="s">
        <v>16</v>
      </c>
      <c r="P836" t="s">
        <v>169</v>
      </c>
      <c r="Q836" t="s">
        <v>170</v>
      </c>
    </row>
    <row r="837" spans="10:17" x14ac:dyDescent="0.25">
      <c r="J837" t="str">
        <f>K837&amp;L837</f>
        <v>Громова Мария ИльиничнаЛебедева Юлия Алексеевна</v>
      </c>
      <c r="K837" t="s">
        <v>43</v>
      </c>
      <c r="L837" t="s">
        <v>411</v>
      </c>
      <c r="M837" t="s">
        <v>409</v>
      </c>
      <c r="N837" t="str">
        <f t="shared" si="52"/>
        <v>Сидорова Елена ВасильевнаКозлов Илья Геннадьевич</v>
      </c>
      <c r="O837" t="s">
        <v>8</v>
      </c>
      <c r="P837" t="s">
        <v>153</v>
      </c>
      <c r="Q837" t="s">
        <v>170</v>
      </c>
    </row>
    <row r="838" spans="10:17" x14ac:dyDescent="0.25">
      <c r="J838" t="str">
        <f>K838&amp;L838</f>
        <v>Яковлев Артем ИгоревичПавлова София Геннадьевна</v>
      </c>
      <c r="K838" t="s">
        <v>21</v>
      </c>
      <c r="L838" t="s">
        <v>126</v>
      </c>
      <c r="M838" t="s">
        <v>409</v>
      </c>
      <c r="N838" t="str">
        <f t="shared" si="52"/>
        <v>Новикова Ольга ПетровнаПопов Иван Егорович</v>
      </c>
      <c r="O838" t="s">
        <v>29</v>
      </c>
      <c r="P838" t="s">
        <v>82</v>
      </c>
      <c r="Q838" t="s">
        <v>170</v>
      </c>
    </row>
    <row r="839" spans="10:17" x14ac:dyDescent="0.25">
      <c r="J839" t="str">
        <f>K839&amp;L839</f>
        <v>Новикова Ольга ПетровнаКозлова Екатерина Викторовна</v>
      </c>
      <c r="K839" t="s">
        <v>29</v>
      </c>
      <c r="L839" t="s">
        <v>202</v>
      </c>
      <c r="M839" t="s">
        <v>409</v>
      </c>
      <c r="N839" t="str">
        <f t="shared" si="52"/>
        <v>Семенова Ирина ВалерьевнаАлексеев Никита Алексеевич</v>
      </c>
      <c r="O839" t="s">
        <v>16</v>
      </c>
      <c r="P839" t="s">
        <v>171</v>
      </c>
      <c r="Q839" t="s">
        <v>170</v>
      </c>
    </row>
    <row r="840" spans="10:17" x14ac:dyDescent="0.25">
      <c r="J840" t="str">
        <f>K840&amp;L840</f>
        <v>Орлов Павел ДенисовичКузнецова Ирина Павловна</v>
      </c>
      <c r="K840" t="s">
        <v>13</v>
      </c>
      <c r="L840" t="s">
        <v>116</v>
      </c>
      <c r="M840" t="s">
        <v>409</v>
      </c>
      <c r="N840" t="str">
        <f t="shared" si="52"/>
        <v>Белов Алексей КонстантиновичСмирнова Екатерина Ивановна</v>
      </c>
      <c r="O840" t="s">
        <v>5</v>
      </c>
      <c r="P840" t="s">
        <v>28</v>
      </c>
      <c r="Q840" t="s">
        <v>170</v>
      </c>
    </row>
    <row r="841" spans="10:17" x14ac:dyDescent="0.25">
      <c r="J841" t="str">
        <f>K841&amp;L841</f>
        <v>Новикова Ольга ПетровнаСмирнова Мария Артемовна</v>
      </c>
      <c r="K841" t="s">
        <v>29</v>
      </c>
      <c r="L841" t="s">
        <v>44</v>
      </c>
      <c r="M841" t="s">
        <v>409</v>
      </c>
      <c r="N841" t="str">
        <f t="shared" si="52"/>
        <v>Сидорова Елена ВасильевнаВасильев Андрей Дмитриевич</v>
      </c>
      <c r="O841" t="s">
        <v>8</v>
      </c>
      <c r="P841" t="s">
        <v>172</v>
      </c>
      <c r="Q841" t="s">
        <v>170</v>
      </c>
    </row>
    <row r="842" spans="10:17" x14ac:dyDescent="0.25">
      <c r="J842" t="str">
        <f>K842&amp;L842</f>
        <v>Яковлев Артем ИгоревичПавлов Сергей Олегович</v>
      </c>
      <c r="K842" t="s">
        <v>21</v>
      </c>
      <c r="L842" t="s">
        <v>209</v>
      </c>
      <c r="M842" t="s">
        <v>409</v>
      </c>
      <c r="N842" t="str">
        <f t="shared" si="52"/>
        <v>Ткаченко Андрей ОлеговичНиколаев Андрей Ильич</v>
      </c>
      <c r="O842" t="s">
        <v>26</v>
      </c>
      <c r="P842" t="s">
        <v>63</v>
      </c>
      <c r="Q842" t="s">
        <v>170</v>
      </c>
    </row>
    <row r="843" spans="10:17" x14ac:dyDescent="0.25">
      <c r="J843" t="str">
        <f>K843&amp;L843</f>
        <v>Новикова Ольга ПетровнаПетрова Ольга Сергеевна</v>
      </c>
      <c r="K843" t="s">
        <v>29</v>
      </c>
      <c r="L843" t="s">
        <v>119</v>
      </c>
      <c r="M843" t="s">
        <v>412</v>
      </c>
      <c r="N843" t="str">
        <f t="shared" si="52"/>
        <v>Иванова Анна СергеевнаСидоров Егор Павлович</v>
      </c>
      <c r="O843" t="s">
        <v>55</v>
      </c>
      <c r="P843" t="s">
        <v>173</v>
      </c>
      <c r="Q843" t="s">
        <v>170</v>
      </c>
    </row>
    <row r="844" spans="10:17" x14ac:dyDescent="0.25">
      <c r="J844" t="str">
        <f>K844&amp;L844</f>
        <v>Белов Алексей КонстантиновичЕгоров Илья Андреевич</v>
      </c>
      <c r="K844" t="s">
        <v>5</v>
      </c>
      <c r="L844" t="s">
        <v>221</v>
      </c>
      <c r="M844" t="s">
        <v>412</v>
      </c>
      <c r="N844" t="str">
        <f t="shared" si="52"/>
        <v>Белов Алексей КонстантиновичПопов Сергей Артемович</v>
      </c>
      <c r="O844" t="s">
        <v>5</v>
      </c>
      <c r="P844" t="s">
        <v>174</v>
      </c>
      <c r="Q844" t="s">
        <v>170</v>
      </c>
    </row>
    <row r="845" spans="10:17" x14ac:dyDescent="0.25">
      <c r="J845" t="str">
        <f>K845&amp;L845</f>
        <v>Фролов Сергей ВикторовичВолкова Анна Станиславовна</v>
      </c>
      <c r="K845" t="s">
        <v>38</v>
      </c>
      <c r="L845" t="s">
        <v>54</v>
      </c>
      <c r="M845" t="s">
        <v>412</v>
      </c>
      <c r="N845" t="str">
        <f t="shared" si="52"/>
        <v>Петров Владимир КирилловичПетрова Виктория Юрьевна</v>
      </c>
      <c r="O845" t="s">
        <v>19</v>
      </c>
      <c r="P845" t="s">
        <v>71</v>
      </c>
      <c r="Q845" t="s">
        <v>170</v>
      </c>
    </row>
    <row r="846" spans="10:17" x14ac:dyDescent="0.25">
      <c r="J846" t="str">
        <f>K846&amp;L846</f>
        <v>Семенова Ирина ВалерьевнаСидорова София Александровна</v>
      </c>
      <c r="K846" t="s">
        <v>16</v>
      </c>
      <c r="L846" t="s">
        <v>118</v>
      </c>
      <c r="M846" t="s">
        <v>412</v>
      </c>
      <c r="N846" t="str">
        <f t="shared" si="52"/>
        <v>Белов Алексей КонстантиновичПопова Светлана Геннадьевна</v>
      </c>
      <c r="O846" t="s">
        <v>5</v>
      </c>
      <c r="P846" t="s">
        <v>18</v>
      </c>
      <c r="Q846" t="s">
        <v>170</v>
      </c>
    </row>
    <row r="847" spans="10:17" x14ac:dyDescent="0.25">
      <c r="J847" t="str">
        <f>K847&amp;L847</f>
        <v>Семенова Ирина ВалерьевнаПетров Дмитрий Сергеевич</v>
      </c>
      <c r="K847" t="s">
        <v>16</v>
      </c>
      <c r="L847" t="s">
        <v>84</v>
      </c>
      <c r="M847" t="s">
        <v>412</v>
      </c>
      <c r="N847" t="str">
        <f t="shared" si="52"/>
        <v>Новикова Ольга ПетровнаИванов Георгий Павлович</v>
      </c>
      <c r="O847" t="s">
        <v>29</v>
      </c>
      <c r="P847" t="s">
        <v>149</v>
      </c>
      <c r="Q847" t="s">
        <v>166</v>
      </c>
    </row>
    <row r="848" spans="10:17" x14ac:dyDescent="0.25">
      <c r="J848" t="str">
        <f>K848&amp;L848</f>
        <v>Яковлев Артем ИгоревичСтепанова Людмила Ивановна</v>
      </c>
      <c r="K848" t="s">
        <v>21</v>
      </c>
      <c r="L848" t="s">
        <v>24</v>
      </c>
      <c r="M848" t="s">
        <v>412</v>
      </c>
      <c r="N848" t="str">
        <f t="shared" si="52"/>
        <v>Новикова Ольга ПетровнаКузнецов Кирилл Павлович</v>
      </c>
      <c r="O848" t="s">
        <v>29</v>
      </c>
      <c r="P848" t="s">
        <v>167</v>
      </c>
      <c r="Q848" t="s">
        <v>166</v>
      </c>
    </row>
    <row r="849" spans="10:17" x14ac:dyDescent="0.25">
      <c r="J849" t="str">
        <f>K849&amp;L849</f>
        <v>Петров Владимир КирилловичПопов Георгий Ильич</v>
      </c>
      <c r="K849" t="s">
        <v>19</v>
      </c>
      <c r="L849" t="s">
        <v>148</v>
      </c>
      <c r="M849" t="s">
        <v>412</v>
      </c>
      <c r="N849" t="str">
        <f t="shared" si="52"/>
        <v>Ткаченко Андрей ОлеговичКузнецов Егор Андреевич</v>
      </c>
      <c r="O849" t="s">
        <v>26</v>
      </c>
      <c r="P849" t="s">
        <v>30</v>
      </c>
      <c r="Q849" t="s">
        <v>166</v>
      </c>
    </row>
    <row r="850" spans="10:17" x14ac:dyDescent="0.25">
      <c r="J850" t="str">
        <f>K850&amp;L850</f>
        <v>Петров Владимир КирилловичСтепанова Анна Романовна</v>
      </c>
      <c r="K850" t="s">
        <v>19</v>
      </c>
      <c r="L850" t="s">
        <v>234</v>
      </c>
      <c r="M850" t="s">
        <v>412</v>
      </c>
      <c r="N850" t="str">
        <f t="shared" si="52"/>
        <v>Новикова Ольга ПетровнаКузнецова Мария Сергеевна</v>
      </c>
      <c r="O850" t="s">
        <v>29</v>
      </c>
      <c r="P850" t="s">
        <v>168</v>
      </c>
      <c r="Q850" t="s">
        <v>166</v>
      </c>
    </row>
    <row r="851" spans="10:17" x14ac:dyDescent="0.25">
      <c r="J851" t="str">
        <f>K851&amp;L851</f>
        <v>Орлов Павел ДенисовичПавлова Наталья Павловна</v>
      </c>
      <c r="K851" t="s">
        <v>13</v>
      </c>
      <c r="L851" t="s">
        <v>144</v>
      </c>
      <c r="M851" t="s">
        <v>413</v>
      </c>
      <c r="N851" t="str">
        <f t="shared" si="52"/>
        <v>Петров Владимир КирилловичПетров Дмитрий Сергеевич</v>
      </c>
      <c r="O851" t="s">
        <v>19</v>
      </c>
      <c r="P851" t="s">
        <v>84</v>
      </c>
      <c r="Q851" t="s">
        <v>163</v>
      </c>
    </row>
    <row r="852" spans="10:17" x14ac:dyDescent="0.25">
      <c r="J852" t="str">
        <f>K852&amp;L852</f>
        <v>Петров Владимир КирилловичСмирнова Екатерина Геннадьевна</v>
      </c>
      <c r="K852" t="s">
        <v>19</v>
      </c>
      <c r="L852" t="s">
        <v>169</v>
      </c>
      <c r="M852" t="s">
        <v>413</v>
      </c>
      <c r="N852" t="str">
        <f t="shared" si="52"/>
        <v>Иванова Анна СергеевнаИванова Елена Артемовна</v>
      </c>
      <c r="O852" t="s">
        <v>55</v>
      </c>
      <c r="P852" t="s">
        <v>164</v>
      </c>
      <c r="Q852" t="s">
        <v>163</v>
      </c>
    </row>
    <row r="853" spans="10:17" x14ac:dyDescent="0.25">
      <c r="J853" t="str">
        <f>K853&amp;L853</f>
        <v>Иванова Анна СергеевнаСтепанова Александра Дмитриевна</v>
      </c>
      <c r="K853" t="s">
        <v>55</v>
      </c>
      <c r="L853" t="s">
        <v>46</v>
      </c>
      <c r="M853" t="s">
        <v>414</v>
      </c>
      <c r="N853" t="str">
        <f t="shared" si="52"/>
        <v>Семенова Ирина ВалерьевнаПопов Никита Андреевич</v>
      </c>
      <c r="O853" t="s">
        <v>16</v>
      </c>
      <c r="P853" t="s">
        <v>165</v>
      </c>
      <c r="Q853" t="s">
        <v>163</v>
      </c>
    </row>
    <row r="854" spans="10:17" x14ac:dyDescent="0.25">
      <c r="J854" t="str">
        <f>K854&amp;L854</f>
        <v>Петров Владимир КирилловичСеменов Никита Александрович</v>
      </c>
      <c r="K854" t="s">
        <v>19</v>
      </c>
      <c r="L854" t="s">
        <v>73</v>
      </c>
      <c r="M854" t="s">
        <v>415</v>
      </c>
      <c r="N854" t="str">
        <f t="shared" si="52"/>
        <v>Сидорова Елена ВасильевнаИванова София Михайловна</v>
      </c>
      <c r="O854" t="s">
        <v>8</v>
      </c>
      <c r="P854" t="s">
        <v>161</v>
      </c>
      <c r="Q854" t="s">
        <v>162</v>
      </c>
    </row>
    <row r="855" spans="10:17" x14ac:dyDescent="0.25">
      <c r="J855" t="str">
        <f>K855&amp;L855</f>
        <v>Ткаченко Андрей ОлеговичВолкова Анна Викторовна</v>
      </c>
      <c r="K855" t="s">
        <v>26</v>
      </c>
      <c r="L855" t="s">
        <v>42</v>
      </c>
      <c r="M855" t="s">
        <v>415</v>
      </c>
      <c r="N855" t="str">
        <f t="shared" si="52"/>
        <v>Сидорова Елена ВасильевнаСмирнов Константин Дмитриевич</v>
      </c>
      <c r="O855" t="s">
        <v>8</v>
      </c>
      <c r="P855" t="s">
        <v>156</v>
      </c>
      <c r="Q855" t="s">
        <v>157</v>
      </c>
    </row>
    <row r="856" spans="10:17" x14ac:dyDescent="0.25">
      <c r="J856" t="str">
        <f>K856&amp;L856</f>
        <v>Иванова Анна СергеевнаИванов Андрей Дмитриевич</v>
      </c>
      <c r="K856" t="s">
        <v>55</v>
      </c>
      <c r="L856" t="s">
        <v>328</v>
      </c>
      <c r="M856" t="s">
        <v>415</v>
      </c>
      <c r="N856" t="str">
        <f t="shared" si="52"/>
        <v>Семенова Ирина ВалерьевнаПопов Павел Артемович</v>
      </c>
      <c r="O856" t="s">
        <v>16</v>
      </c>
      <c r="P856" t="s">
        <v>158</v>
      </c>
      <c r="Q856" t="s">
        <v>157</v>
      </c>
    </row>
    <row r="857" spans="10:17" x14ac:dyDescent="0.25">
      <c r="J857" t="str">
        <f>K857&amp;L857</f>
        <v>Фролов Сергей ВикторовичКозлова Полина Михайловна</v>
      </c>
      <c r="K857" t="s">
        <v>38</v>
      </c>
      <c r="L857" t="s">
        <v>87</v>
      </c>
      <c r="M857" t="s">
        <v>416</v>
      </c>
      <c r="N857" t="str">
        <f t="shared" si="52"/>
        <v>Петров Владимир КирилловичВолкова Виктория Артемовна</v>
      </c>
      <c r="O857" t="s">
        <v>19</v>
      </c>
      <c r="P857" t="s">
        <v>159</v>
      </c>
      <c r="Q857" t="s">
        <v>157</v>
      </c>
    </row>
    <row r="858" spans="10:17" x14ac:dyDescent="0.25">
      <c r="J858" t="str">
        <f>K858&amp;L858</f>
        <v>Белов Алексей КонстантиновичПопов Павел Артемович</v>
      </c>
      <c r="K858" t="s">
        <v>5</v>
      </c>
      <c r="L858" t="s">
        <v>158</v>
      </c>
      <c r="M858" t="s">
        <v>416</v>
      </c>
      <c r="N858" t="str">
        <f t="shared" si="52"/>
        <v>Белов Алексей КонстантиновичНовикова Екатерина Павловна</v>
      </c>
      <c r="O858" t="s">
        <v>5</v>
      </c>
      <c r="P858" t="s">
        <v>76</v>
      </c>
      <c r="Q858" t="s">
        <v>157</v>
      </c>
    </row>
    <row r="859" spans="10:17" x14ac:dyDescent="0.25">
      <c r="J859" t="str">
        <f>K859&amp;L859</f>
        <v>Петров Владимир КирилловичЕгоров Илья Ильич</v>
      </c>
      <c r="K859" t="s">
        <v>19</v>
      </c>
      <c r="L859" t="s">
        <v>53</v>
      </c>
      <c r="M859" t="s">
        <v>416</v>
      </c>
      <c r="N859" t="str">
        <f t="shared" si="52"/>
        <v>Громова Мария ИльиничнаПопова Полина Сергеевна</v>
      </c>
      <c r="O859" t="s">
        <v>43</v>
      </c>
      <c r="P859" t="s">
        <v>160</v>
      </c>
      <c r="Q859" t="s">
        <v>157</v>
      </c>
    </row>
    <row r="860" spans="10:17" x14ac:dyDescent="0.25">
      <c r="J860" t="str">
        <f>K860&amp;L860</f>
        <v>Сидорова Елена ВасильевнаМорозов Андрей Алексеевич</v>
      </c>
      <c r="K860" t="s">
        <v>8</v>
      </c>
      <c r="L860" t="s">
        <v>278</v>
      </c>
      <c r="M860" t="s">
        <v>416</v>
      </c>
      <c r="N860" t="str">
        <f t="shared" si="52"/>
        <v>Ткаченко Андрей ОлеговичПетров Константин Егорович</v>
      </c>
      <c r="O860" t="s">
        <v>26</v>
      </c>
      <c r="P860" t="s">
        <v>102</v>
      </c>
      <c r="Q860" t="s">
        <v>157</v>
      </c>
    </row>
    <row r="861" spans="10:17" x14ac:dyDescent="0.25">
      <c r="J861" t="str">
        <f>K861&amp;L861</f>
        <v>Новикова Ольга ПетровнаПетров Константин Егорович</v>
      </c>
      <c r="K861" t="s">
        <v>29</v>
      </c>
      <c r="L861" t="s">
        <v>102</v>
      </c>
      <c r="M861" t="s">
        <v>417</v>
      </c>
      <c r="N861" t="str">
        <f t="shared" si="52"/>
        <v>Белов Алексей КонстантиновичВасильева Елена Андреевна</v>
      </c>
      <c r="O861" t="s">
        <v>5</v>
      </c>
      <c r="P861" t="s">
        <v>27</v>
      </c>
      <c r="Q861" t="s">
        <v>152</v>
      </c>
    </row>
    <row r="862" spans="10:17" x14ac:dyDescent="0.25">
      <c r="J862" t="str">
        <f>K862&amp;L862</f>
        <v>Ткаченко Андрей ОлеговичСеменов Матвей Михайлович</v>
      </c>
      <c r="K862" t="s">
        <v>26</v>
      </c>
      <c r="L862" t="s">
        <v>311</v>
      </c>
      <c r="M862" t="s">
        <v>417</v>
      </c>
      <c r="N862" t="str">
        <f t="shared" si="52"/>
        <v>Яковлев Артем ИгоревичКузнецова Ирина Павловна</v>
      </c>
      <c r="O862" t="s">
        <v>21</v>
      </c>
      <c r="P862" t="s">
        <v>116</v>
      </c>
      <c r="Q862" t="s">
        <v>152</v>
      </c>
    </row>
    <row r="863" spans="10:17" x14ac:dyDescent="0.25">
      <c r="J863" t="str">
        <f>K863&amp;L863</f>
        <v>Сидорова Елена ВасильевнаНовиков Иван Павлович</v>
      </c>
      <c r="K863" t="s">
        <v>8</v>
      </c>
      <c r="L863" t="s">
        <v>36</v>
      </c>
      <c r="M863" t="s">
        <v>417</v>
      </c>
      <c r="N863" t="str">
        <f t="shared" si="52"/>
        <v>Иванова Анна СергеевнаКозлов Илья Геннадьевич</v>
      </c>
      <c r="O863" t="s">
        <v>55</v>
      </c>
      <c r="P863" t="s">
        <v>153</v>
      </c>
      <c r="Q863" t="s">
        <v>152</v>
      </c>
    </row>
    <row r="864" spans="10:17" x14ac:dyDescent="0.25">
      <c r="J864" t="str">
        <f>K864&amp;L864</f>
        <v>Кузнецов Дмитрий ЛьвовичКозлов Матвей Владимирович</v>
      </c>
      <c r="K864" t="s">
        <v>11</v>
      </c>
      <c r="L864" t="s">
        <v>52</v>
      </c>
      <c r="M864" t="s">
        <v>417</v>
      </c>
      <c r="N864" t="str">
        <f t="shared" si="52"/>
        <v>Фролов Сергей ВикторовичОрлов Андрей Никитич</v>
      </c>
      <c r="O864" t="s">
        <v>38</v>
      </c>
      <c r="P864" t="s">
        <v>111</v>
      </c>
      <c r="Q864" t="s">
        <v>152</v>
      </c>
    </row>
    <row r="865" spans="10:17" x14ac:dyDescent="0.25">
      <c r="J865" t="str">
        <f>K865&amp;L865</f>
        <v>Семенова Ирина ВалерьевнаПопов Иван Егорович</v>
      </c>
      <c r="K865" t="s">
        <v>16</v>
      </c>
      <c r="L865" t="s">
        <v>82</v>
      </c>
      <c r="M865" t="s">
        <v>417</v>
      </c>
      <c r="N865" t="str">
        <f t="shared" si="52"/>
        <v>Кузнецов Дмитрий ЛьвовичИванов Никита Романович</v>
      </c>
      <c r="O865" t="s">
        <v>11</v>
      </c>
      <c r="P865" t="s">
        <v>154</v>
      </c>
      <c r="Q865" t="s">
        <v>152</v>
      </c>
    </row>
    <row r="866" spans="10:17" x14ac:dyDescent="0.25">
      <c r="J866" t="str">
        <f>K866&amp;L866</f>
        <v>Иванова Анна СергеевнаКузнецова Ирина Павловна</v>
      </c>
      <c r="K866" t="s">
        <v>55</v>
      </c>
      <c r="L866" t="s">
        <v>116</v>
      </c>
      <c r="M866" t="s">
        <v>417</v>
      </c>
      <c r="N866" t="str">
        <f t="shared" si="52"/>
        <v>Орлов Павел ДенисовичВолкова Екатерина Егоровна</v>
      </c>
      <c r="O866" t="s">
        <v>13</v>
      </c>
      <c r="P866" t="s">
        <v>58</v>
      </c>
      <c r="Q866" t="s">
        <v>152</v>
      </c>
    </row>
    <row r="867" spans="10:17" x14ac:dyDescent="0.25">
      <c r="J867" t="str">
        <f>K867&amp;L867</f>
        <v>Семенова Ирина ВалерьевнаВолкова Анна Викторовна</v>
      </c>
      <c r="K867" t="s">
        <v>16</v>
      </c>
      <c r="L867" t="s">
        <v>42</v>
      </c>
      <c r="M867" t="s">
        <v>417</v>
      </c>
      <c r="N867" t="str">
        <f t="shared" si="52"/>
        <v>Ткаченко Андрей ОлеговичЛебедев Михаил Викторович</v>
      </c>
      <c r="O867" t="s">
        <v>26</v>
      </c>
      <c r="P867" t="s">
        <v>155</v>
      </c>
      <c r="Q867" t="s">
        <v>152</v>
      </c>
    </row>
    <row r="868" spans="10:17" x14ac:dyDescent="0.25">
      <c r="J868" t="str">
        <f>K868&amp;L868</f>
        <v>Белов Алексей КонстантиновичЕгорова Юлия Никитична</v>
      </c>
      <c r="K868" t="s">
        <v>5</v>
      </c>
      <c r="L868" t="s">
        <v>264</v>
      </c>
      <c r="M868" t="s">
        <v>418</v>
      </c>
      <c r="N868" t="str">
        <f t="shared" si="52"/>
        <v>Фролов Сергей ВикторовичАлексеева Полина Викторовна</v>
      </c>
      <c r="O868" t="s">
        <v>38</v>
      </c>
      <c r="P868" t="s">
        <v>14</v>
      </c>
      <c r="Q868" t="s">
        <v>152</v>
      </c>
    </row>
    <row r="869" spans="10:17" x14ac:dyDescent="0.25">
      <c r="J869" t="str">
        <f>K869&amp;L869</f>
        <v>Сидорова Елена ВасильевнаПавлова София Геннадьевна</v>
      </c>
      <c r="K869" t="s">
        <v>8</v>
      </c>
      <c r="L869" t="s">
        <v>126</v>
      </c>
      <c r="M869" t="s">
        <v>418</v>
      </c>
      <c r="N869" t="str">
        <f t="shared" si="52"/>
        <v>Кузнецов Дмитрий ЛьвовичНовикова Екатерина Павловна</v>
      </c>
      <c r="O869" t="s">
        <v>11</v>
      </c>
      <c r="P869" t="s">
        <v>76</v>
      </c>
      <c r="Q869" t="s">
        <v>150</v>
      </c>
    </row>
    <row r="870" spans="10:17" x14ac:dyDescent="0.25">
      <c r="J870" t="str">
        <f>K870&amp;L870</f>
        <v>Белов Алексей КонстантиновичЕгорова Юлия Никитична</v>
      </c>
      <c r="K870" t="s">
        <v>5</v>
      </c>
      <c r="L870" t="s">
        <v>264</v>
      </c>
      <c r="M870" t="s">
        <v>418</v>
      </c>
      <c r="N870" t="str">
        <f t="shared" si="52"/>
        <v>Кузнецов Дмитрий ЛьвовичПетрова Ольга Сергеевна</v>
      </c>
      <c r="O870" t="s">
        <v>11</v>
      </c>
      <c r="P870" t="s">
        <v>119</v>
      </c>
      <c r="Q870" t="s">
        <v>150</v>
      </c>
    </row>
    <row r="871" spans="10:17" x14ac:dyDescent="0.25">
      <c r="J871" t="str">
        <f>K871&amp;L871</f>
        <v>Белов Алексей КонстантиновичКозлова Наталья Романовна</v>
      </c>
      <c r="K871" t="s">
        <v>5</v>
      </c>
      <c r="L871" t="s">
        <v>342</v>
      </c>
      <c r="M871" t="s">
        <v>418</v>
      </c>
      <c r="N871" t="str">
        <f t="shared" si="52"/>
        <v>Иванова Анна СергеевнаВасильев Андрей Павлович</v>
      </c>
      <c r="O871" t="s">
        <v>55</v>
      </c>
      <c r="P871" t="s">
        <v>151</v>
      </c>
      <c r="Q871" t="s">
        <v>150</v>
      </c>
    </row>
    <row r="872" spans="10:17" x14ac:dyDescent="0.25">
      <c r="J872" t="str">
        <f>K872&amp;L872</f>
        <v>Яковлев Артем ИгоревичПавлова Полина Юрьевна</v>
      </c>
      <c r="K872" t="s">
        <v>21</v>
      </c>
      <c r="L872" t="s">
        <v>419</v>
      </c>
      <c r="M872" t="s">
        <v>420</v>
      </c>
      <c r="N872" t="str">
        <f t="shared" si="52"/>
        <v>Орлов Павел ДенисовичИванов Артем Павлович</v>
      </c>
      <c r="O872" t="s">
        <v>13</v>
      </c>
      <c r="P872" t="s">
        <v>146</v>
      </c>
      <c r="Q872" t="s">
        <v>147</v>
      </c>
    </row>
    <row r="873" spans="10:17" x14ac:dyDescent="0.25">
      <c r="J873" t="str">
        <f>K873&amp;L873</f>
        <v>Ткаченко Андрей ОлеговичКозлов Александр Павлович</v>
      </c>
      <c r="K873" t="s">
        <v>26</v>
      </c>
      <c r="L873" t="s">
        <v>60</v>
      </c>
      <c r="M873" t="s">
        <v>421</v>
      </c>
      <c r="N873" t="str">
        <f t="shared" si="52"/>
        <v>Семенова Ирина ВалерьевнаПопов Георгий Ильич</v>
      </c>
      <c r="O873" t="s">
        <v>16</v>
      </c>
      <c r="P873" t="s">
        <v>148</v>
      </c>
      <c r="Q873" t="s">
        <v>147</v>
      </c>
    </row>
    <row r="874" spans="10:17" x14ac:dyDescent="0.25">
      <c r="J874" t="str">
        <f>K874&amp;L874</f>
        <v>Ткаченко Андрей ОлеговичСмирнов Дмитрий Егорович</v>
      </c>
      <c r="K874" t="s">
        <v>26</v>
      </c>
      <c r="L874" t="s">
        <v>250</v>
      </c>
      <c r="M874" t="s">
        <v>421</v>
      </c>
      <c r="N874" t="str">
        <f t="shared" si="52"/>
        <v>Орлов Павел ДенисовичИванов Георгий Павлович</v>
      </c>
      <c r="O874" t="s">
        <v>13</v>
      </c>
      <c r="P874" t="s">
        <v>149</v>
      </c>
      <c r="Q874" t="s">
        <v>147</v>
      </c>
    </row>
    <row r="875" spans="10:17" x14ac:dyDescent="0.25">
      <c r="J875" t="str">
        <f>K875&amp;L875</f>
        <v>Фролов Сергей ВикторовичОрлов Андрей Александрович</v>
      </c>
      <c r="K875" t="s">
        <v>38</v>
      </c>
      <c r="L875" t="s">
        <v>283</v>
      </c>
      <c r="M875" t="s">
        <v>421</v>
      </c>
      <c r="N875" t="str">
        <f t="shared" si="52"/>
        <v>Ткаченко Андрей ОлеговичМорозов Владимир Станиславович</v>
      </c>
      <c r="O875" t="s">
        <v>26</v>
      </c>
      <c r="P875" t="s">
        <v>141</v>
      </c>
      <c r="Q875" t="s">
        <v>142</v>
      </c>
    </row>
    <row r="876" spans="10:17" x14ac:dyDescent="0.25">
      <c r="J876" t="str">
        <f>K876&amp;L876</f>
        <v>Кузнецов Дмитрий ЛьвовичКозлов Михаил Андреевич</v>
      </c>
      <c r="K876" t="s">
        <v>11</v>
      </c>
      <c r="L876" t="s">
        <v>354</v>
      </c>
      <c r="M876" t="s">
        <v>421</v>
      </c>
      <c r="N876" t="str">
        <f t="shared" si="52"/>
        <v>Новикова Ольга ПетровнаСеменов Алексей Юрьевич</v>
      </c>
      <c r="O876" t="s">
        <v>29</v>
      </c>
      <c r="P876" t="s">
        <v>143</v>
      </c>
      <c r="Q876" t="s">
        <v>142</v>
      </c>
    </row>
    <row r="877" spans="10:17" x14ac:dyDescent="0.25">
      <c r="J877" t="str">
        <f>K877&amp;L877</f>
        <v>Иванова Анна СергеевнаСмирнов Илья Андреевич</v>
      </c>
      <c r="K877" t="s">
        <v>55</v>
      </c>
      <c r="L877" t="s">
        <v>258</v>
      </c>
      <c r="M877" t="s">
        <v>422</v>
      </c>
      <c r="N877" t="str">
        <f t="shared" si="52"/>
        <v>Фролов Сергей ВикторовичПавлова Наталья Павловна</v>
      </c>
      <c r="O877" t="s">
        <v>38</v>
      </c>
      <c r="P877" t="s">
        <v>144</v>
      </c>
      <c r="Q877" t="s">
        <v>142</v>
      </c>
    </row>
    <row r="878" spans="10:17" x14ac:dyDescent="0.25">
      <c r="J878" t="str">
        <f>K878&amp;L878</f>
        <v>Фролов Сергей ВикторовичСеменова Полина Сергеевна</v>
      </c>
      <c r="K878" t="s">
        <v>38</v>
      </c>
      <c r="L878" t="s">
        <v>183</v>
      </c>
      <c r="M878" t="s">
        <v>422</v>
      </c>
      <c r="N878" t="str">
        <f t="shared" si="52"/>
        <v>Петров Владимир КирилловичПопова Светлана Геннадьевна</v>
      </c>
      <c r="O878" t="s">
        <v>19</v>
      </c>
      <c r="P878" t="s">
        <v>18</v>
      </c>
      <c r="Q878" t="s">
        <v>142</v>
      </c>
    </row>
    <row r="879" spans="10:17" x14ac:dyDescent="0.25">
      <c r="J879" t="str">
        <f>K879&amp;L879</f>
        <v>Фролов Сергей ВикторовичПавлов Михаил Андреевич</v>
      </c>
      <c r="K879" t="s">
        <v>38</v>
      </c>
      <c r="L879" t="s">
        <v>39</v>
      </c>
      <c r="M879" t="s">
        <v>422</v>
      </c>
      <c r="N879" t="str">
        <f t="shared" si="52"/>
        <v>Иванова Анна СергеевнаВолков Павел Иванович</v>
      </c>
      <c r="O879" t="s">
        <v>55</v>
      </c>
      <c r="P879" t="s">
        <v>74</v>
      </c>
      <c r="Q879" t="s">
        <v>142</v>
      </c>
    </row>
    <row r="880" spans="10:17" x14ac:dyDescent="0.25">
      <c r="J880" t="str">
        <f>K880&amp;L880</f>
        <v>Орлов Павел ДенисовичСмирнова Екатерина Ивановна</v>
      </c>
      <c r="K880" t="s">
        <v>13</v>
      </c>
      <c r="L880" t="s">
        <v>28</v>
      </c>
      <c r="M880" t="s">
        <v>422</v>
      </c>
      <c r="N880" t="str">
        <f t="shared" si="52"/>
        <v>Петров Владимир КирилловичНовиков Павел Сергеевич</v>
      </c>
      <c r="O880" t="s">
        <v>19</v>
      </c>
      <c r="P880" t="s">
        <v>145</v>
      </c>
      <c r="Q880" t="s">
        <v>142</v>
      </c>
    </row>
    <row r="881" spans="10:17" x14ac:dyDescent="0.25">
      <c r="J881" t="str">
        <f>K881&amp;L881</f>
        <v>Громова Мария ИльиничнаАлексеев Егор Юрьевич</v>
      </c>
      <c r="K881" t="s">
        <v>43</v>
      </c>
      <c r="L881" t="s">
        <v>193</v>
      </c>
      <c r="M881" t="s">
        <v>422</v>
      </c>
      <c r="N881" t="str">
        <f t="shared" si="52"/>
        <v>Фролов Сергей ВикторовичСмирнов Роман Кириллович</v>
      </c>
      <c r="O881" t="s">
        <v>38</v>
      </c>
      <c r="P881" t="s">
        <v>125</v>
      </c>
      <c r="Q881" t="s">
        <v>140</v>
      </c>
    </row>
    <row r="882" spans="10:17" x14ac:dyDescent="0.25">
      <c r="J882" t="str">
        <f>K882&amp;L882</f>
        <v>Семенова Ирина ВалерьевнаФедоров Максим Андреевич</v>
      </c>
      <c r="K882" t="s">
        <v>16</v>
      </c>
      <c r="L882" t="s">
        <v>97</v>
      </c>
      <c r="M882" t="s">
        <v>422</v>
      </c>
      <c r="N882" t="str">
        <f t="shared" si="52"/>
        <v>Иванова Анна СергеевнаСидоров Кирилл Михайлович</v>
      </c>
      <c r="O882" t="s">
        <v>55</v>
      </c>
      <c r="P882" t="s">
        <v>59</v>
      </c>
      <c r="Q882" t="s">
        <v>140</v>
      </c>
    </row>
    <row r="883" spans="10:17" x14ac:dyDescent="0.25">
      <c r="J883" t="str">
        <f>K883&amp;L883</f>
        <v>Новикова Ольга ПетровнаВасильев Андрей Павлович</v>
      </c>
      <c r="K883" t="s">
        <v>29</v>
      </c>
      <c r="L883" t="s">
        <v>151</v>
      </c>
      <c r="M883" t="s">
        <v>422</v>
      </c>
      <c r="N883" t="str">
        <f t="shared" si="52"/>
        <v>Кузнецов Дмитрий ЛьвовичПетров Артем Егорович</v>
      </c>
      <c r="O883" t="s">
        <v>11</v>
      </c>
      <c r="P883" t="s">
        <v>136</v>
      </c>
      <c r="Q883" t="s">
        <v>137</v>
      </c>
    </row>
    <row r="884" spans="10:17" x14ac:dyDescent="0.25">
      <c r="J884" t="str">
        <f>K884&amp;L884</f>
        <v>Сидорова Елена ВасильевнаВолкова Виктория Павловна</v>
      </c>
      <c r="K884" t="s">
        <v>8</v>
      </c>
      <c r="L884" t="s">
        <v>294</v>
      </c>
      <c r="M884" t="s">
        <v>422</v>
      </c>
      <c r="N884" t="str">
        <f t="shared" si="52"/>
        <v>Яковлев Артем ИгоревичПопов Матвей Иванович</v>
      </c>
      <c r="O884" t="s">
        <v>21</v>
      </c>
      <c r="P884" t="s">
        <v>138</v>
      </c>
      <c r="Q884" t="s">
        <v>137</v>
      </c>
    </row>
    <row r="885" spans="10:17" x14ac:dyDescent="0.25">
      <c r="J885" t="str">
        <f>K885&amp;L885</f>
        <v>Яковлев Артем ИгоревичПавлова Наталья Павловна</v>
      </c>
      <c r="K885" t="s">
        <v>21</v>
      </c>
      <c r="L885" t="s">
        <v>144</v>
      </c>
      <c r="M885" t="s">
        <v>422</v>
      </c>
      <c r="N885" t="str">
        <f t="shared" si="52"/>
        <v>Громова Мария ИльиничнаВолкова Людмила Кирилловна</v>
      </c>
      <c r="O885" t="s">
        <v>43</v>
      </c>
      <c r="P885" t="s">
        <v>139</v>
      </c>
      <c r="Q885" t="s">
        <v>137</v>
      </c>
    </row>
    <row r="886" spans="10:17" x14ac:dyDescent="0.25">
      <c r="J886" t="str">
        <f>K886&amp;L886</f>
        <v>Сидорова Елена ВасильевнаПопов Роман Владимирович</v>
      </c>
      <c r="K886" t="s">
        <v>8</v>
      </c>
      <c r="L886" t="s">
        <v>88</v>
      </c>
      <c r="M886" t="s">
        <v>422</v>
      </c>
      <c r="N886" t="str">
        <f t="shared" si="52"/>
        <v>Громова Мария ИльиничнаОрлов Владимир Никитич</v>
      </c>
      <c r="O886" t="s">
        <v>43</v>
      </c>
      <c r="P886" t="s">
        <v>32</v>
      </c>
      <c r="Q886" t="s">
        <v>137</v>
      </c>
    </row>
    <row r="887" spans="10:17" x14ac:dyDescent="0.25">
      <c r="J887" t="str">
        <f>K887&amp;L887</f>
        <v>Яковлев Артем ИгоревичСтепанова Анна Романовна</v>
      </c>
      <c r="K887" t="s">
        <v>21</v>
      </c>
      <c r="L887" t="s">
        <v>234</v>
      </c>
      <c r="M887" t="s">
        <v>422</v>
      </c>
      <c r="N887" t="str">
        <f t="shared" si="52"/>
        <v>Белов Алексей КонстантиновичСидорова София Александровна</v>
      </c>
      <c r="O887" t="s">
        <v>5</v>
      </c>
      <c r="P887" t="s">
        <v>118</v>
      </c>
      <c r="Q887" t="s">
        <v>133</v>
      </c>
    </row>
    <row r="888" spans="10:17" x14ac:dyDescent="0.25">
      <c r="J888" t="str">
        <f>K888&amp;L888</f>
        <v>Новикова Ольга ПетровнаФедоров Максим Андреевич</v>
      </c>
      <c r="K888" t="s">
        <v>29</v>
      </c>
      <c r="L888" t="s">
        <v>97</v>
      </c>
      <c r="M888" t="s">
        <v>423</v>
      </c>
      <c r="N888" t="str">
        <f t="shared" si="52"/>
        <v>Громова Мария ИльиничнаКозлов Роман Егорович</v>
      </c>
      <c r="O888" t="s">
        <v>43</v>
      </c>
      <c r="P888" t="s">
        <v>134</v>
      </c>
      <c r="Q888" t="s">
        <v>133</v>
      </c>
    </row>
    <row r="889" spans="10:17" x14ac:dyDescent="0.25">
      <c r="J889" t="str">
        <f>K889&amp;L889</f>
        <v>Петров Владимир КирилловичИванова Елена Артемовна</v>
      </c>
      <c r="K889" t="s">
        <v>19</v>
      </c>
      <c r="L889" t="s">
        <v>164</v>
      </c>
      <c r="M889" t="s">
        <v>423</v>
      </c>
      <c r="N889" t="str">
        <f t="shared" si="52"/>
        <v>Иванова Анна СергеевнаСтепанова Алиса Ильинична</v>
      </c>
      <c r="O889" t="s">
        <v>55</v>
      </c>
      <c r="P889" t="s">
        <v>135</v>
      </c>
      <c r="Q889" t="s">
        <v>133</v>
      </c>
    </row>
    <row r="890" spans="10:17" x14ac:dyDescent="0.25">
      <c r="J890" t="str">
        <f>K890&amp;L890</f>
        <v>Громова Мария ИльиничнаНовикова Ирина Дмитриевна</v>
      </c>
      <c r="K890" t="s">
        <v>43</v>
      </c>
      <c r="L890" t="s">
        <v>424</v>
      </c>
      <c r="M890" t="s">
        <v>423</v>
      </c>
      <c r="N890" t="str">
        <f t="shared" si="52"/>
        <v>Орлов Павел ДенисовичОрлов Иван Викторович</v>
      </c>
      <c r="O890" t="s">
        <v>13</v>
      </c>
      <c r="P890" t="s">
        <v>37</v>
      </c>
      <c r="Q890" t="s">
        <v>132</v>
      </c>
    </row>
    <row r="891" spans="10:17" x14ac:dyDescent="0.25">
      <c r="J891" t="str">
        <f>K891&amp;L891</f>
        <v>Кузнецов Дмитрий ЛьвовичФедорова Людмила Сергеевна</v>
      </c>
      <c r="K891" t="s">
        <v>11</v>
      </c>
      <c r="L891" t="s">
        <v>305</v>
      </c>
      <c r="M891" t="s">
        <v>425</v>
      </c>
      <c r="N891" t="str">
        <f t="shared" si="52"/>
        <v>Громова Мария ИльиничнаПавлова София Геннадьевна</v>
      </c>
      <c r="O891" t="s">
        <v>43</v>
      </c>
      <c r="P891" t="s">
        <v>126</v>
      </c>
      <c r="Q891" t="s">
        <v>132</v>
      </c>
    </row>
    <row r="892" spans="10:17" x14ac:dyDescent="0.25">
      <c r="J892" t="str">
        <f>K892&amp;L892</f>
        <v>Сидорова Елена ВасильевнаАлексеев Михаил Алексеевич</v>
      </c>
      <c r="K892" t="s">
        <v>8</v>
      </c>
      <c r="L892" t="s">
        <v>85</v>
      </c>
      <c r="M892" t="s">
        <v>425</v>
      </c>
      <c r="N892" t="str">
        <f t="shared" si="52"/>
        <v>Ткаченко Андрей ОлеговичОрлов Андрей Никитич</v>
      </c>
      <c r="O892" t="s">
        <v>26</v>
      </c>
      <c r="P892" t="s">
        <v>111</v>
      </c>
      <c r="Q892" t="s">
        <v>132</v>
      </c>
    </row>
    <row r="893" spans="10:17" x14ac:dyDescent="0.25">
      <c r="J893" t="str">
        <f>K893&amp;L893</f>
        <v>Громова Мария ИльиничнаЕгорова Татьяна Ильинична</v>
      </c>
      <c r="K893" t="s">
        <v>43</v>
      </c>
      <c r="L893" t="s">
        <v>188</v>
      </c>
      <c r="M893" t="s">
        <v>425</v>
      </c>
      <c r="N893" t="str">
        <f t="shared" si="52"/>
        <v>Яковлев Артем ИгоревичИванова Светлана Артемовна</v>
      </c>
      <c r="O893" t="s">
        <v>21</v>
      </c>
      <c r="P893" t="s">
        <v>127</v>
      </c>
      <c r="Q893" t="s">
        <v>128</v>
      </c>
    </row>
    <row r="894" spans="10:17" x14ac:dyDescent="0.25">
      <c r="J894" t="str">
        <f>K894&amp;L894</f>
        <v>Ткаченко Андрей ОлеговичЕгоров Сергей Андреевич</v>
      </c>
      <c r="K894" t="s">
        <v>26</v>
      </c>
      <c r="L894" t="s">
        <v>49</v>
      </c>
      <c r="M894" t="s">
        <v>425</v>
      </c>
      <c r="N894" t="str">
        <f t="shared" si="52"/>
        <v>Кузнецов Дмитрий ЛьвовичНиколаева Анна Михайловна</v>
      </c>
      <c r="O894" t="s">
        <v>11</v>
      </c>
      <c r="P894" t="s">
        <v>129</v>
      </c>
      <c r="Q894" t="s">
        <v>128</v>
      </c>
    </row>
    <row r="895" spans="10:17" x14ac:dyDescent="0.25">
      <c r="J895" t="str">
        <f>K895&amp;L895</f>
        <v>Громова Мария ИльиничнаНиколаева Мария Никитична</v>
      </c>
      <c r="K895" t="s">
        <v>43</v>
      </c>
      <c r="L895" t="s">
        <v>211</v>
      </c>
      <c r="M895" t="s">
        <v>425</v>
      </c>
      <c r="N895" t="str">
        <f t="shared" si="52"/>
        <v>Сидорова Елена ВасильевнаПетров Дмитрий Никитич</v>
      </c>
      <c r="O895" t="s">
        <v>8</v>
      </c>
      <c r="P895" t="s">
        <v>130</v>
      </c>
      <c r="Q895" t="s">
        <v>128</v>
      </c>
    </row>
    <row r="896" spans="10:17" x14ac:dyDescent="0.25">
      <c r="J896" t="str">
        <f>K896&amp;L896</f>
        <v>Иванова Анна СергеевнаФедоров Владимир Артемович</v>
      </c>
      <c r="K896" t="s">
        <v>55</v>
      </c>
      <c r="L896" t="s">
        <v>217</v>
      </c>
      <c r="M896" t="s">
        <v>425</v>
      </c>
      <c r="N896" t="str">
        <f t="shared" si="52"/>
        <v>Громова Мария ИльиничнаИванова Ольга Дмитриевна</v>
      </c>
      <c r="O896" t="s">
        <v>43</v>
      </c>
      <c r="P896" t="s">
        <v>131</v>
      </c>
      <c r="Q896" t="s">
        <v>128</v>
      </c>
    </row>
    <row r="897" spans="10:17" x14ac:dyDescent="0.25">
      <c r="J897" t="str">
        <f>K897&amp;L897</f>
        <v>Фролов Сергей ВикторовичСмирнова Мария Сергеевна</v>
      </c>
      <c r="K897" t="s">
        <v>38</v>
      </c>
      <c r="L897" t="s">
        <v>303</v>
      </c>
      <c r="M897" t="s">
        <v>426</v>
      </c>
      <c r="N897" t="str">
        <f t="shared" si="52"/>
        <v>Фролов Сергей ВикторовичНовикова София Ивановна</v>
      </c>
      <c r="O897" t="s">
        <v>38</v>
      </c>
      <c r="P897" t="s">
        <v>33</v>
      </c>
      <c r="Q897" t="s">
        <v>128</v>
      </c>
    </row>
    <row r="898" spans="10:17" x14ac:dyDescent="0.25">
      <c r="J898" t="str">
        <f>K898&amp;L898</f>
        <v>Новикова Ольга ПетровнаВасильева Юлия Сергеевна</v>
      </c>
      <c r="K898" t="s">
        <v>29</v>
      </c>
      <c r="L898" t="s">
        <v>51</v>
      </c>
      <c r="M898" t="s">
        <v>426</v>
      </c>
      <c r="N898" t="str">
        <f t="shared" si="52"/>
        <v>Кузнецов Дмитрий ЛьвовичНиколаева Анна Дмитриевна</v>
      </c>
      <c r="O898" t="s">
        <v>11</v>
      </c>
      <c r="P898" t="s">
        <v>123</v>
      </c>
      <c r="Q898" t="s">
        <v>124</v>
      </c>
    </row>
    <row r="899" spans="10:17" x14ac:dyDescent="0.25">
      <c r="J899" t="str">
        <f>K899&amp;L899</f>
        <v>Петров Владимир КирилловичМорозов Андрей Алексеевич</v>
      </c>
      <c r="K899" t="s">
        <v>19</v>
      </c>
      <c r="L899" t="s">
        <v>278</v>
      </c>
      <c r="M899" t="s">
        <v>427</v>
      </c>
      <c r="N899" t="str">
        <f t="shared" ref="N899:N962" si="53">O899&amp;P899</f>
        <v>Яковлев Артем ИгоревичСмирнов Роман Кириллович</v>
      </c>
      <c r="O899" t="s">
        <v>21</v>
      </c>
      <c r="P899" t="s">
        <v>125</v>
      </c>
      <c r="Q899" t="s">
        <v>124</v>
      </c>
    </row>
    <row r="900" spans="10:17" x14ac:dyDescent="0.25">
      <c r="J900" t="str">
        <f>K900&amp;L900</f>
        <v>Ткаченко Андрей ОлеговичВолков Алексей Никитич</v>
      </c>
      <c r="K900" t="s">
        <v>26</v>
      </c>
      <c r="L900" t="s">
        <v>187</v>
      </c>
      <c r="M900" t="s">
        <v>427</v>
      </c>
      <c r="N900" t="str">
        <f t="shared" si="53"/>
        <v>Сидорова Елена ВасильевнаНовикова София Ивановна</v>
      </c>
      <c r="O900" t="s">
        <v>8</v>
      </c>
      <c r="P900" t="s">
        <v>33</v>
      </c>
      <c r="Q900" t="s">
        <v>124</v>
      </c>
    </row>
    <row r="901" spans="10:17" x14ac:dyDescent="0.25">
      <c r="J901" t="str">
        <f>K901&amp;L901</f>
        <v>Белов Алексей КонстантиновичЛебедев Матвей Павлович</v>
      </c>
      <c r="K901" t="s">
        <v>5</v>
      </c>
      <c r="L901" t="s">
        <v>115</v>
      </c>
      <c r="M901" t="s">
        <v>427</v>
      </c>
      <c r="N901" t="str">
        <f t="shared" si="53"/>
        <v>Ткаченко Андрей ОлеговичПавлова София Геннадьевна</v>
      </c>
      <c r="O901" t="s">
        <v>26</v>
      </c>
      <c r="P901" t="s">
        <v>126</v>
      </c>
      <c r="Q901" t="s">
        <v>124</v>
      </c>
    </row>
    <row r="902" spans="10:17" x14ac:dyDescent="0.25">
      <c r="J902" t="str">
        <f>K902&amp;L902</f>
        <v>Громова Мария ИльиничнаПопова Полина Сергеевна</v>
      </c>
      <c r="K902" t="s">
        <v>43</v>
      </c>
      <c r="L902" t="s">
        <v>160</v>
      </c>
      <c r="M902" t="s">
        <v>427</v>
      </c>
      <c r="N902" t="str">
        <f t="shared" si="53"/>
        <v>Фролов Сергей ВикторовичЛебедев Матвей Павлович</v>
      </c>
      <c r="O902" t="s">
        <v>38</v>
      </c>
      <c r="P902" t="s">
        <v>115</v>
      </c>
      <c r="Q902" t="s">
        <v>124</v>
      </c>
    </row>
    <row r="903" spans="10:17" x14ac:dyDescent="0.25">
      <c r="J903" t="str">
        <f>K903&amp;L903</f>
        <v>Петров Владимир КирилловичНиколаев Александр Ильич</v>
      </c>
      <c r="K903" t="s">
        <v>19</v>
      </c>
      <c r="L903" t="s">
        <v>89</v>
      </c>
      <c r="M903" t="s">
        <v>428</v>
      </c>
      <c r="N903" t="str">
        <f t="shared" si="53"/>
        <v>Кузнецов Дмитрий ЛьвовичПетрова Ольга Сергеевна</v>
      </c>
      <c r="O903" t="s">
        <v>11</v>
      </c>
      <c r="P903" t="s">
        <v>119</v>
      </c>
      <c r="Q903" t="s">
        <v>124</v>
      </c>
    </row>
    <row r="904" spans="10:17" x14ac:dyDescent="0.25">
      <c r="J904" t="str">
        <f>K904&amp;L904</f>
        <v>Новикова Ольга ПетровнаПопова Полина Сергеевна</v>
      </c>
      <c r="K904" t="s">
        <v>29</v>
      </c>
      <c r="L904" t="s">
        <v>160</v>
      </c>
      <c r="M904" t="s">
        <v>428</v>
      </c>
      <c r="N904" t="str">
        <f t="shared" si="53"/>
        <v>Кузнецов Дмитрий ЛьвовичАлексеева Мария Олеговна</v>
      </c>
      <c r="O904" t="s">
        <v>11</v>
      </c>
      <c r="P904" t="s">
        <v>72</v>
      </c>
      <c r="Q904" t="s">
        <v>122</v>
      </c>
    </row>
    <row r="905" spans="10:17" x14ac:dyDescent="0.25">
      <c r="J905" t="str">
        <f>K905&amp;L905</f>
        <v>Иванова Анна СергеевнаВасильев Матвей Кириллович</v>
      </c>
      <c r="K905" t="s">
        <v>55</v>
      </c>
      <c r="L905" t="s">
        <v>269</v>
      </c>
      <c r="M905" t="s">
        <v>428</v>
      </c>
      <c r="N905" t="str">
        <f t="shared" si="53"/>
        <v>Семенова Ирина ВалерьевнаСидорова София Александровна</v>
      </c>
      <c r="O905" t="s">
        <v>16</v>
      </c>
      <c r="P905" t="s">
        <v>118</v>
      </c>
      <c r="Q905" t="s">
        <v>122</v>
      </c>
    </row>
    <row r="906" spans="10:17" x14ac:dyDescent="0.25">
      <c r="J906" t="str">
        <f>K906&amp;L906</f>
        <v>Новикова Ольга ПетровнаИванова Светлана Артемовна</v>
      </c>
      <c r="K906" t="s">
        <v>29</v>
      </c>
      <c r="L906" t="s">
        <v>127</v>
      </c>
      <c r="M906" t="s">
        <v>428</v>
      </c>
      <c r="N906" t="str">
        <f t="shared" si="53"/>
        <v>Белов Алексей КонстантиновичПетрова Ольга Сергеевна</v>
      </c>
      <c r="O906" t="s">
        <v>5</v>
      </c>
      <c r="P906" t="s">
        <v>119</v>
      </c>
      <c r="Q906" t="s">
        <v>120</v>
      </c>
    </row>
    <row r="907" spans="10:17" x14ac:dyDescent="0.25">
      <c r="J907" t="str">
        <f>K907&amp;L907</f>
        <v>Семенова Ирина ВалерьевнаКузнецов Павел Викторович</v>
      </c>
      <c r="K907" t="s">
        <v>16</v>
      </c>
      <c r="L907" t="s">
        <v>299</v>
      </c>
      <c r="M907" t="s">
        <v>429</v>
      </c>
      <c r="N907" t="str">
        <f t="shared" si="53"/>
        <v>Петров Владимир КирилловичЕгоров Никита Олегович</v>
      </c>
      <c r="O907" t="s">
        <v>19</v>
      </c>
      <c r="P907" t="s">
        <v>121</v>
      </c>
      <c r="Q907" t="s">
        <v>120</v>
      </c>
    </row>
    <row r="908" spans="10:17" x14ac:dyDescent="0.25">
      <c r="J908" t="str">
        <f>K908&amp;L908</f>
        <v>Иванова Анна СергеевнаФедорова Екатерина Владимировна</v>
      </c>
      <c r="K908" t="s">
        <v>55</v>
      </c>
      <c r="L908" t="s">
        <v>25</v>
      </c>
      <c r="M908" t="s">
        <v>429</v>
      </c>
      <c r="N908" t="str">
        <f t="shared" si="53"/>
        <v>Яковлев Артем ИгоревичКузнецова Ирина Павловна</v>
      </c>
      <c r="O908" t="s">
        <v>21</v>
      </c>
      <c r="P908" t="s">
        <v>116</v>
      </c>
      <c r="Q908" t="s">
        <v>117</v>
      </c>
    </row>
    <row r="909" spans="10:17" x14ac:dyDescent="0.25">
      <c r="J909" t="str">
        <f>K909&amp;L909</f>
        <v>Яковлев Артем ИгоревичВолков Алексей Никитич</v>
      </c>
      <c r="K909" t="s">
        <v>21</v>
      </c>
      <c r="L909" t="s">
        <v>187</v>
      </c>
      <c r="M909" t="s">
        <v>429</v>
      </c>
      <c r="N909" t="str">
        <f t="shared" si="53"/>
        <v>Громова Мария ИльиничнаСидорова София Александровна</v>
      </c>
      <c r="O909" t="s">
        <v>43</v>
      </c>
      <c r="P909" t="s">
        <v>118</v>
      </c>
      <c r="Q909" t="s">
        <v>117</v>
      </c>
    </row>
    <row r="910" spans="10:17" x14ac:dyDescent="0.25">
      <c r="J910" t="str">
        <f>K910&amp;L910</f>
        <v>Кузнецов Дмитрий ЛьвовичНовикова Ольга Викторовна</v>
      </c>
      <c r="K910" t="s">
        <v>11</v>
      </c>
      <c r="L910" t="s">
        <v>47</v>
      </c>
      <c r="M910" t="s">
        <v>429</v>
      </c>
      <c r="N910" t="str">
        <f t="shared" si="53"/>
        <v>Петров Владимир КирилловичЕгоров Илья Ильич</v>
      </c>
      <c r="O910" t="s">
        <v>19</v>
      </c>
      <c r="P910" t="s">
        <v>53</v>
      </c>
      <c r="Q910" t="s">
        <v>110</v>
      </c>
    </row>
    <row r="911" spans="10:17" x14ac:dyDescent="0.25">
      <c r="J911" t="str">
        <f>K911&amp;L911</f>
        <v>Петров Владимир КирилловичПавлова Наталья Павловна</v>
      </c>
      <c r="K911" t="s">
        <v>19</v>
      </c>
      <c r="L911" t="s">
        <v>144</v>
      </c>
      <c r="M911" t="s">
        <v>429</v>
      </c>
      <c r="N911" t="str">
        <f t="shared" si="53"/>
        <v>Кузнецов Дмитрий ЛьвовичОрлов Андрей Никитич</v>
      </c>
      <c r="O911" t="s">
        <v>11</v>
      </c>
      <c r="P911" t="s">
        <v>111</v>
      </c>
      <c r="Q911" t="s">
        <v>110</v>
      </c>
    </row>
    <row r="912" spans="10:17" x14ac:dyDescent="0.25">
      <c r="J912" t="str">
        <f>K912&amp;L912</f>
        <v>Орлов Павел ДенисовичСмирнова Екатерина Ивановна</v>
      </c>
      <c r="K912" t="s">
        <v>13</v>
      </c>
      <c r="L912" t="s">
        <v>28</v>
      </c>
      <c r="M912" t="s">
        <v>429</v>
      </c>
      <c r="N912" t="str">
        <f t="shared" si="53"/>
        <v>Фролов Сергей ВикторовичСеменов Михаил Сергеевич</v>
      </c>
      <c r="O912" t="s">
        <v>38</v>
      </c>
      <c r="P912" t="s">
        <v>20</v>
      </c>
      <c r="Q912" t="s">
        <v>110</v>
      </c>
    </row>
    <row r="913" spans="10:17" x14ac:dyDescent="0.25">
      <c r="J913" t="str">
        <f>K913&amp;L913</f>
        <v>Яковлев Артем ИгоревичАлексеев Артур Артемович</v>
      </c>
      <c r="K913" t="s">
        <v>21</v>
      </c>
      <c r="L913" t="s">
        <v>190</v>
      </c>
      <c r="M913" t="s">
        <v>429</v>
      </c>
      <c r="N913" t="str">
        <f t="shared" si="53"/>
        <v>Яковлев Артем ИгоревичВолкова София Александровна</v>
      </c>
      <c r="O913" t="s">
        <v>21</v>
      </c>
      <c r="P913" t="s">
        <v>112</v>
      </c>
      <c r="Q913" t="s">
        <v>110</v>
      </c>
    </row>
    <row r="914" spans="10:17" x14ac:dyDescent="0.25">
      <c r="J914" t="str">
        <f>K914&amp;L914</f>
        <v>Петров Владимир КирилловичСмирнова Валерия Станиславовна</v>
      </c>
      <c r="K914" t="s">
        <v>19</v>
      </c>
      <c r="L914" t="s">
        <v>12</v>
      </c>
      <c r="M914" t="s">
        <v>430</v>
      </c>
      <c r="N914" t="str">
        <f t="shared" si="53"/>
        <v>Орлов Павел ДенисовичВолкова Дарья Владимировна</v>
      </c>
      <c r="O914" t="s">
        <v>13</v>
      </c>
      <c r="P914" t="s">
        <v>113</v>
      </c>
      <c r="Q914" t="s">
        <v>110</v>
      </c>
    </row>
    <row r="915" spans="10:17" x14ac:dyDescent="0.25">
      <c r="J915" t="str">
        <f>K915&amp;L915</f>
        <v>Ткаченко Андрей ОлеговичВасильева Дарья Андреевна</v>
      </c>
      <c r="K915" t="s">
        <v>26</v>
      </c>
      <c r="L915" t="s">
        <v>57</v>
      </c>
      <c r="M915" t="s">
        <v>430</v>
      </c>
      <c r="N915" t="str">
        <f t="shared" si="53"/>
        <v>Иванова Анна СергеевнаМорозов Илья Станиславович</v>
      </c>
      <c r="O915" t="s">
        <v>55</v>
      </c>
      <c r="P915" t="s">
        <v>114</v>
      </c>
      <c r="Q915" t="s">
        <v>110</v>
      </c>
    </row>
    <row r="916" spans="10:17" x14ac:dyDescent="0.25">
      <c r="J916" t="str">
        <f>K916&amp;L916</f>
        <v>Громова Мария ИльиничнаПетрова Ольга Сергеевна</v>
      </c>
      <c r="K916" t="s">
        <v>43</v>
      </c>
      <c r="L916" t="s">
        <v>119</v>
      </c>
      <c r="M916" t="s">
        <v>430</v>
      </c>
      <c r="N916" t="str">
        <f t="shared" si="53"/>
        <v>Иванова Анна СергеевнаЛебедев Матвей Павлович</v>
      </c>
      <c r="O916" t="s">
        <v>55</v>
      </c>
      <c r="P916" t="s">
        <v>115</v>
      </c>
      <c r="Q916" t="s">
        <v>110</v>
      </c>
    </row>
    <row r="917" spans="10:17" x14ac:dyDescent="0.25">
      <c r="J917" t="str">
        <f>K917&amp;L917</f>
        <v>Орлов Павел ДенисовичПавлов Алексей Юрьевич</v>
      </c>
      <c r="K917" t="s">
        <v>13</v>
      </c>
      <c r="L917" t="s">
        <v>105</v>
      </c>
      <c r="M917" t="s">
        <v>430</v>
      </c>
      <c r="N917" t="str">
        <f t="shared" si="53"/>
        <v>Иванова Анна СергеевнаВолкова Екатерина Егоровна</v>
      </c>
      <c r="O917" t="s">
        <v>55</v>
      </c>
      <c r="P917" t="s">
        <v>58</v>
      </c>
      <c r="Q917" t="s">
        <v>108</v>
      </c>
    </row>
    <row r="918" spans="10:17" x14ac:dyDescent="0.25">
      <c r="J918" t="str">
        <f>K918&amp;L918</f>
        <v>Иванова Анна СергеевнаИванова Полина Дмитриевна</v>
      </c>
      <c r="K918" t="s">
        <v>55</v>
      </c>
      <c r="L918" t="s">
        <v>91</v>
      </c>
      <c r="M918" t="s">
        <v>431</v>
      </c>
      <c r="N918" t="str">
        <f t="shared" si="53"/>
        <v>Кузнецов Дмитрий ЛьвовичЕгоров Сергей Андреевич</v>
      </c>
      <c r="O918" t="s">
        <v>11</v>
      </c>
      <c r="P918" t="s">
        <v>49</v>
      </c>
      <c r="Q918" t="s">
        <v>108</v>
      </c>
    </row>
    <row r="919" spans="10:17" x14ac:dyDescent="0.25">
      <c r="J919" t="str">
        <f>K919&amp;L919</f>
        <v>Петров Владимир КирилловичСидорова София Артемовна</v>
      </c>
      <c r="K919" t="s">
        <v>19</v>
      </c>
      <c r="L919" t="s">
        <v>45</v>
      </c>
      <c r="M919" t="s">
        <v>431</v>
      </c>
      <c r="N919" t="str">
        <f t="shared" si="53"/>
        <v>Яковлев Артем ИгоревичПетрова Алиса Егоровна</v>
      </c>
      <c r="O919" t="s">
        <v>21</v>
      </c>
      <c r="P919" t="s">
        <v>109</v>
      </c>
      <c r="Q919" t="s">
        <v>108</v>
      </c>
    </row>
    <row r="920" spans="10:17" x14ac:dyDescent="0.25">
      <c r="J920" t="str">
        <f>K920&amp;L920</f>
        <v>Кузнецов Дмитрий ЛьвовичСтепанов Михаил Ильич</v>
      </c>
      <c r="K920" t="s">
        <v>11</v>
      </c>
      <c r="L920" t="s">
        <v>293</v>
      </c>
      <c r="M920" t="s">
        <v>431</v>
      </c>
      <c r="N920" t="str">
        <f t="shared" si="53"/>
        <v>Белов Алексей КонстантиновичПетров Константин Егорович</v>
      </c>
      <c r="O920" t="s">
        <v>5</v>
      </c>
      <c r="P920" t="s">
        <v>102</v>
      </c>
      <c r="Q920" t="s">
        <v>103</v>
      </c>
    </row>
    <row r="921" spans="10:17" x14ac:dyDescent="0.25">
      <c r="J921" t="str">
        <f>K921&amp;L921</f>
        <v>Ткаченко Андрей ОлеговичАлексеев Никита Алексеевич</v>
      </c>
      <c r="K921" t="s">
        <v>26</v>
      </c>
      <c r="L921" t="s">
        <v>171</v>
      </c>
      <c r="M921" t="s">
        <v>432</v>
      </c>
      <c r="N921" t="str">
        <f t="shared" si="53"/>
        <v>Фролов Сергей ВикторовичФедорова Татьяна Викторовна</v>
      </c>
      <c r="O921" t="s">
        <v>38</v>
      </c>
      <c r="P921" t="s">
        <v>104</v>
      </c>
      <c r="Q921" t="s">
        <v>103</v>
      </c>
    </row>
    <row r="922" spans="10:17" x14ac:dyDescent="0.25">
      <c r="J922" t="str">
        <f>K922&amp;L922</f>
        <v>Иванова Анна СергеевнаФедоров Андрей Владимирович</v>
      </c>
      <c r="K922" t="s">
        <v>55</v>
      </c>
      <c r="L922" t="s">
        <v>79</v>
      </c>
      <c r="M922" t="s">
        <v>432</v>
      </c>
      <c r="N922" t="str">
        <f t="shared" si="53"/>
        <v>Орлов Павел ДенисовичПавлов Алексей Юрьевич</v>
      </c>
      <c r="O922" t="s">
        <v>13</v>
      </c>
      <c r="P922" t="s">
        <v>105</v>
      </c>
      <c r="Q922" t="s">
        <v>103</v>
      </c>
    </row>
    <row r="923" spans="10:17" x14ac:dyDescent="0.25">
      <c r="J923" t="str">
        <f>K923&amp;L923</f>
        <v>Белов Алексей КонстантиновичВолков Павел Иванович</v>
      </c>
      <c r="K923" t="s">
        <v>5</v>
      </c>
      <c r="L923" t="s">
        <v>74</v>
      </c>
      <c r="M923" t="s">
        <v>432</v>
      </c>
      <c r="N923" t="str">
        <f t="shared" si="53"/>
        <v>Новикова Ольга ПетровнаОрлов Владимир Александрович</v>
      </c>
      <c r="O923" t="s">
        <v>29</v>
      </c>
      <c r="P923" t="s">
        <v>106</v>
      </c>
      <c r="Q923" t="s">
        <v>103</v>
      </c>
    </row>
    <row r="924" spans="10:17" x14ac:dyDescent="0.25">
      <c r="J924" t="str">
        <f>K924&amp;L924</f>
        <v>Громова Мария ИльиничнаКузнецова Ирина Павловна</v>
      </c>
      <c r="K924" t="s">
        <v>43</v>
      </c>
      <c r="L924" t="s">
        <v>116</v>
      </c>
      <c r="M924" t="s">
        <v>432</v>
      </c>
      <c r="N924" t="str">
        <f t="shared" si="53"/>
        <v>Семенова Ирина ВалерьевнаЕгоров Алексей Михайлович</v>
      </c>
      <c r="O924" t="s">
        <v>16</v>
      </c>
      <c r="P924" t="s">
        <v>107</v>
      </c>
      <c r="Q924" t="s">
        <v>103</v>
      </c>
    </row>
    <row r="925" spans="10:17" x14ac:dyDescent="0.25">
      <c r="J925" t="str">
        <f>K925&amp;L925</f>
        <v>Белов Алексей КонстантиновичВолкова Светлана Ивановна</v>
      </c>
      <c r="K925" t="s">
        <v>5</v>
      </c>
      <c r="L925" t="s">
        <v>64</v>
      </c>
      <c r="M925" t="s">
        <v>432</v>
      </c>
      <c r="N925" t="str">
        <f t="shared" si="53"/>
        <v>Иванова Анна СергеевнаОрлова Вероника Андреевна</v>
      </c>
      <c r="O925" t="s">
        <v>55</v>
      </c>
      <c r="P925" t="s">
        <v>100</v>
      </c>
      <c r="Q925" t="s">
        <v>101</v>
      </c>
    </row>
    <row r="926" spans="10:17" x14ac:dyDescent="0.25">
      <c r="J926" t="str">
        <f>K926&amp;L926</f>
        <v>Ткаченко Андрей ОлеговичАлексеева Ольга Дмитриевна</v>
      </c>
      <c r="K926" t="s">
        <v>26</v>
      </c>
      <c r="L926" t="s">
        <v>289</v>
      </c>
      <c r="M926" t="s">
        <v>432</v>
      </c>
      <c r="N926" t="str">
        <f t="shared" si="53"/>
        <v>Белов Алексей КонстантиновичСидоров Кирилл Михайлович</v>
      </c>
      <c r="O926" t="s">
        <v>5</v>
      </c>
      <c r="P926" t="s">
        <v>59</v>
      </c>
      <c r="Q926" t="s">
        <v>99</v>
      </c>
    </row>
    <row r="927" spans="10:17" x14ac:dyDescent="0.25">
      <c r="J927" t="str">
        <f>K927&amp;L927</f>
        <v>Петров Владимир КирилловичФедоров Артем Ильич</v>
      </c>
      <c r="K927" t="s">
        <v>19</v>
      </c>
      <c r="L927" t="s">
        <v>433</v>
      </c>
      <c r="M927" t="s">
        <v>434</v>
      </c>
      <c r="N927" t="str">
        <f t="shared" si="53"/>
        <v>Сидорова Елена ВасильевнаСеменова Александра Егоровна</v>
      </c>
      <c r="O927" t="s">
        <v>8</v>
      </c>
      <c r="P927" t="s">
        <v>94</v>
      </c>
      <c r="Q927" t="s">
        <v>95</v>
      </c>
    </row>
    <row r="928" spans="10:17" x14ac:dyDescent="0.25">
      <c r="J928" t="str">
        <f>K928&amp;L928</f>
        <v>Фролов Сергей ВикторовичВасильев Андрей Дмитриевич</v>
      </c>
      <c r="K928" t="s">
        <v>38</v>
      </c>
      <c r="L928" t="s">
        <v>172</v>
      </c>
      <c r="M928" t="s">
        <v>434</v>
      </c>
      <c r="N928" t="str">
        <f t="shared" si="53"/>
        <v>Сидорова Елена ВасильевнаАлексеева Валерия Викторовна</v>
      </c>
      <c r="O928" t="s">
        <v>8</v>
      </c>
      <c r="P928" t="s">
        <v>96</v>
      </c>
      <c r="Q928" t="s">
        <v>95</v>
      </c>
    </row>
    <row r="929" spans="10:17" x14ac:dyDescent="0.25">
      <c r="J929" t="str">
        <f>K929&amp;L929</f>
        <v>Новикова Ольга ПетровнаСмирнова Екатерина Геннадьевна</v>
      </c>
      <c r="K929" t="s">
        <v>29</v>
      </c>
      <c r="L929" t="s">
        <v>169</v>
      </c>
      <c r="M929" t="s">
        <v>434</v>
      </c>
      <c r="N929" t="str">
        <f t="shared" si="53"/>
        <v>Кузнецов Дмитрий ЛьвовичСмирнова Мария Артемовна</v>
      </c>
      <c r="O929" t="s">
        <v>11</v>
      </c>
      <c r="P929" t="s">
        <v>44</v>
      </c>
      <c r="Q929" t="s">
        <v>95</v>
      </c>
    </row>
    <row r="930" spans="10:17" x14ac:dyDescent="0.25">
      <c r="J930" t="str">
        <f>K930&amp;L930</f>
        <v>Иванова Анна СергеевнаПавлова Ксения Никитична</v>
      </c>
      <c r="K930" t="s">
        <v>55</v>
      </c>
      <c r="L930" t="s">
        <v>319</v>
      </c>
      <c r="M930" t="s">
        <v>434</v>
      </c>
      <c r="N930" t="str">
        <f t="shared" si="53"/>
        <v>Орлов Павел ДенисовичФедоров Максим Андреевич</v>
      </c>
      <c r="O930" t="s">
        <v>13</v>
      </c>
      <c r="P930" t="s">
        <v>97</v>
      </c>
      <c r="Q930" t="s">
        <v>95</v>
      </c>
    </row>
    <row r="931" spans="10:17" x14ac:dyDescent="0.25">
      <c r="J931" t="str">
        <f>K931&amp;L931</f>
        <v>Ткаченко Андрей ОлеговичСтепанов Михаил Ильич</v>
      </c>
      <c r="K931" t="s">
        <v>26</v>
      </c>
      <c r="L931" t="s">
        <v>293</v>
      </c>
      <c r="M931" t="s">
        <v>434</v>
      </c>
      <c r="N931" t="str">
        <f t="shared" si="53"/>
        <v>Громова Мария ИльиничнаАлексеева Светлана Артемовна</v>
      </c>
      <c r="O931" t="s">
        <v>43</v>
      </c>
      <c r="P931" t="s">
        <v>98</v>
      </c>
      <c r="Q931" t="s">
        <v>95</v>
      </c>
    </row>
    <row r="932" spans="10:17" x14ac:dyDescent="0.25">
      <c r="J932" t="str">
        <f>K932&amp;L932</f>
        <v>Яковлев Артем ИгоревичНиколаева Анна Михайловна</v>
      </c>
      <c r="K932" t="s">
        <v>21</v>
      </c>
      <c r="L932" t="s">
        <v>129</v>
      </c>
      <c r="M932" t="s">
        <v>434</v>
      </c>
      <c r="N932" t="str">
        <f t="shared" si="53"/>
        <v>Семенова Ирина ВалерьевнаНиколаев Александр Ильич</v>
      </c>
      <c r="O932" t="s">
        <v>16</v>
      </c>
      <c r="P932" t="s">
        <v>89</v>
      </c>
      <c r="Q932" t="s">
        <v>90</v>
      </c>
    </row>
    <row r="933" spans="10:17" x14ac:dyDescent="0.25">
      <c r="J933" t="str">
        <f>K933&amp;L933</f>
        <v>Фролов Сергей ВикторовичПетров Константин Егорович</v>
      </c>
      <c r="K933" t="s">
        <v>38</v>
      </c>
      <c r="L933" t="s">
        <v>102</v>
      </c>
      <c r="M933" t="s">
        <v>434</v>
      </c>
      <c r="N933" t="str">
        <f t="shared" si="53"/>
        <v>Орлов Павел ДенисовичИванова Полина Дмитриевна</v>
      </c>
      <c r="O933" t="s">
        <v>13</v>
      </c>
      <c r="P933" t="s">
        <v>91</v>
      </c>
      <c r="Q933" t="s">
        <v>90</v>
      </c>
    </row>
    <row r="934" spans="10:17" x14ac:dyDescent="0.25">
      <c r="J934" t="str">
        <f>K934&amp;L934</f>
        <v>Иванова Анна СергеевнаСидоров Кирилл Михайлович</v>
      </c>
      <c r="K934" t="s">
        <v>55</v>
      </c>
      <c r="L934" t="s">
        <v>59</v>
      </c>
      <c r="M934" t="s">
        <v>434</v>
      </c>
      <c r="N934" t="str">
        <f t="shared" si="53"/>
        <v>Семенова Ирина ВалерьевнаКузнецов Кирилл Александрович</v>
      </c>
      <c r="O934" t="s">
        <v>16</v>
      </c>
      <c r="P934" t="s">
        <v>92</v>
      </c>
      <c r="Q934" t="s">
        <v>90</v>
      </c>
    </row>
    <row r="935" spans="10:17" x14ac:dyDescent="0.25">
      <c r="J935" t="str">
        <f>K935&amp;L935</f>
        <v>Кузнецов Дмитрий ЛьвовичВасильев Матвей Кириллович</v>
      </c>
      <c r="K935" t="s">
        <v>11</v>
      </c>
      <c r="L935" t="s">
        <v>269</v>
      </c>
      <c r="M935" t="s">
        <v>434</v>
      </c>
      <c r="N935" t="str">
        <f t="shared" si="53"/>
        <v>Громова Мария ИльиничнаАлексеева Юлия Никитична</v>
      </c>
      <c r="O935" t="s">
        <v>43</v>
      </c>
      <c r="P935" t="s">
        <v>93</v>
      </c>
      <c r="Q935" t="s">
        <v>90</v>
      </c>
    </row>
    <row r="936" spans="10:17" x14ac:dyDescent="0.25">
      <c r="J936" t="str">
        <f>K936&amp;L936</f>
        <v>Яковлев Артем ИгоревичСмирнова Екатерина Геннадьевна</v>
      </c>
      <c r="K936" t="s">
        <v>21</v>
      </c>
      <c r="L936" t="s">
        <v>169</v>
      </c>
      <c r="M936" t="s">
        <v>434</v>
      </c>
      <c r="N936" t="str">
        <f t="shared" si="53"/>
        <v>Кузнецов Дмитрий ЛьвовичАлексеев Михаил Алексеевич</v>
      </c>
      <c r="O936" t="s">
        <v>11</v>
      </c>
      <c r="P936" t="s">
        <v>85</v>
      </c>
      <c r="Q936" t="s">
        <v>86</v>
      </c>
    </row>
    <row r="937" spans="10:17" x14ac:dyDescent="0.25">
      <c r="J937" t="str">
        <f>K937&amp;L937</f>
        <v>Орлов Павел ДенисовичОрлова Алиса Егоровна</v>
      </c>
      <c r="K937" t="s">
        <v>13</v>
      </c>
      <c r="L937" t="s">
        <v>197</v>
      </c>
      <c r="M937" t="s">
        <v>434</v>
      </c>
      <c r="N937" t="str">
        <f t="shared" si="53"/>
        <v>Сидорова Елена ВасильевнаКузнецов Егор Андреевич</v>
      </c>
      <c r="O937" t="s">
        <v>8</v>
      </c>
      <c r="P937" t="s">
        <v>30</v>
      </c>
      <c r="Q937" t="s">
        <v>86</v>
      </c>
    </row>
    <row r="938" spans="10:17" x14ac:dyDescent="0.25">
      <c r="J938" t="str">
        <f>K938&amp;L938</f>
        <v>Петров Владимир КирилловичФедоров Максим Андреевич</v>
      </c>
      <c r="K938" t="s">
        <v>19</v>
      </c>
      <c r="L938" t="s">
        <v>97</v>
      </c>
      <c r="M938" t="s">
        <v>435</v>
      </c>
      <c r="N938" t="str">
        <f t="shared" si="53"/>
        <v>Новикова Ольга ПетровнаКозлова Полина Михайловна</v>
      </c>
      <c r="O938" t="s">
        <v>29</v>
      </c>
      <c r="P938" t="s">
        <v>87</v>
      </c>
      <c r="Q938" t="s">
        <v>86</v>
      </c>
    </row>
    <row r="939" spans="10:17" x14ac:dyDescent="0.25">
      <c r="J939" t="str">
        <f>K939&amp;L939</f>
        <v>Петров Владимир КирилловичВолков Алексей Никитич</v>
      </c>
      <c r="K939" t="s">
        <v>19</v>
      </c>
      <c r="L939" t="s">
        <v>187</v>
      </c>
      <c r="M939" t="s">
        <v>435</v>
      </c>
      <c r="N939" t="str">
        <f t="shared" si="53"/>
        <v>Яковлев Артем ИгоревичПопов Роман Владимирович</v>
      </c>
      <c r="O939" t="s">
        <v>21</v>
      </c>
      <c r="P939" t="s">
        <v>88</v>
      </c>
      <c r="Q939" t="s">
        <v>86</v>
      </c>
    </row>
    <row r="940" spans="10:17" x14ac:dyDescent="0.25">
      <c r="J940" t="str">
        <f>K940&amp;L940</f>
        <v>Яковлев Артем ИгоревичПопова Полина Сергеевна</v>
      </c>
      <c r="K940" t="s">
        <v>21</v>
      </c>
      <c r="L940" t="s">
        <v>160</v>
      </c>
      <c r="M940" t="s">
        <v>436</v>
      </c>
      <c r="N940" t="str">
        <f t="shared" si="53"/>
        <v>Орлов Павел ДенисовичПопов Иван Егорович</v>
      </c>
      <c r="O940" t="s">
        <v>13</v>
      </c>
      <c r="P940" t="s">
        <v>82</v>
      </c>
      <c r="Q940" t="s">
        <v>83</v>
      </c>
    </row>
    <row r="941" spans="10:17" x14ac:dyDescent="0.25">
      <c r="J941" t="str">
        <f>K941&amp;L941</f>
        <v>Фролов Сергей ВикторовичЛебедева София Алексеевна</v>
      </c>
      <c r="K941" t="s">
        <v>38</v>
      </c>
      <c r="L941" t="s">
        <v>340</v>
      </c>
      <c r="M941" t="s">
        <v>437</v>
      </c>
      <c r="N941" t="str">
        <f t="shared" si="53"/>
        <v>Орлов Павел ДенисовичПетрова Виктория Юрьевна</v>
      </c>
      <c r="O941" t="s">
        <v>13</v>
      </c>
      <c r="P941" t="s">
        <v>71</v>
      </c>
      <c r="Q941" t="s">
        <v>83</v>
      </c>
    </row>
    <row r="942" spans="10:17" x14ac:dyDescent="0.25">
      <c r="J942" t="str">
        <f>K942&amp;L942</f>
        <v>Громова Мария ИльиничнаСмирнова Елена Олеговна</v>
      </c>
      <c r="K942" t="s">
        <v>43</v>
      </c>
      <c r="L942" t="s">
        <v>22</v>
      </c>
      <c r="M942" t="s">
        <v>437</v>
      </c>
      <c r="N942" t="str">
        <f t="shared" si="53"/>
        <v>Громова Мария ИльиничнаНовикова София Ивановна</v>
      </c>
      <c r="O942" t="s">
        <v>43</v>
      </c>
      <c r="P942" t="s">
        <v>33</v>
      </c>
      <c r="Q942" t="s">
        <v>83</v>
      </c>
    </row>
    <row r="943" spans="10:17" x14ac:dyDescent="0.25">
      <c r="J943" t="str">
        <f>K943&amp;L943</f>
        <v>Громова Мария ИльиничнаОрлов Владимир Александрович</v>
      </c>
      <c r="K943" t="s">
        <v>43</v>
      </c>
      <c r="L943" t="s">
        <v>106</v>
      </c>
      <c r="M943" t="s">
        <v>438</v>
      </c>
      <c r="N943" t="str">
        <f t="shared" si="53"/>
        <v>Белов Алексей КонстантиновичПетров Дмитрий Сергеевич</v>
      </c>
      <c r="O943" t="s">
        <v>5</v>
      </c>
      <c r="P943" t="s">
        <v>84</v>
      </c>
      <c r="Q943" t="s">
        <v>83</v>
      </c>
    </row>
    <row r="944" spans="10:17" x14ac:dyDescent="0.25">
      <c r="J944" t="str">
        <f>K944&amp;L944</f>
        <v>Сидорова Елена ВасильевнаВасильева Елена Андреевна</v>
      </c>
      <c r="K944" t="s">
        <v>8</v>
      </c>
      <c r="L944" t="s">
        <v>27</v>
      </c>
      <c r="M944" t="s">
        <v>438</v>
      </c>
      <c r="N944" t="str">
        <f t="shared" si="53"/>
        <v>Ткаченко Андрей ОлеговичФедоров Андрей Владимирович</v>
      </c>
      <c r="O944" t="s">
        <v>26</v>
      </c>
      <c r="P944" t="s">
        <v>79</v>
      </c>
      <c r="Q944" t="s">
        <v>80</v>
      </c>
    </row>
    <row r="945" spans="10:17" x14ac:dyDescent="0.25">
      <c r="J945" t="str">
        <f>K945&amp;L945</f>
        <v>Кузнецов Дмитрий ЛьвовичНиколаева Мария Никитична</v>
      </c>
      <c r="K945" t="s">
        <v>11</v>
      </c>
      <c r="L945" t="s">
        <v>211</v>
      </c>
      <c r="M945" t="s">
        <v>438</v>
      </c>
      <c r="N945" t="str">
        <f t="shared" si="53"/>
        <v>Ткаченко Андрей ОлеговичЛебедев Артем Дмитриевич</v>
      </c>
      <c r="O945" t="s">
        <v>26</v>
      </c>
      <c r="P945" t="s">
        <v>81</v>
      </c>
      <c r="Q945" t="s">
        <v>80</v>
      </c>
    </row>
    <row r="946" spans="10:17" x14ac:dyDescent="0.25">
      <c r="J946" t="str">
        <f>K946&amp;L946</f>
        <v>Яковлев Артем ИгоревичВасильева Виктория Артемовна</v>
      </c>
      <c r="K946" t="s">
        <v>21</v>
      </c>
      <c r="L946" t="s">
        <v>274</v>
      </c>
      <c r="M946" t="s">
        <v>438</v>
      </c>
      <c r="N946" t="str">
        <f t="shared" si="53"/>
        <v>Яковлев Артем ИгоревичНовикова София Ивановна</v>
      </c>
      <c r="O946" t="s">
        <v>21</v>
      </c>
      <c r="P946" t="s">
        <v>33</v>
      </c>
      <c r="Q946" t="s">
        <v>80</v>
      </c>
    </row>
    <row r="947" spans="10:17" x14ac:dyDescent="0.25">
      <c r="J947" t="str">
        <f>K947&amp;L947</f>
        <v>Иванова Анна СергеевнаНовикова Екатерина Павловна</v>
      </c>
      <c r="K947" t="s">
        <v>55</v>
      </c>
      <c r="L947" t="s">
        <v>76</v>
      </c>
      <c r="M947" t="s">
        <v>439</v>
      </c>
      <c r="N947" t="str">
        <f t="shared" si="53"/>
        <v>Петров Владимир КирилловичЕгоров Сергей Андреевич</v>
      </c>
      <c r="O947" t="s">
        <v>19</v>
      </c>
      <c r="P947" t="s">
        <v>49</v>
      </c>
      <c r="Q947" t="s">
        <v>70</v>
      </c>
    </row>
    <row r="948" spans="10:17" x14ac:dyDescent="0.25">
      <c r="J948" t="str">
        <f>K948&amp;L948</f>
        <v>Сидорова Елена ВасильевнаСеменова Александра Егоровна</v>
      </c>
      <c r="K948" t="s">
        <v>8</v>
      </c>
      <c r="L948" t="s">
        <v>94</v>
      </c>
      <c r="M948" t="s">
        <v>439</v>
      </c>
      <c r="N948" t="str">
        <f t="shared" si="53"/>
        <v>Петров Владимир КирилловичПетрова Виктория Юрьевна</v>
      </c>
      <c r="O948" t="s">
        <v>19</v>
      </c>
      <c r="P948" t="s">
        <v>71</v>
      </c>
      <c r="Q948" t="s">
        <v>70</v>
      </c>
    </row>
    <row r="949" spans="10:17" x14ac:dyDescent="0.25">
      <c r="J949" t="str">
        <f>K949&amp;L949</f>
        <v>Новикова Ольга ПетровнаСидоров Дмитрий Александрович</v>
      </c>
      <c r="K949" t="s">
        <v>29</v>
      </c>
      <c r="L949" t="s">
        <v>255</v>
      </c>
      <c r="M949" t="s">
        <v>439</v>
      </c>
      <c r="N949" t="str">
        <f t="shared" si="53"/>
        <v>Иванова Анна СергеевнаАлексеева Мария Олеговна</v>
      </c>
      <c r="O949" t="s">
        <v>55</v>
      </c>
      <c r="P949" t="s">
        <v>72</v>
      </c>
      <c r="Q949" t="s">
        <v>70</v>
      </c>
    </row>
    <row r="950" spans="10:17" x14ac:dyDescent="0.25">
      <c r="J950" t="str">
        <f>K950&amp;L950</f>
        <v>Фролов Сергей ВикторовичВолков Алексей Никитич</v>
      </c>
      <c r="K950" t="s">
        <v>38</v>
      </c>
      <c r="L950" t="s">
        <v>187</v>
      </c>
      <c r="M950" t="s">
        <v>439</v>
      </c>
      <c r="N950" t="str">
        <f t="shared" si="53"/>
        <v>Ткаченко Андрей ОлеговичСеменов Никита Александрович</v>
      </c>
      <c r="O950" t="s">
        <v>26</v>
      </c>
      <c r="P950" t="s">
        <v>73</v>
      </c>
      <c r="Q950" t="s">
        <v>70</v>
      </c>
    </row>
    <row r="951" spans="10:17" x14ac:dyDescent="0.25">
      <c r="J951" t="str">
        <f>K951&amp;L951</f>
        <v>Орлов Павел ДенисовичКузнецов Кирилл Александрович</v>
      </c>
      <c r="K951" t="s">
        <v>13</v>
      </c>
      <c r="L951" t="s">
        <v>92</v>
      </c>
      <c r="M951" t="s">
        <v>439</v>
      </c>
      <c r="N951" t="str">
        <f t="shared" si="53"/>
        <v>Семенова Ирина ВалерьевнаВолков Павел Иванович</v>
      </c>
      <c r="O951" t="s">
        <v>16</v>
      </c>
      <c r="P951" t="s">
        <v>74</v>
      </c>
      <c r="Q951" t="s">
        <v>70</v>
      </c>
    </row>
    <row r="952" spans="10:17" x14ac:dyDescent="0.25">
      <c r="J952" t="str">
        <f>K952&amp;L952</f>
        <v>Кузнецов Дмитрий ЛьвовичВасильев Андрей Дмитриевич</v>
      </c>
      <c r="K952" t="s">
        <v>11</v>
      </c>
      <c r="L952" t="s">
        <v>172</v>
      </c>
      <c r="M952" t="s">
        <v>439</v>
      </c>
      <c r="N952" t="str">
        <f t="shared" si="53"/>
        <v>Яковлев Артем ИгоревичПетров Никита Павлович</v>
      </c>
      <c r="O952" t="s">
        <v>21</v>
      </c>
      <c r="P952" t="s">
        <v>75</v>
      </c>
      <c r="Q952" t="s">
        <v>70</v>
      </c>
    </row>
    <row r="953" spans="10:17" x14ac:dyDescent="0.25">
      <c r="J953" t="str">
        <f>K953&amp;L953</f>
        <v>Кузнецов Дмитрий ЛьвовичПопова Наталья Станиславовна</v>
      </c>
      <c r="K953" t="s">
        <v>11</v>
      </c>
      <c r="L953" t="s">
        <v>178</v>
      </c>
      <c r="M953" t="s">
        <v>439</v>
      </c>
      <c r="N953" t="str">
        <f t="shared" si="53"/>
        <v>Петров Владимир КирилловичНовикова Екатерина Павловна</v>
      </c>
      <c r="O953" t="s">
        <v>19</v>
      </c>
      <c r="P953" t="s">
        <v>76</v>
      </c>
      <c r="Q953" t="s">
        <v>70</v>
      </c>
    </row>
    <row r="954" spans="10:17" x14ac:dyDescent="0.25">
      <c r="J954" t="str">
        <f>K954&amp;L954</f>
        <v>Семенова Ирина ВалерьевнаНиколаева Анна Дмитриевна</v>
      </c>
      <c r="K954" t="s">
        <v>16</v>
      </c>
      <c r="L954" t="s">
        <v>123</v>
      </c>
      <c r="M954" t="s">
        <v>439</v>
      </c>
      <c r="N954" t="str">
        <f t="shared" si="53"/>
        <v>Петров Владимир КирилловичЛебедева Дарья Ивановна</v>
      </c>
      <c r="O954" t="s">
        <v>19</v>
      </c>
      <c r="P954" t="s">
        <v>77</v>
      </c>
      <c r="Q954" t="s">
        <v>70</v>
      </c>
    </row>
    <row r="955" spans="10:17" x14ac:dyDescent="0.25">
      <c r="J955" t="str">
        <f>K955&amp;L955</f>
        <v>Кузнецов Дмитрий ЛьвовичПетров Никита Павлович</v>
      </c>
      <c r="K955" t="s">
        <v>11</v>
      </c>
      <c r="L955" t="s">
        <v>75</v>
      </c>
      <c r="M955" t="s">
        <v>440</v>
      </c>
      <c r="N955" t="str">
        <f t="shared" si="53"/>
        <v>Громова Мария ИльиничнаПопов Георгий Егорович</v>
      </c>
      <c r="O955" t="s">
        <v>43</v>
      </c>
      <c r="P955" t="s">
        <v>61</v>
      </c>
      <c r="Q955" t="s">
        <v>70</v>
      </c>
    </row>
    <row r="956" spans="10:17" x14ac:dyDescent="0.25">
      <c r="J956" t="str">
        <f>K956&amp;L956</f>
        <v>Кузнецов Дмитрий ЛьвовичФедоров Владимир Артемович</v>
      </c>
      <c r="K956" t="s">
        <v>11</v>
      </c>
      <c r="L956" t="s">
        <v>217</v>
      </c>
      <c r="M956" t="s">
        <v>440</v>
      </c>
      <c r="N956" t="str">
        <f t="shared" si="53"/>
        <v>Петров Владимир КирилловичКузнецов Александр Романович</v>
      </c>
      <c r="O956" t="s">
        <v>19</v>
      </c>
      <c r="P956" t="s">
        <v>78</v>
      </c>
      <c r="Q956" t="s">
        <v>70</v>
      </c>
    </row>
    <row r="957" spans="10:17" x14ac:dyDescent="0.25">
      <c r="J957" t="str">
        <f>K957&amp;L957</f>
        <v>Семенова Ирина ВалерьевнаСеменов Алексей Юрьевич</v>
      </c>
      <c r="K957" t="s">
        <v>16</v>
      </c>
      <c r="L957" t="s">
        <v>143</v>
      </c>
      <c r="M957" t="s">
        <v>441</v>
      </c>
      <c r="N957" t="str">
        <f t="shared" si="53"/>
        <v>Кузнецов Дмитрий ЛьвовичВасильев Владимир Алексеевич</v>
      </c>
      <c r="O957" t="s">
        <v>11</v>
      </c>
      <c r="P957" t="s">
        <v>68</v>
      </c>
      <c r="Q957" t="s">
        <v>69</v>
      </c>
    </row>
    <row r="958" spans="10:17" x14ac:dyDescent="0.25">
      <c r="J958" t="str">
        <f>K958&amp;L958</f>
        <v>Петров Владимир КирилловичВолкова Екатерина Егоровна</v>
      </c>
      <c r="K958" t="s">
        <v>19</v>
      </c>
      <c r="L958" t="s">
        <v>58</v>
      </c>
      <c r="M958" t="s">
        <v>441</v>
      </c>
      <c r="N958" t="str">
        <f t="shared" si="53"/>
        <v>Кузнецов Дмитрий ЛьвовичВасильев Егор Павлович</v>
      </c>
      <c r="O958" t="s">
        <v>11</v>
      </c>
      <c r="P958" t="s">
        <v>65</v>
      </c>
      <c r="Q958" t="s">
        <v>66</v>
      </c>
    </row>
    <row r="959" spans="10:17" x14ac:dyDescent="0.25">
      <c r="J959" t="str">
        <f>K959&amp;L959</f>
        <v>Петров Владимир КирилловичМорозов Константин Михайлович</v>
      </c>
      <c r="K959" t="s">
        <v>19</v>
      </c>
      <c r="L959" t="s">
        <v>442</v>
      </c>
      <c r="M959" t="s">
        <v>443</v>
      </c>
      <c r="N959" t="str">
        <f t="shared" si="53"/>
        <v>Ткаченко Андрей ОлеговичНиколаева Алиса Ильинична</v>
      </c>
      <c r="O959" t="s">
        <v>26</v>
      </c>
      <c r="P959" t="s">
        <v>67</v>
      </c>
      <c r="Q959" t="s">
        <v>66</v>
      </c>
    </row>
    <row r="960" spans="10:17" x14ac:dyDescent="0.25">
      <c r="J960" t="str">
        <f>K960&amp;L960</f>
        <v>Яковлев Артем ИгоревичНовикова София Ивановна</v>
      </c>
      <c r="K960" t="s">
        <v>21</v>
      </c>
      <c r="L960" t="s">
        <v>33</v>
      </c>
      <c r="M960" t="s">
        <v>443</v>
      </c>
      <c r="N960" t="str">
        <f t="shared" si="53"/>
        <v>Фролов Сергей ВикторовичПопов Георгий Егорович</v>
      </c>
      <c r="O960" t="s">
        <v>38</v>
      </c>
      <c r="P960" t="s">
        <v>61</v>
      </c>
      <c r="Q960" t="s">
        <v>62</v>
      </c>
    </row>
    <row r="961" spans="10:17" x14ac:dyDescent="0.25">
      <c r="J961" t="str">
        <f>K961&amp;L961</f>
        <v>Орлов Павел ДенисовичПопов Роман Владимирович</v>
      </c>
      <c r="K961" t="s">
        <v>13</v>
      </c>
      <c r="L961" t="s">
        <v>88</v>
      </c>
      <c r="M961" t="s">
        <v>443</v>
      </c>
      <c r="N961" t="str">
        <f t="shared" si="53"/>
        <v>Семенова Ирина ВалерьевнаНиколаев Андрей Ильич</v>
      </c>
      <c r="O961" t="s">
        <v>16</v>
      </c>
      <c r="P961" t="s">
        <v>63</v>
      </c>
      <c r="Q961" t="s">
        <v>62</v>
      </c>
    </row>
    <row r="962" spans="10:17" x14ac:dyDescent="0.25">
      <c r="J962" t="str">
        <f>K962&amp;L962</f>
        <v>Яковлев Артем ИгоревичПопов Роман Владимирович</v>
      </c>
      <c r="K962" t="s">
        <v>21</v>
      </c>
      <c r="L962" t="s">
        <v>88</v>
      </c>
      <c r="M962" t="s">
        <v>444</v>
      </c>
      <c r="N962" t="str">
        <f t="shared" si="53"/>
        <v>Ткаченко Андрей ОлеговичВолкова Светлана Ивановна</v>
      </c>
      <c r="O962" t="s">
        <v>26</v>
      </c>
      <c r="P962" t="s">
        <v>64</v>
      </c>
      <c r="Q962" t="s">
        <v>62</v>
      </c>
    </row>
    <row r="963" spans="10:17" x14ac:dyDescent="0.25">
      <c r="J963" t="str">
        <f>K963&amp;L963</f>
        <v>Кузнецов Дмитрий ЛьвовичПопова Полина Юрьевна</v>
      </c>
      <c r="K963" t="s">
        <v>11</v>
      </c>
      <c r="L963" t="s">
        <v>248</v>
      </c>
      <c r="M963" t="s">
        <v>444</v>
      </c>
      <c r="N963" t="str">
        <f t="shared" ref="N963:N1001" si="54">O963&amp;P963</f>
        <v>Иванова Анна СергеевнаКозлов Матвей Владимирович</v>
      </c>
      <c r="O963" t="s">
        <v>55</v>
      </c>
      <c r="P963" t="s">
        <v>52</v>
      </c>
      <c r="Q963" t="s">
        <v>56</v>
      </c>
    </row>
    <row r="964" spans="10:17" x14ac:dyDescent="0.25">
      <c r="J964" t="str">
        <f>K964&amp;L964</f>
        <v>Новикова Ольга ПетровнаЕгорова Мария Кирилловна</v>
      </c>
      <c r="K964" t="s">
        <v>29</v>
      </c>
      <c r="L964" t="s">
        <v>370</v>
      </c>
      <c r="M964" t="s">
        <v>444</v>
      </c>
      <c r="N964" t="str">
        <f t="shared" si="54"/>
        <v>Кузнецов Дмитрий ЛьвовичВасильева Дарья Андреевна</v>
      </c>
      <c r="O964" t="s">
        <v>11</v>
      </c>
      <c r="P964" t="s">
        <v>57</v>
      </c>
      <c r="Q964" t="s">
        <v>56</v>
      </c>
    </row>
    <row r="965" spans="10:17" x14ac:dyDescent="0.25">
      <c r="J965" t="str">
        <f>K965&amp;L965</f>
        <v>Новикова Ольга ПетровнаВолков Павел Иванович</v>
      </c>
      <c r="K965" t="s">
        <v>29</v>
      </c>
      <c r="L965" t="s">
        <v>74</v>
      </c>
      <c r="M965" t="s">
        <v>445</v>
      </c>
      <c r="N965" t="str">
        <f t="shared" si="54"/>
        <v>Сидорова Елена ВасильевнаВолкова Екатерина Егоровна</v>
      </c>
      <c r="O965" t="s">
        <v>8</v>
      </c>
      <c r="P965" t="s">
        <v>58</v>
      </c>
      <c r="Q965" t="s">
        <v>56</v>
      </c>
    </row>
    <row r="966" spans="10:17" x14ac:dyDescent="0.25">
      <c r="J966" t="str">
        <f>K966&amp;L966</f>
        <v>Кузнецов Дмитрий ЛьвовичМорозов Илья Станиславович</v>
      </c>
      <c r="K966" t="s">
        <v>11</v>
      </c>
      <c r="L966" t="s">
        <v>114</v>
      </c>
      <c r="M966" t="s">
        <v>445</v>
      </c>
      <c r="N966" t="str">
        <f t="shared" si="54"/>
        <v>Белов Алексей КонстантиновичСидоров Кирилл Михайлович</v>
      </c>
      <c r="O966" t="s">
        <v>5</v>
      </c>
      <c r="P966" t="s">
        <v>59</v>
      </c>
      <c r="Q966" t="s">
        <v>56</v>
      </c>
    </row>
    <row r="967" spans="10:17" x14ac:dyDescent="0.25">
      <c r="J967" t="str">
        <f>K967&amp;L967</f>
        <v>Семенова Ирина ВалерьевнаКозлова Алиса Геннадьевна</v>
      </c>
      <c r="K967" t="s">
        <v>16</v>
      </c>
      <c r="L967" t="s">
        <v>326</v>
      </c>
      <c r="M967" t="s">
        <v>445</v>
      </c>
      <c r="N967" t="str">
        <f t="shared" si="54"/>
        <v>Кузнецов Дмитрий ЛьвовичКозлов Александр Павлович</v>
      </c>
      <c r="O967" t="s">
        <v>11</v>
      </c>
      <c r="P967" t="s">
        <v>60</v>
      </c>
      <c r="Q967" t="s">
        <v>56</v>
      </c>
    </row>
    <row r="968" spans="10:17" x14ac:dyDescent="0.25">
      <c r="J968" t="str">
        <f>K968&amp;L968</f>
        <v>Новикова Ольга ПетровнаВасильева Ксения Егоровна</v>
      </c>
      <c r="K968" t="s">
        <v>29</v>
      </c>
      <c r="L968" t="s">
        <v>220</v>
      </c>
      <c r="M968" t="s">
        <v>445</v>
      </c>
      <c r="N968" t="str">
        <f t="shared" si="54"/>
        <v>Новикова Ольга ПетровнаНовикова Ольга Викторовна</v>
      </c>
      <c r="O968" t="s">
        <v>29</v>
      </c>
      <c r="P968" t="s">
        <v>47</v>
      </c>
      <c r="Q968" t="s">
        <v>48</v>
      </c>
    </row>
    <row r="969" spans="10:17" x14ac:dyDescent="0.25">
      <c r="J969" t="str">
        <f>K969&amp;L969</f>
        <v>Петров Владимир КирилловичПопов Матвей Иванович</v>
      </c>
      <c r="K969" t="s">
        <v>19</v>
      </c>
      <c r="L969" t="s">
        <v>138</v>
      </c>
      <c r="M969" t="s">
        <v>445</v>
      </c>
      <c r="N969" t="str">
        <f t="shared" si="54"/>
        <v>Сидорова Елена ВасильевнаЕгоров Сергей Андреевич</v>
      </c>
      <c r="O969" t="s">
        <v>8</v>
      </c>
      <c r="P969" t="s">
        <v>49</v>
      </c>
      <c r="Q969" t="s">
        <v>48</v>
      </c>
    </row>
    <row r="970" spans="10:17" x14ac:dyDescent="0.25">
      <c r="J970" t="str">
        <f>K970&amp;L970</f>
        <v>Семенова Ирина ВалерьевнаАлексеева Валерия Викторовна</v>
      </c>
      <c r="K970" t="s">
        <v>16</v>
      </c>
      <c r="L970" t="s">
        <v>96</v>
      </c>
      <c r="M970" t="s">
        <v>445</v>
      </c>
      <c r="N970" t="str">
        <f t="shared" si="54"/>
        <v>Петров Владимир КирилловичСидорова Ирина Кирилловна</v>
      </c>
      <c r="O970" t="s">
        <v>19</v>
      </c>
      <c r="P970" t="s">
        <v>50</v>
      </c>
      <c r="Q970" t="s">
        <v>48</v>
      </c>
    </row>
    <row r="971" spans="10:17" x14ac:dyDescent="0.25">
      <c r="J971" t="str">
        <f>K971&amp;L971</f>
        <v>Яковлев Артем ИгоревичФедорова Екатерина Владимировна</v>
      </c>
      <c r="K971" t="s">
        <v>21</v>
      </c>
      <c r="L971" t="s">
        <v>25</v>
      </c>
      <c r="M971" t="s">
        <v>445</v>
      </c>
      <c r="N971" t="str">
        <f t="shared" si="54"/>
        <v>Новикова Ольга ПетровнаВасильева Юлия Сергеевна</v>
      </c>
      <c r="O971" t="s">
        <v>29</v>
      </c>
      <c r="P971" t="s">
        <v>51</v>
      </c>
      <c r="Q971" t="s">
        <v>48</v>
      </c>
    </row>
    <row r="972" spans="10:17" x14ac:dyDescent="0.25">
      <c r="J972" t="str">
        <f>K972&amp;L972</f>
        <v>Белов Алексей КонстантиновичКузнецов Иван Ильич</v>
      </c>
      <c r="K972" t="s">
        <v>5</v>
      </c>
      <c r="L972" t="s">
        <v>410</v>
      </c>
      <c r="M972" t="s">
        <v>445</v>
      </c>
      <c r="N972" t="str">
        <f t="shared" si="54"/>
        <v>Яковлев Артем ИгоревичКозлов Матвей Владимирович</v>
      </c>
      <c r="O972" t="s">
        <v>21</v>
      </c>
      <c r="P972" t="s">
        <v>52</v>
      </c>
      <c r="Q972" t="s">
        <v>48</v>
      </c>
    </row>
    <row r="973" spans="10:17" x14ac:dyDescent="0.25">
      <c r="J973" t="str">
        <f>K973&amp;L973</f>
        <v>Белов Алексей КонстантиновичПопов Никита Андреевич</v>
      </c>
      <c r="K973" t="s">
        <v>5</v>
      </c>
      <c r="L973" t="s">
        <v>165</v>
      </c>
      <c r="M973" t="s">
        <v>445</v>
      </c>
      <c r="N973" t="str">
        <f t="shared" si="54"/>
        <v>Петров Владимир КирилловичЕгоров Илья Ильич</v>
      </c>
      <c r="O973" t="s">
        <v>19</v>
      </c>
      <c r="P973" t="s">
        <v>53</v>
      </c>
      <c r="Q973" t="s">
        <v>48</v>
      </c>
    </row>
    <row r="974" spans="10:17" x14ac:dyDescent="0.25">
      <c r="J974" t="str">
        <f>K974&amp;L974</f>
        <v>Сидорова Елена ВасильевнаЛебедева Юлия Алексеевна</v>
      </c>
      <c r="K974" t="s">
        <v>8</v>
      </c>
      <c r="L974" t="s">
        <v>411</v>
      </c>
      <c r="M974" t="s">
        <v>445</v>
      </c>
      <c r="N974" t="str">
        <f t="shared" si="54"/>
        <v>Яковлев Артем ИгоревичВолкова Анна Станиславовна</v>
      </c>
      <c r="O974" t="s">
        <v>21</v>
      </c>
      <c r="P974" t="s">
        <v>54</v>
      </c>
      <c r="Q974" t="s">
        <v>48</v>
      </c>
    </row>
    <row r="975" spans="10:17" x14ac:dyDescent="0.25">
      <c r="J975" t="str">
        <f>K975&amp;L975</f>
        <v>Орлов Павел ДенисовичЛебедева Анна Олеговна</v>
      </c>
      <c r="K975" t="s">
        <v>13</v>
      </c>
      <c r="L975" t="s">
        <v>362</v>
      </c>
      <c r="M975" t="s">
        <v>446</v>
      </c>
      <c r="N975" t="str">
        <f t="shared" si="54"/>
        <v>Новикова Ольга ПетровнаЛебедев Михаил Кириллович</v>
      </c>
      <c r="O975" t="s">
        <v>29</v>
      </c>
      <c r="P975" t="s">
        <v>40</v>
      </c>
      <c r="Q975" t="s">
        <v>41</v>
      </c>
    </row>
    <row r="976" spans="10:17" x14ac:dyDescent="0.25">
      <c r="J976" t="str">
        <f>K976&amp;L976</f>
        <v>Орлов Павел ДенисовичСтепанова Алиса Ильинична</v>
      </c>
      <c r="K976" t="s">
        <v>13</v>
      </c>
      <c r="L976" t="s">
        <v>135</v>
      </c>
      <c r="M976" t="s">
        <v>446</v>
      </c>
      <c r="N976" t="str">
        <f t="shared" si="54"/>
        <v>Семенова Ирина ВалерьевнаВолкова Анна Викторовна</v>
      </c>
      <c r="O976" t="s">
        <v>16</v>
      </c>
      <c r="P976" t="s">
        <v>42</v>
      </c>
      <c r="Q976" t="s">
        <v>41</v>
      </c>
    </row>
    <row r="977" spans="10:17" x14ac:dyDescent="0.25">
      <c r="J977" t="str">
        <f>K977&amp;L977</f>
        <v>Семенова Ирина ВалерьевнаНовикова Людмила Кирилловна</v>
      </c>
      <c r="K977" t="s">
        <v>16</v>
      </c>
      <c r="L977" t="s">
        <v>6</v>
      </c>
      <c r="M977" t="s">
        <v>447</v>
      </c>
      <c r="N977" t="str">
        <f t="shared" si="54"/>
        <v>Громова Мария ИльиничнаСмирнова Мария Артемовна</v>
      </c>
      <c r="O977" t="s">
        <v>43</v>
      </c>
      <c r="P977" t="s">
        <v>44</v>
      </c>
      <c r="Q977" t="s">
        <v>41</v>
      </c>
    </row>
    <row r="978" spans="10:17" x14ac:dyDescent="0.25">
      <c r="J978" t="str">
        <f>K978&amp;L978</f>
        <v>Громова Мария ИльиничнаЛебедева Анна Олеговна</v>
      </c>
      <c r="K978" t="s">
        <v>43</v>
      </c>
      <c r="L978" t="s">
        <v>362</v>
      </c>
      <c r="M978" t="s">
        <v>447</v>
      </c>
      <c r="N978" t="str">
        <f t="shared" si="54"/>
        <v>Сидорова Елена ВасильевнаСидорова София Артемовна</v>
      </c>
      <c r="O978" t="s">
        <v>8</v>
      </c>
      <c r="P978" t="s">
        <v>45</v>
      </c>
      <c r="Q978" t="s">
        <v>41</v>
      </c>
    </row>
    <row r="979" spans="10:17" x14ac:dyDescent="0.25">
      <c r="J979" t="str">
        <f>K979&amp;L979</f>
        <v>Сидорова Елена ВасильевнаАлексеева Полина Викторовна</v>
      </c>
      <c r="K979" t="s">
        <v>8</v>
      </c>
      <c r="L979" t="s">
        <v>14</v>
      </c>
      <c r="M979" t="s">
        <v>447</v>
      </c>
      <c r="N979" t="str">
        <f t="shared" si="54"/>
        <v>Сидорова Елена ВасильевнаСтепанова Александра Дмитриевна</v>
      </c>
      <c r="O979" t="s">
        <v>8</v>
      </c>
      <c r="P979" t="s">
        <v>46</v>
      </c>
      <c r="Q979" t="s">
        <v>41</v>
      </c>
    </row>
    <row r="980" spans="10:17" x14ac:dyDescent="0.25">
      <c r="J980" t="str">
        <f>K980&amp;L980</f>
        <v>Ткаченко Андрей ОлеговичПавлова Ксения Романовна</v>
      </c>
      <c r="K980" t="s">
        <v>26</v>
      </c>
      <c r="L980" t="s">
        <v>267</v>
      </c>
      <c r="M980" t="s">
        <v>448</v>
      </c>
      <c r="N980" t="str">
        <f t="shared" si="54"/>
        <v>Новикова Ольга ПетровнаКозлова Александра Андреевна</v>
      </c>
      <c r="O980" t="s">
        <v>29</v>
      </c>
      <c r="P980" t="s">
        <v>34</v>
      </c>
      <c r="Q980" t="s">
        <v>35</v>
      </c>
    </row>
    <row r="981" spans="10:17" x14ac:dyDescent="0.25">
      <c r="J981" t="str">
        <f>K981&amp;L981</f>
        <v>Кузнецов Дмитрий ЛьвовичЛебедев Дмитрий Дмитриевич</v>
      </c>
      <c r="K981" t="s">
        <v>11</v>
      </c>
      <c r="L981" t="s">
        <v>392</v>
      </c>
      <c r="M981" t="s">
        <v>449</v>
      </c>
      <c r="N981" t="str">
        <f t="shared" si="54"/>
        <v>Кузнецов Дмитрий ЛьвовичНовиков Иван Павлович</v>
      </c>
      <c r="O981" t="s">
        <v>11</v>
      </c>
      <c r="P981" t="s">
        <v>36</v>
      </c>
      <c r="Q981" t="s">
        <v>35</v>
      </c>
    </row>
    <row r="982" spans="10:17" x14ac:dyDescent="0.25">
      <c r="J982" t="str">
        <f>K982&amp;L982</f>
        <v>Фролов Сергей ВикторовичПопов Роман Владимирович</v>
      </c>
      <c r="K982" t="s">
        <v>38</v>
      </c>
      <c r="L982" t="s">
        <v>88</v>
      </c>
      <c r="M982" t="s">
        <v>449</v>
      </c>
      <c r="N982" t="str">
        <f t="shared" si="54"/>
        <v>Орлов Павел ДенисовичОрлов Иван Викторович</v>
      </c>
      <c r="O982" t="s">
        <v>13</v>
      </c>
      <c r="P982" t="s">
        <v>37</v>
      </c>
      <c r="Q982" t="s">
        <v>35</v>
      </c>
    </row>
    <row r="983" spans="10:17" x14ac:dyDescent="0.25">
      <c r="J983" t="str">
        <f>K983&amp;L983</f>
        <v>Иванова Анна СергеевнаСмирнова Екатерина Геннадьевна</v>
      </c>
      <c r="K983" t="s">
        <v>55</v>
      </c>
      <c r="L983" t="s">
        <v>169</v>
      </c>
      <c r="M983" t="s">
        <v>449</v>
      </c>
      <c r="N983" t="str">
        <f t="shared" si="54"/>
        <v>Фролов Сергей ВикторовичПавлов Михаил Андреевич</v>
      </c>
      <c r="O983" t="s">
        <v>38</v>
      </c>
      <c r="P983" t="s">
        <v>39</v>
      </c>
      <c r="Q983" t="s">
        <v>35</v>
      </c>
    </row>
    <row r="984" spans="10:17" x14ac:dyDescent="0.25">
      <c r="J984" t="str">
        <f>K984&amp;L984</f>
        <v>Новикова Ольга ПетровнаИванов Никита Романович</v>
      </c>
      <c r="K984" t="s">
        <v>29</v>
      </c>
      <c r="L984" t="s">
        <v>154</v>
      </c>
      <c r="M984" t="s">
        <v>449</v>
      </c>
      <c r="N984" t="str">
        <f t="shared" si="54"/>
        <v>Новикова Ольга ПетровнаКузнецов Егор Андреевич</v>
      </c>
      <c r="O984" t="s">
        <v>29</v>
      </c>
      <c r="P984" t="s">
        <v>30</v>
      </c>
      <c r="Q984" t="s">
        <v>31</v>
      </c>
    </row>
    <row r="985" spans="10:17" x14ac:dyDescent="0.25">
      <c r="J985" t="str">
        <f>K985&amp;L985</f>
        <v>Новикова Ольга ПетровнаСеменов Матвей Михайлович</v>
      </c>
      <c r="K985" t="s">
        <v>29</v>
      </c>
      <c r="L985" t="s">
        <v>311</v>
      </c>
      <c r="M985" t="s">
        <v>449</v>
      </c>
      <c r="N985" t="str">
        <f t="shared" si="54"/>
        <v>Яковлев Артем ИгоревичОрлов Владимир Никитич</v>
      </c>
      <c r="O985" t="s">
        <v>21</v>
      </c>
      <c r="P985" t="s">
        <v>32</v>
      </c>
      <c r="Q985" t="s">
        <v>31</v>
      </c>
    </row>
    <row r="986" spans="10:17" x14ac:dyDescent="0.25">
      <c r="J986" t="str">
        <f>K986&amp;L986</f>
        <v>Орлов Павел ДенисовичВасильев Егор Павлович</v>
      </c>
      <c r="K986" t="s">
        <v>13</v>
      </c>
      <c r="L986" t="s">
        <v>65</v>
      </c>
      <c r="M986" t="s">
        <v>450</v>
      </c>
      <c r="N986" t="str">
        <f t="shared" si="54"/>
        <v>Петров Владимир КирилловичНовикова София Ивановна</v>
      </c>
      <c r="O986" t="s">
        <v>19</v>
      </c>
      <c r="P986" t="s">
        <v>33</v>
      </c>
      <c r="Q986" t="s">
        <v>31</v>
      </c>
    </row>
    <row r="987" spans="10:17" x14ac:dyDescent="0.25">
      <c r="J987" t="str">
        <f>K987&amp;L987</f>
        <v>Новикова Ольга ПетровнаФедорова Людмила Сергеевна</v>
      </c>
      <c r="K987" t="s">
        <v>29</v>
      </c>
      <c r="L987" t="s">
        <v>305</v>
      </c>
      <c r="M987" t="s">
        <v>451</v>
      </c>
      <c r="N987" t="str">
        <f t="shared" si="54"/>
        <v>Новикова Ольга ПетровнаСмирнова Екатерина Ивановна</v>
      </c>
      <c r="O987" t="s">
        <v>29</v>
      </c>
      <c r="P987" t="s">
        <v>28</v>
      </c>
      <c r="Q987" t="s">
        <v>31</v>
      </c>
    </row>
    <row r="988" spans="10:17" x14ac:dyDescent="0.25">
      <c r="J988" t="str">
        <f>K988&amp;L988</f>
        <v>Семенова Ирина ВалерьевнаАлексеева Светлана Артемовна</v>
      </c>
      <c r="K988" t="s">
        <v>16</v>
      </c>
      <c r="L988" t="s">
        <v>98</v>
      </c>
      <c r="M988" t="s">
        <v>451</v>
      </c>
      <c r="N988" t="str">
        <f t="shared" si="54"/>
        <v>Яковлев Артем ИгоревичСмирнова Елена Олеговна</v>
      </c>
      <c r="O988" t="s">
        <v>21</v>
      </c>
      <c r="P988" t="s">
        <v>22</v>
      </c>
      <c r="Q988" t="s">
        <v>23</v>
      </c>
    </row>
    <row r="989" spans="10:17" x14ac:dyDescent="0.25">
      <c r="J989" t="str">
        <f>K989&amp;L989</f>
        <v>Яковлев Артем ИгоревичАлексеева Мария Олеговна</v>
      </c>
      <c r="K989" t="s">
        <v>21</v>
      </c>
      <c r="L989" t="s">
        <v>72</v>
      </c>
      <c r="M989" t="s">
        <v>451</v>
      </c>
      <c r="N989" t="str">
        <f t="shared" si="54"/>
        <v>Орлов Павел ДенисовичСтепанова Людмила Ивановна</v>
      </c>
      <c r="O989" t="s">
        <v>13</v>
      </c>
      <c r="P989" t="s">
        <v>24</v>
      </c>
      <c r="Q989" t="s">
        <v>23</v>
      </c>
    </row>
    <row r="990" spans="10:17" x14ac:dyDescent="0.25">
      <c r="J990" t="str">
        <f>K990&amp;L990</f>
        <v>Иванова Анна СергеевнаПопова Наталья Станиславовна</v>
      </c>
      <c r="K990" t="s">
        <v>55</v>
      </c>
      <c r="L990" t="s">
        <v>178</v>
      </c>
      <c r="M990" t="s">
        <v>452</v>
      </c>
      <c r="N990" t="str">
        <f t="shared" si="54"/>
        <v>Сидорова Елена ВасильевнаФедорова Екатерина Владимировна</v>
      </c>
      <c r="O990" t="s">
        <v>8</v>
      </c>
      <c r="P990" t="s">
        <v>25</v>
      </c>
      <c r="Q990" t="s">
        <v>23</v>
      </c>
    </row>
    <row r="991" spans="10:17" x14ac:dyDescent="0.25">
      <c r="J991" t="str">
        <f>K991&amp;L991</f>
        <v>Петров Владимир КирилловичНиколаева Анна Михайловна</v>
      </c>
      <c r="K991" t="s">
        <v>19</v>
      </c>
      <c r="L991" t="s">
        <v>129</v>
      </c>
      <c r="M991" t="s">
        <v>452</v>
      </c>
      <c r="N991" t="str">
        <f t="shared" si="54"/>
        <v>Ткаченко Андрей ОлеговичСеменов Михаил Сергеевич</v>
      </c>
      <c r="O991" t="s">
        <v>26</v>
      </c>
      <c r="P991" t="s">
        <v>20</v>
      </c>
      <c r="Q991" t="s">
        <v>23</v>
      </c>
    </row>
    <row r="992" spans="10:17" x14ac:dyDescent="0.25">
      <c r="J992" t="str">
        <f>K992&amp;L992</f>
        <v>Яковлев Артем ИгоревичЕгорова Мария Кирилловна</v>
      </c>
      <c r="K992" t="s">
        <v>21</v>
      </c>
      <c r="L992" t="s">
        <v>370</v>
      </c>
      <c r="M992" t="s">
        <v>452</v>
      </c>
      <c r="N992" t="str">
        <f t="shared" si="54"/>
        <v>Семенова Ирина ВалерьевнаВасильева Елена Андреевна</v>
      </c>
      <c r="O992" t="s">
        <v>16</v>
      </c>
      <c r="P992" t="s">
        <v>27</v>
      </c>
      <c r="Q992" t="s">
        <v>23</v>
      </c>
    </row>
    <row r="993" spans="10:17" x14ac:dyDescent="0.25">
      <c r="J993" t="str">
        <f>K993&amp;L993</f>
        <v>Сидорова Елена ВасильевнаСтепанова Анна Романовна</v>
      </c>
      <c r="K993" t="s">
        <v>8</v>
      </c>
      <c r="L993" t="s">
        <v>234</v>
      </c>
      <c r="M993" t="s">
        <v>452</v>
      </c>
      <c r="N993" t="str">
        <f t="shared" si="54"/>
        <v>Ткаченко Андрей ОлеговичСмирнова Екатерина Ивановна</v>
      </c>
      <c r="O993" t="s">
        <v>26</v>
      </c>
      <c r="P993" t="s">
        <v>28</v>
      </c>
      <c r="Q993" t="s">
        <v>23</v>
      </c>
    </row>
    <row r="994" spans="10:17" x14ac:dyDescent="0.25">
      <c r="J994" t="str">
        <f>K994&amp;L994</f>
        <v>Орлов Павел ДенисовичВасильев Егор Павлович</v>
      </c>
      <c r="K994" t="s">
        <v>13</v>
      </c>
      <c r="L994" t="s">
        <v>65</v>
      </c>
      <c r="M994" t="s">
        <v>452</v>
      </c>
      <c r="N994" t="str">
        <f t="shared" si="54"/>
        <v>Сидорова Елена ВасильевнаВолков Владимир Артемович</v>
      </c>
      <c r="O994" t="s">
        <v>8</v>
      </c>
      <c r="P994" t="s">
        <v>9</v>
      </c>
      <c r="Q994" t="s">
        <v>10</v>
      </c>
    </row>
    <row r="995" spans="10:17" x14ac:dyDescent="0.25">
      <c r="J995" t="str">
        <f>K995&amp;L995</f>
        <v>Яковлев Артем ИгоревичЕгорова Татьяна Ильинична</v>
      </c>
      <c r="K995" t="s">
        <v>21</v>
      </c>
      <c r="L995" t="s">
        <v>188</v>
      </c>
      <c r="M995" t="s">
        <v>453</v>
      </c>
      <c r="N995" t="str">
        <f t="shared" si="54"/>
        <v>Кузнецов Дмитрий ЛьвовичСмирнова Валерия Станиславовна</v>
      </c>
      <c r="O995" t="s">
        <v>11</v>
      </c>
      <c r="P995" t="s">
        <v>12</v>
      </c>
      <c r="Q995" t="s">
        <v>10</v>
      </c>
    </row>
    <row r="996" spans="10:17" x14ac:dyDescent="0.25">
      <c r="J996" t="str">
        <f>K996&amp;L996</f>
        <v>Семенова Ирина ВалерьевнаСидорова Ирина Кирилловна</v>
      </c>
      <c r="K996" t="s">
        <v>16</v>
      </c>
      <c r="L996" t="s">
        <v>50</v>
      </c>
      <c r="M996" t="s">
        <v>453</v>
      </c>
      <c r="N996" t="str">
        <f t="shared" si="54"/>
        <v>Орлов Павел ДенисовичАлексеева Полина Викторовна</v>
      </c>
      <c r="O996" t="s">
        <v>13</v>
      </c>
      <c r="P996" t="s">
        <v>14</v>
      </c>
      <c r="Q996" t="s">
        <v>10</v>
      </c>
    </row>
    <row r="997" spans="10:17" x14ac:dyDescent="0.25">
      <c r="J997" t="str">
        <f>K997&amp;L997</f>
        <v>Фролов Сергей ВикторовичПопов Иван Егорович</v>
      </c>
      <c r="K997" t="s">
        <v>38</v>
      </c>
      <c r="L997" t="s">
        <v>82</v>
      </c>
      <c r="M997" t="s">
        <v>454</v>
      </c>
      <c r="N997" t="str">
        <f t="shared" si="54"/>
        <v>Кузнецов Дмитрий ЛьвовичПетров Михаил Павлович</v>
      </c>
      <c r="O997" t="s">
        <v>11</v>
      </c>
      <c r="P997" t="s">
        <v>15</v>
      </c>
      <c r="Q997" t="s">
        <v>10</v>
      </c>
    </row>
    <row r="998" spans="10:17" x14ac:dyDescent="0.25">
      <c r="J998" t="str">
        <f>K998&amp;L998</f>
        <v>Новикова Ольга ПетровнаЕгорова Юлия Никитична</v>
      </c>
      <c r="K998" t="s">
        <v>29</v>
      </c>
      <c r="L998" t="s">
        <v>264</v>
      </c>
      <c r="M998" t="s">
        <v>454</v>
      </c>
      <c r="N998" t="str">
        <f t="shared" si="54"/>
        <v>Семенова Ирина ВалерьевнаИванова Виктория Артемовна</v>
      </c>
      <c r="O998" t="s">
        <v>16</v>
      </c>
      <c r="P998" t="s">
        <v>17</v>
      </c>
      <c r="Q998" t="s">
        <v>10</v>
      </c>
    </row>
    <row r="999" spans="10:17" x14ac:dyDescent="0.25">
      <c r="J999" t="str">
        <f>K999&amp;L999</f>
        <v>Фролов Сергей ВикторовичПетров Никита Павлович</v>
      </c>
      <c r="K999" t="s">
        <v>38</v>
      </c>
      <c r="L999" t="s">
        <v>75</v>
      </c>
      <c r="M999" t="s">
        <v>454</v>
      </c>
      <c r="N999" t="str">
        <f t="shared" si="54"/>
        <v>Белов Алексей КонстантиновичПопова Светлана Геннадьевна</v>
      </c>
      <c r="O999" t="s">
        <v>5</v>
      </c>
      <c r="P999" t="s">
        <v>18</v>
      </c>
      <c r="Q999" t="s">
        <v>10</v>
      </c>
    </row>
    <row r="1000" spans="10:17" x14ac:dyDescent="0.25">
      <c r="J1000" t="str">
        <f>K1000&amp;L1000</f>
        <v>Петров Владимир КирилловичСидоров Егор Павлович</v>
      </c>
      <c r="K1000" t="s">
        <v>19</v>
      </c>
      <c r="L1000" t="s">
        <v>173</v>
      </c>
      <c r="M1000" t="s">
        <v>454</v>
      </c>
      <c r="N1000" t="str">
        <f t="shared" si="54"/>
        <v>Петров Владимир КирилловичСеменов Михаил Сергеевич</v>
      </c>
      <c r="O1000" t="s">
        <v>19</v>
      </c>
      <c r="P1000" t="s">
        <v>20</v>
      </c>
      <c r="Q1000" t="s">
        <v>10</v>
      </c>
    </row>
    <row r="1001" spans="10:17" x14ac:dyDescent="0.25">
      <c r="J1001" t="str">
        <f>K1001&amp;L1001</f>
        <v>Фролов Сергей ВикторовичИванов Артем Павлович</v>
      </c>
      <c r="K1001" t="s">
        <v>38</v>
      </c>
      <c r="L1001" t="s">
        <v>146</v>
      </c>
      <c r="M1001" t="s">
        <v>454</v>
      </c>
      <c r="N1001" t="str">
        <f t="shared" si="54"/>
        <v>Белов Алексей КонстантиновичНовикова Людмила Кирилловна</v>
      </c>
      <c r="O1001" t="s">
        <v>5</v>
      </c>
      <c r="P1001" t="s">
        <v>6</v>
      </c>
      <c r="Q1001" t="s">
        <v>7</v>
      </c>
    </row>
  </sheetData>
  <autoFilter ref="K1:M1001" xr:uid="{CBA66F99-57D6-4336-A5AD-5003ECD908C4}"/>
  <sortState xmlns:xlrd2="http://schemas.microsoft.com/office/spreadsheetml/2017/richdata2" ref="O2:Q1004">
    <sortCondition descending="1" ref="Q1:Q100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D412B-BA42-4067-B58D-37FF328AFBA5}">
  <dimension ref="A1:E790"/>
  <sheetViews>
    <sheetView workbookViewId="0">
      <selection activeCell="I27" sqref="I27"/>
    </sheetView>
  </sheetViews>
  <sheetFormatPr defaultRowHeight="15" x14ac:dyDescent="0.25"/>
  <cols>
    <col min="1" max="1" width="30.5703125" bestFit="1" customWidth="1"/>
    <col min="2" max="2" width="34.85546875" bestFit="1" customWidth="1"/>
    <col min="3" max="3" width="15.140625" hidden="1" customWidth="1"/>
    <col min="4" max="4" width="18.28515625" hidden="1" customWidth="1"/>
    <col min="5" max="5" width="4.7109375" bestFit="1" customWidth="1"/>
  </cols>
  <sheetData>
    <row r="1" spans="1:5" x14ac:dyDescent="0.25">
      <c r="A1" t="s">
        <v>0</v>
      </c>
      <c r="B1" t="s">
        <v>1</v>
      </c>
      <c r="C1" t="s">
        <v>507</v>
      </c>
      <c r="D1" t="s">
        <v>508</v>
      </c>
      <c r="E1" t="s">
        <v>511</v>
      </c>
    </row>
    <row r="2" spans="1:5" x14ac:dyDescent="0.25">
      <c r="A2" t="s">
        <v>21</v>
      </c>
      <c r="B2" t="s">
        <v>33</v>
      </c>
      <c r="C2" t="s">
        <v>80</v>
      </c>
      <c r="D2" t="s">
        <v>443</v>
      </c>
      <c r="E2">
        <v>331</v>
      </c>
    </row>
    <row r="3" spans="1:5" x14ac:dyDescent="0.25">
      <c r="A3" t="s">
        <v>21</v>
      </c>
      <c r="B3" t="s">
        <v>88</v>
      </c>
      <c r="C3" t="s">
        <v>86</v>
      </c>
      <c r="D3" t="s">
        <v>444</v>
      </c>
      <c r="E3">
        <v>330</v>
      </c>
    </row>
    <row r="4" spans="1:5" x14ac:dyDescent="0.25">
      <c r="A4" t="s">
        <v>8</v>
      </c>
      <c r="B4" t="s">
        <v>94</v>
      </c>
      <c r="C4" t="s">
        <v>95</v>
      </c>
      <c r="D4" t="s">
        <v>439</v>
      </c>
      <c r="E4">
        <v>322</v>
      </c>
    </row>
    <row r="5" spans="1:5" x14ac:dyDescent="0.25">
      <c r="A5" t="s">
        <v>38</v>
      </c>
      <c r="B5" t="s">
        <v>39</v>
      </c>
      <c r="C5" t="s">
        <v>35</v>
      </c>
      <c r="D5" t="s">
        <v>422</v>
      </c>
      <c r="E5">
        <v>319</v>
      </c>
    </row>
    <row r="6" spans="1:5" x14ac:dyDescent="0.25">
      <c r="A6" t="s">
        <v>29</v>
      </c>
      <c r="B6" t="s">
        <v>51</v>
      </c>
      <c r="C6" t="s">
        <v>48</v>
      </c>
      <c r="D6" t="s">
        <v>426</v>
      </c>
      <c r="E6">
        <v>318</v>
      </c>
    </row>
    <row r="7" spans="1:5" x14ac:dyDescent="0.25">
      <c r="A7" t="s">
        <v>16</v>
      </c>
      <c r="B7" t="s">
        <v>42</v>
      </c>
      <c r="C7" t="s">
        <v>41</v>
      </c>
      <c r="D7" t="s">
        <v>417</v>
      </c>
      <c r="E7">
        <v>312</v>
      </c>
    </row>
    <row r="8" spans="1:5" x14ac:dyDescent="0.25">
      <c r="A8" t="s">
        <v>19</v>
      </c>
      <c r="B8" t="s">
        <v>53</v>
      </c>
      <c r="C8" t="s">
        <v>48</v>
      </c>
      <c r="D8" t="s">
        <v>416</v>
      </c>
      <c r="E8">
        <v>308</v>
      </c>
    </row>
    <row r="9" spans="1:5" x14ac:dyDescent="0.25">
      <c r="A9" t="s">
        <v>13</v>
      </c>
      <c r="B9" t="s">
        <v>105</v>
      </c>
      <c r="C9" t="s">
        <v>103</v>
      </c>
      <c r="D9" t="s">
        <v>430</v>
      </c>
      <c r="E9">
        <v>307</v>
      </c>
    </row>
    <row r="10" spans="1:5" x14ac:dyDescent="0.25">
      <c r="A10" t="s">
        <v>55</v>
      </c>
      <c r="B10" t="s">
        <v>59</v>
      </c>
      <c r="C10" t="s">
        <v>140</v>
      </c>
      <c r="D10" t="s">
        <v>434</v>
      </c>
      <c r="E10">
        <v>293</v>
      </c>
    </row>
    <row r="11" spans="1:5" x14ac:dyDescent="0.25">
      <c r="A11" t="s">
        <v>19</v>
      </c>
      <c r="B11" t="s">
        <v>58</v>
      </c>
      <c r="C11" t="s">
        <v>185</v>
      </c>
      <c r="D11" t="s">
        <v>441</v>
      </c>
      <c r="E11">
        <v>282</v>
      </c>
    </row>
    <row r="12" spans="1:5" x14ac:dyDescent="0.25">
      <c r="A12" t="s">
        <v>29</v>
      </c>
      <c r="B12" t="s">
        <v>30</v>
      </c>
      <c r="C12" t="s">
        <v>31</v>
      </c>
      <c r="D12" t="s">
        <v>391</v>
      </c>
      <c r="E12">
        <v>281</v>
      </c>
    </row>
    <row r="13" spans="1:5" x14ac:dyDescent="0.25">
      <c r="A13" t="s">
        <v>43</v>
      </c>
      <c r="B13" t="s">
        <v>160</v>
      </c>
      <c r="C13" t="s">
        <v>157</v>
      </c>
      <c r="D13" t="s">
        <v>427</v>
      </c>
      <c r="E13">
        <v>276</v>
      </c>
    </row>
    <row r="14" spans="1:5" x14ac:dyDescent="0.25">
      <c r="A14" t="s">
        <v>16</v>
      </c>
      <c r="B14" t="s">
        <v>118</v>
      </c>
      <c r="C14" t="s">
        <v>122</v>
      </c>
      <c r="D14" t="s">
        <v>412</v>
      </c>
      <c r="E14">
        <v>276</v>
      </c>
    </row>
    <row r="15" spans="1:5" x14ac:dyDescent="0.25">
      <c r="A15" t="s">
        <v>5</v>
      </c>
      <c r="B15" t="s">
        <v>102</v>
      </c>
      <c r="C15" t="s">
        <v>103</v>
      </c>
      <c r="D15" t="s">
        <v>403</v>
      </c>
      <c r="E15">
        <v>274</v>
      </c>
    </row>
    <row r="16" spans="1:5" x14ac:dyDescent="0.25">
      <c r="A16" t="s">
        <v>43</v>
      </c>
      <c r="B16" t="s">
        <v>118</v>
      </c>
      <c r="C16" t="s">
        <v>117</v>
      </c>
      <c r="D16" t="s">
        <v>407</v>
      </c>
      <c r="E16">
        <v>274</v>
      </c>
    </row>
    <row r="17" spans="1:5" x14ac:dyDescent="0.25">
      <c r="A17" t="s">
        <v>11</v>
      </c>
      <c r="B17" t="s">
        <v>57</v>
      </c>
      <c r="C17" t="s">
        <v>56</v>
      </c>
      <c r="D17" t="s">
        <v>379</v>
      </c>
      <c r="E17">
        <v>258</v>
      </c>
    </row>
    <row r="18" spans="1:5" x14ac:dyDescent="0.25">
      <c r="A18" t="s">
        <v>8</v>
      </c>
      <c r="B18" t="s">
        <v>234</v>
      </c>
      <c r="C18" t="s">
        <v>235</v>
      </c>
      <c r="D18" t="s">
        <v>452</v>
      </c>
      <c r="E18">
        <v>258</v>
      </c>
    </row>
    <row r="19" spans="1:5" x14ac:dyDescent="0.25">
      <c r="A19" t="s">
        <v>21</v>
      </c>
      <c r="B19" t="s">
        <v>138</v>
      </c>
      <c r="C19" t="s">
        <v>137</v>
      </c>
      <c r="D19" t="s">
        <v>403</v>
      </c>
      <c r="E19">
        <v>256</v>
      </c>
    </row>
    <row r="20" spans="1:5" x14ac:dyDescent="0.25">
      <c r="A20" t="s">
        <v>8</v>
      </c>
      <c r="B20" t="s">
        <v>33</v>
      </c>
      <c r="C20" t="s">
        <v>124</v>
      </c>
      <c r="D20" t="s">
        <v>395</v>
      </c>
      <c r="E20">
        <v>253</v>
      </c>
    </row>
    <row r="21" spans="1:5" x14ac:dyDescent="0.25">
      <c r="A21" t="s">
        <v>5</v>
      </c>
      <c r="B21" t="s">
        <v>6</v>
      </c>
      <c r="C21" t="s">
        <v>7</v>
      </c>
      <c r="D21" t="s">
        <v>366</v>
      </c>
      <c r="E21">
        <v>250</v>
      </c>
    </row>
    <row r="22" spans="1:5" x14ac:dyDescent="0.25">
      <c r="A22" t="s">
        <v>38</v>
      </c>
      <c r="B22" t="s">
        <v>104</v>
      </c>
      <c r="C22" t="s">
        <v>103</v>
      </c>
      <c r="D22" t="s">
        <v>383</v>
      </c>
      <c r="E22">
        <v>246</v>
      </c>
    </row>
    <row r="23" spans="1:5" x14ac:dyDescent="0.25">
      <c r="A23" t="s">
        <v>13</v>
      </c>
      <c r="B23" t="s">
        <v>58</v>
      </c>
      <c r="C23" t="s">
        <v>152</v>
      </c>
      <c r="D23" t="s">
        <v>397</v>
      </c>
      <c r="E23">
        <v>242</v>
      </c>
    </row>
    <row r="24" spans="1:5" x14ac:dyDescent="0.25">
      <c r="A24" t="s">
        <v>43</v>
      </c>
      <c r="B24" t="s">
        <v>139</v>
      </c>
      <c r="C24" t="s">
        <v>137</v>
      </c>
      <c r="D24" t="s">
        <v>388</v>
      </c>
      <c r="E24">
        <v>238</v>
      </c>
    </row>
    <row r="25" spans="1:5" x14ac:dyDescent="0.25">
      <c r="A25" t="s">
        <v>11</v>
      </c>
      <c r="B25" t="s">
        <v>76</v>
      </c>
      <c r="C25" t="s">
        <v>150</v>
      </c>
      <c r="D25" t="s">
        <v>393</v>
      </c>
      <c r="E25">
        <v>238</v>
      </c>
    </row>
    <row r="26" spans="1:5" x14ac:dyDescent="0.25">
      <c r="A26" t="s">
        <v>43</v>
      </c>
      <c r="B26" t="s">
        <v>119</v>
      </c>
      <c r="C26" t="s">
        <v>236</v>
      </c>
      <c r="D26" t="s">
        <v>430</v>
      </c>
      <c r="E26">
        <v>226</v>
      </c>
    </row>
    <row r="27" spans="1:5" x14ac:dyDescent="0.25">
      <c r="A27" t="s">
        <v>43</v>
      </c>
      <c r="B27" t="s">
        <v>33</v>
      </c>
      <c r="C27" t="s">
        <v>83</v>
      </c>
      <c r="D27" t="s">
        <v>361</v>
      </c>
      <c r="E27">
        <v>225</v>
      </c>
    </row>
    <row r="28" spans="1:5" x14ac:dyDescent="0.25">
      <c r="A28" t="s">
        <v>5</v>
      </c>
      <c r="B28" t="s">
        <v>221</v>
      </c>
      <c r="C28" t="s">
        <v>219</v>
      </c>
      <c r="D28" t="s">
        <v>412</v>
      </c>
      <c r="E28">
        <v>221</v>
      </c>
    </row>
    <row r="29" spans="1:5" x14ac:dyDescent="0.25">
      <c r="A29" t="s">
        <v>13</v>
      </c>
      <c r="B29" t="s">
        <v>28</v>
      </c>
      <c r="C29" t="s">
        <v>241</v>
      </c>
      <c r="D29" t="s">
        <v>429</v>
      </c>
      <c r="E29">
        <v>221</v>
      </c>
    </row>
    <row r="30" spans="1:5" x14ac:dyDescent="0.25">
      <c r="A30" t="s">
        <v>19</v>
      </c>
      <c r="B30" t="s">
        <v>50</v>
      </c>
      <c r="C30" t="s">
        <v>48</v>
      </c>
      <c r="D30" t="s">
        <v>346</v>
      </c>
      <c r="E30">
        <v>217</v>
      </c>
    </row>
    <row r="31" spans="1:5" x14ac:dyDescent="0.25">
      <c r="A31" t="s">
        <v>38</v>
      </c>
      <c r="B31" t="s">
        <v>14</v>
      </c>
      <c r="C31" t="s">
        <v>152</v>
      </c>
      <c r="D31" t="s">
        <v>379</v>
      </c>
      <c r="E31">
        <v>217</v>
      </c>
    </row>
    <row r="32" spans="1:5" x14ac:dyDescent="0.25">
      <c r="A32" t="s">
        <v>26</v>
      </c>
      <c r="B32" t="s">
        <v>111</v>
      </c>
      <c r="C32" t="s">
        <v>132</v>
      </c>
      <c r="D32" t="s">
        <v>367</v>
      </c>
      <c r="E32">
        <v>212</v>
      </c>
    </row>
    <row r="33" spans="1:5" x14ac:dyDescent="0.25">
      <c r="A33" t="s">
        <v>5</v>
      </c>
      <c r="B33" t="s">
        <v>84</v>
      </c>
      <c r="C33" t="s">
        <v>83</v>
      </c>
      <c r="D33" t="s">
        <v>345</v>
      </c>
      <c r="E33">
        <v>205</v>
      </c>
    </row>
    <row r="34" spans="1:5" x14ac:dyDescent="0.25">
      <c r="A34" t="s">
        <v>19</v>
      </c>
      <c r="B34" t="s">
        <v>33</v>
      </c>
      <c r="C34" t="s">
        <v>31</v>
      </c>
      <c r="D34" t="s">
        <v>330</v>
      </c>
      <c r="E34">
        <v>204</v>
      </c>
    </row>
    <row r="35" spans="1:5" x14ac:dyDescent="0.25">
      <c r="A35" t="s">
        <v>16</v>
      </c>
      <c r="B35" t="s">
        <v>96</v>
      </c>
      <c r="C35" t="s">
        <v>287</v>
      </c>
      <c r="D35" t="s">
        <v>445</v>
      </c>
      <c r="E35">
        <v>196</v>
      </c>
    </row>
    <row r="36" spans="1:5" x14ac:dyDescent="0.25">
      <c r="A36" t="s">
        <v>13</v>
      </c>
      <c r="B36" t="s">
        <v>82</v>
      </c>
      <c r="C36" t="s">
        <v>83</v>
      </c>
      <c r="D36" t="s">
        <v>332</v>
      </c>
      <c r="E36">
        <v>194</v>
      </c>
    </row>
    <row r="37" spans="1:5" x14ac:dyDescent="0.25">
      <c r="A37" t="s">
        <v>38</v>
      </c>
      <c r="B37" t="s">
        <v>172</v>
      </c>
      <c r="C37" t="s">
        <v>284</v>
      </c>
      <c r="D37" t="s">
        <v>434</v>
      </c>
      <c r="E37">
        <v>188</v>
      </c>
    </row>
    <row r="38" spans="1:5" x14ac:dyDescent="0.25">
      <c r="A38" t="s">
        <v>21</v>
      </c>
      <c r="B38" t="s">
        <v>32</v>
      </c>
      <c r="C38" t="s">
        <v>31</v>
      </c>
      <c r="D38" t="s">
        <v>316</v>
      </c>
      <c r="E38">
        <v>187</v>
      </c>
    </row>
    <row r="39" spans="1:5" x14ac:dyDescent="0.25">
      <c r="A39" t="s">
        <v>11</v>
      </c>
      <c r="B39" t="s">
        <v>44</v>
      </c>
      <c r="C39" t="s">
        <v>95</v>
      </c>
      <c r="D39" t="s">
        <v>331</v>
      </c>
      <c r="E39">
        <v>186</v>
      </c>
    </row>
    <row r="40" spans="1:5" x14ac:dyDescent="0.25">
      <c r="A40" t="s">
        <v>29</v>
      </c>
      <c r="B40" t="s">
        <v>151</v>
      </c>
      <c r="C40" t="s">
        <v>277</v>
      </c>
      <c r="D40" t="s">
        <v>422</v>
      </c>
      <c r="E40">
        <v>181</v>
      </c>
    </row>
    <row r="41" spans="1:5" x14ac:dyDescent="0.25">
      <c r="A41" t="s">
        <v>19</v>
      </c>
      <c r="B41" t="s">
        <v>84</v>
      </c>
      <c r="C41" t="s">
        <v>163</v>
      </c>
      <c r="D41" t="s">
        <v>351</v>
      </c>
      <c r="E41">
        <v>176</v>
      </c>
    </row>
    <row r="42" spans="1:5" x14ac:dyDescent="0.25">
      <c r="A42" t="s">
        <v>16</v>
      </c>
      <c r="B42" t="s">
        <v>82</v>
      </c>
      <c r="C42" t="s">
        <v>273</v>
      </c>
      <c r="D42" t="s">
        <v>417</v>
      </c>
      <c r="E42">
        <v>176</v>
      </c>
    </row>
    <row r="43" spans="1:5" x14ac:dyDescent="0.25">
      <c r="A43" t="s">
        <v>5</v>
      </c>
      <c r="B43" t="s">
        <v>27</v>
      </c>
      <c r="C43" t="s">
        <v>152</v>
      </c>
      <c r="D43" t="s">
        <v>346</v>
      </c>
      <c r="E43">
        <v>175</v>
      </c>
    </row>
    <row r="44" spans="1:5" x14ac:dyDescent="0.25">
      <c r="A44" t="s">
        <v>5</v>
      </c>
      <c r="B44" t="s">
        <v>145</v>
      </c>
      <c r="C44" t="s">
        <v>185</v>
      </c>
      <c r="D44" t="s">
        <v>358</v>
      </c>
      <c r="E44">
        <v>175</v>
      </c>
    </row>
    <row r="45" spans="1:5" x14ac:dyDescent="0.25">
      <c r="A45" t="s">
        <v>19</v>
      </c>
      <c r="B45" t="s">
        <v>217</v>
      </c>
      <c r="C45" t="s">
        <v>214</v>
      </c>
      <c r="D45" t="s">
        <v>374</v>
      </c>
      <c r="E45">
        <v>175</v>
      </c>
    </row>
    <row r="46" spans="1:5" x14ac:dyDescent="0.25">
      <c r="A46" t="s">
        <v>5</v>
      </c>
      <c r="B46" t="s">
        <v>59</v>
      </c>
      <c r="C46" t="s">
        <v>56</v>
      </c>
      <c r="D46" t="s">
        <v>310</v>
      </c>
      <c r="E46">
        <v>174</v>
      </c>
    </row>
    <row r="47" spans="1:5" x14ac:dyDescent="0.25">
      <c r="A47" t="s">
        <v>13</v>
      </c>
      <c r="B47" t="s">
        <v>92</v>
      </c>
      <c r="C47" t="s">
        <v>304</v>
      </c>
      <c r="D47" t="s">
        <v>439</v>
      </c>
      <c r="E47">
        <v>171</v>
      </c>
    </row>
    <row r="48" spans="1:5" x14ac:dyDescent="0.25">
      <c r="A48" t="s">
        <v>13</v>
      </c>
      <c r="B48" t="s">
        <v>64</v>
      </c>
      <c r="C48" t="s">
        <v>243</v>
      </c>
      <c r="D48" t="s">
        <v>393</v>
      </c>
      <c r="E48">
        <v>170</v>
      </c>
    </row>
    <row r="49" spans="1:5" x14ac:dyDescent="0.25">
      <c r="A49" t="s">
        <v>8</v>
      </c>
      <c r="B49" t="s">
        <v>22</v>
      </c>
      <c r="C49" t="s">
        <v>175</v>
      </c>
      <c r="D49" t="s">
        <v>349</v>
      </c>
      <c r="E49">
        <v>169</v>
      </c>
    </row>
    <row r="50" spans="1:5" x14ac:dyDescent="0.25">
      <c r="A50" t="s">
        <v>11</v>
      </c>
      <c r="B50" t="s">
        <v>217</v>
      </c>
      <c r="C50" t="s">
        <v>308</v>
      </c>
      <c r="D50" t="s">
        <v>440</v>
      </c>
      <c r="E50">
        <v>166</v>
      </c>
    </row>
    <row r="51" spans="1:5" x14ac:dyDescent="0.25">
      <c r="A51" t="s">
        <v>21</v>
      </c>
      <c r="B51" t="s">
        <v>187</v>
      </c>
      <c r="C51" t="s">
        <v>297</v>
      </c>
      <c r="D51" t="s">
        <v>429</v>
      </c>
      <c r="E51">
        <v>166</v>
      </c>
    </row>
    <row r="52" spans="1:5" x14ac:dyDescent="0.25">
      <c r="A52" t="s">
        <v>29</v>
      </c>
      <c r="B52" t="s">
        <v>199</v>
      </c>
      <c r="C52" t="s">
        <v>235</v>
      </c>
      <c r="D52" t="s">
        <v>379</v>
      </c>
      <c r="E52">
        <v>164</v>
      </c>
    </row>
    <row r="53" spans="1:5" x14ac:dyDescent="0.25">
      <c r="A53" t="s">
        <v>38</v>
      </c>
      <c r="B53" t="s">
        <v>97</v>
      </c>
      <c r="C53" t="s">
        <v>242</v>
      </c>
      <c r="D53" t="s">
        <v>386</v>
      </c>
      <c r="E53">
        <v>163</v>
      </c>
    </row>
    <row r="54" spans="1:5" x14ac:dyDescent="0.25">
      <c r="A54" t="s">
        <v>11</v>
      </c>
      <c r="B54" t="s">
        <v>33</v>
      </c>
      <c r="C54" t="s">
        <v>242</v>
      </c>
      <c r="D54" t="s">
        <v>384</v>
      </c>
      <c r="E54">
        <v>161</v>
      </c>
    </row>
    <row r="55" spans="1:5" x14ac:dyDescent="0.25">
      <c r="A55" t="s">
        <v>29</v>
      </c>
      <c r="B55" t="s">
        <v>74</v>
      </c>
      <c r="C55" t="s">
        <v>318</v>
      </c>
      <c r="D55" t="s">
        <v>445</v>
      </c>
      <c r="E55">
        <v>159</v>
      </c>
    </row>
    <row r="56" spans="1:5" x14ac:dyDescent="0.25">
      <c r="A56" t="s">
        <v>16</v>
      </c>
      <c r="B56" t="s">
        <v>63</v>
      </c>
      <c r="C56" t="s">
        <v>62</v>
      </c>
      <c r="D56" t="s">
        <v>298</v>
      </c>
      <c r="E56">
        <v>159</v>
      </c>
    </row>
    <row r="57" spans="1:5" x14ac:dyDescent="0.25">
      <c r="A57" t="s">
        <v>16</v>
      </c>
      <c r="B57" t="s">
        <v>28</v>
      </c>
      <c r="C57" t="s">
        <v>224</v>
      </c>
      <c r="D57" t="s">
        <v>367</v>
      </c>
      <c r="E57">
        <v>157</v>
      </c>
    </row>
    <row r="58" spans="1:5" x14ac:dyDescent="0.25">
      <c r="A58" t="s">
        <v>26</v>
      </c>
      <c r="B58" t="s">
        <v>88</v>
      </c>
      <c r="C58" t="s">
        <v>198</v>
      </c>
      <c r="D58" t="s">
        <v>349</v>
      </c>
      <c r="E58">
        <v>156</v>
      </c>
    </row>
    <row r="59" spans="1:5" x14ac:dyDescent="0.25">
      <c r="A59" t="s">
        <v>43</v>
      </c>
      <c r="B59" t="s">
        <v>93</v>
      </c>
      <c r="C59" t="s">
        <v>90</v>
      </c>
      <c r="D59" t="s">
        <v>304</v>
      </c>
      <c r="E59">
        <v>154</v>
      </c>
    </row>
    <row r="60" spans="1:5" x14ac:dyDescent="0.25">
      <c r="A60" t="s">
        <v>55</v>
      </c>
      <c r="B60" t="s">
        <v>102</v>
      </c>
      <c r="C60" t="s">
        <v>231</v>
      </c>
      <c r="D60" t="s">
        <v>368</v>
      </c>
      <c r="E60">
        <v>152</v>
      </c>
    </row>
    <row r="61" spans="1:5" x14ac:dyDescent="0.25">
      <c r="A61" t="s">
        <v>11</v>
      </c>
      <c r="B61" t="s">
        <v>305</v>
      </c>
      <c r="C61" t="s">
        <v>304</v>
      </c>
      <c r="D61" t="s">
        <v>425</v>
      </c>
      <c r="E61">
        <v>152</v>
      </c>
    </row>
    <row r="62" spans="1:5" x14ac:dyDescent="0.25">
      <c r="A62" t="s">
        <v>19</v>
      </c>
      <c r="B62" t="s">
        <v>207</v>
      </c>
      <c r="C62" t="s">
        <v>205</v>
      </c>
      <c r="D62" t="s">
        <v>351</v>
      </c>
      <c r="E62">
        <v>151</v>
      </c>
    </row>
    <row r="63" spans="1:5" x14ac:dyDescent="0.25">
      <c r="A63" t="s">
        <v>26</v>
      </c>
      <c r="B63" t="s">
        <v>193</v>
      </c>
      <c r="C63" t="s">
        <v>192</v>
      </c>
      <c r="D63" t="s">
        <v>338</v>
      </c>
      <c r="E63">
        <v>151</v>
      </c>
    </row>
    <row r="64" spans="1:5" x14ac:dyDescent="0.25">
      <c r="A64" t="s">
        <v>5</v>
      </c>
      <c r="B64" t="s">
        <v>227</v>
      </c>
      <c r="C64" t="s">
        <v>238</v>
      </c>
      <c r="D64" t="s">
        <v>368</v>
      </c>
      <c r="E64">
        <v>146</v>
      </c>
    </row>
    <row r="65" spans="1:5" x14ac:dyDescent="0.25">
      <c r="A65" t="s">
        <v>16</v>
      </c>
      <c r="B65" t="s">
        <v>257</v>
      </c>
      <c r="C65" t="s">
        <v>288</v>
      </c>
      <c r="D65" t="s">
        <v>404</v>
      </c>
      <c r="E65">
        <v>146</v>
      </c>
    </row>
    <row r="66" spans="1:5" x14ac:dyDescent="0.25">
      <c r="A66" t="s">
        <v>8</v>
      </c>
      <c r="B66" t="s">
        <v>92</v>
      </c>
      <c r="C66" t="s">
        <v>285</v>
      </c>
      <c r="D66" t="s">
        <v>397</v>
      </c>
      <c r="E66">
        <v>142</v>
      </c>
    </row>
    <row r="67" spans="1:5" x14ac:dyDescent="0.25">
      <c r="A67" t="s">
        <v>38</v>
      </c>
      <c r="B67" t="s">
        <v>206</v>
      </c>
      <c r="C67" t="s">
        <v>230</v>
      </c>
      <c r="D67" t="s">
        <v>361</v>
      </c>
      <c r="E67">
        <v>142</v>
      </c>
    </row>
    <row r="68" spans="1:5" x14ac:dyDescent="0.25">
      <c r="A68" t="s">
        <v>19</v>
      </c>
      <c r="B68" t="s">
        <v>250</v>
      </c>
      <c r="C68" t="s">
        <v>249</v>
      </c>
      <c r="D68" t="s">
        <v>377</v>
      </c>
      <c r="E68">
        <v>141</v>
      </c>
    </row>
    <row r="69" spans="1:5" x14ac:dyDescent="0.25">
      <c r="A69" t="s">
        <v>38</v>
      </c>
      <c r="B69" t="s">
        <v>171</v>
      </c>
      <c r="C69" t="s">
        <v>223</v>
      </c>
      <c r="D69" t="s">
        <v>352</v>
      </c>
      <c r="E69">
        <v>140</v>
      </c>
    </row>
    <row r="70" spans="1:5" x14ac:dyDescent="0.25">
      <c r="A70" t="s">
        <v>55</v>
      </c>
      <c r="B70" t="s">
        <v>33</v>
      </c>
      <c r="C70" t="s">
        <v>251</v>
      </c>
      <c r="D70" t="s">
        <v>374</v>
      </c>
      <c r="E70">
        <v>138</v>
      </c>
    </row>
    <row r="71" spans="1:5" x14ac:dyDescent="0.25">
      <c r="A71" t="s">
        <v>8</v>
      </c>
      <c r="B71" t="s">
        <v>30</v>
      </c>
      <c r="C71" t="s">
        <v>86</v>
      </c>
      <c r="D71" t="s">
        <v>288</v>
      </c>
      <c r="E71">
        <v>138</v>
      </c>
    </row>
    <row r="72" spans="1:5" x14ac:dyDescent="0.25">
      <c r="A72" t="s">
        <v>38</v>
      </c>
      <c r="B72" t="s">
        <v>102</v>
      </c>
      <c r="C72" t="s">
        <v>324</v>
      </c>
      <c r="D72" t="s">
        <v>434</v>
      </c>
      <c r="E72">
        <v>137</v>
      </c>
    </row>
    <row r="73" spans="1:5" x14ac:dyDescent="0.25">
      <c r="A73" t="s">
        <v>19</v>
      </c>
      <c r="B73" t="s">
        <v>49</v>
      </c>
      <c r="C73" t="s">
        <v>70</v>
      </c>
      <c r="D73" t="s">
        <v>285</v>
      </c>
      <c r="E73">
        <v>135</v>
      </c>
    </row>
    <row r="74" spans="1:5" x14ac:dyDescent="0.25">
      <c r="A74" t="s">
        <v>26</v>
      </c>
      <c r="B74" t="s">
        <v>121</v>
      </c>
      <c r="C74" t="s">
        <v>292</v>
      </c>
      <c r="D74" t="s">
        <v>399</v>
      </c>
      <c r="E74">
        <v>134</v>
      </c>
    </row>
    <row r="75" spans="1:5" x14ac:dyDescent="0.25">
      <c r="A75" t="s">
        <v>43</v>
      </c>
      <c r="B75" t="s">
        <v>106</v>
      </c>
      <c r="C75" t="s">
        <v>331</v>
      </c>
      <c r="D75" t="s">
        <v>438</v>
      </c>
      <c r="E75">
        <v>133</v>
      </c>
    </row>
    <row r="76" spans="1:5" x14ac:dyDescent="0.25">
      <c r="A76" t="s">
        <v>29</v>
      </c>
      <c r="B76" t="s">
        <v>311</v>
      </c>
      <c r="C76" t="s">
        <v>346</v>
      </c>
      <c r="D76" t="s">
        <v>449</v>
      </c>
      <c r="E76">
        <v>133</v>
      </c>
    </row>
    <row r="77" spans="1:5" x14ac:dyDescent="0.25">
      <c r="A77" t="s">
        <v>13</v>
      </c>
      <c r="B77" t="s">
        <v>47</v>
      </c>
      <c r="C77" t="s">
        <v>192</v>
      </c>
      <c r="D77" t="s">
        <v>324</v>
      </c>
      <c r="E77">
        <v>133</v>
      </c>
    </row>
    <row r="78" spans="1:5" x14ac:dyDescent="0.25">
      <c r="A78" t="s">
        <v>29</v>
      </c>
      <c r="B78" t="s">
        <v>183</v>
      </c>
      <c r="C78" t="s">
        <v>219</v>
      </c>
      <c r="D78" t="s">
        <v>343</v>
      </c>
      <c r="E78">
        <v>132</v>
      </c>
    </row>
    <row r="79" spans="1:5" x14ac:dyDescent="0.25">
      <c r="A79" t="s">
        <v>29</v>
      </c>
      <c r="B79" t="s">
        <v>47</v>
      </c>
      <c r="C79" t="s">
        <v>48</v>
      </c>
      <c r="D79" t="s">
        <v>271</v>
      </c>
      <c r="E79">
        <v>130</v>
      </c>
    </row>
    <row r="80" spans="1:5" x14ac:dyDescent="0.25">
      <c r="A80" t="s">
        <v>19</v>
      </c>
      <c r="B80" t="s">
        <v>79</v>
      </c>
      <c r="C80" t="s">
        <v>262</v>
      </c>
      <c r="D80" t="s">
        <v>378</v>
      </c>
      <c r="E80">
        <v>129</v>
      </c>
    </row>
    <row r="81" spans="1:5" x14ac:dyDescent="0.25">
      <c r="A81" t="s">
        <v>38</v>
      </c>
      <c r="B81" t="s">
        <v>111</v>
      </c>
      <c r="C81" t="s">
        <v>152</v>
      </c>
      <c r="D81" t="s">
        <v>308</v>
      </c>
      <c r="E81">
        <v>129</v>
      </c>
    </row>
    <row r="82" spans="1:5" x14ac:dyDescent="0.25">
      <c r="A82" t="s">
        <v>55</v>
      </c>
      <c r="B82" t="s">
        <v>74</v>
      </c>
      <c r="C82" t="s">
        <v>142</v>
      </c>
      <c r="D82" t="s">
        <v>302</v>
      </c>
      <c r="E82">
        <v>127</v>
      </c>
    </row>
    <row r="83" spans="1:5" x14ac:dyDescent="0.25">
      <c r="A83" t="s">
        <v>55</v>
      </c>
      <c r="B83" t="s">
        <v>125</v>
      </c>
      <c r="C83" t="s">
        <v>287</v>
      </c>
      <c r="D83" t="s">
        <v>388</v>
      </c>
      <c r="E83">
        <v>126</v>
      </c>
    </row>
    <row r="84" spans="1:5" x14ac:dyDescent="0.25">
      <c r="A84" t="s">
        <v>13</v>
      </c>
      <c r="B84" t="s">
        <v>30</v>
      </c>
      <c r="C84" t="s">
        <v>226</v>
      </c>
      <c r="D84" t="s">
        <v>344</v>
      </c>
      <c r="E84">
        <v>126</v>
      </c>
    </row>
    <row r="85" spans="1:5" x14ac:dyDescent="0.25">
      <c r="A85" t="s">
        <v>26</v>
      </c>
      <c r="B85" t="s">
        <v>169</v>
      </c>
      <c r="C85" t="s">
        <v>224</v>
      </c>
      <c r="D85" t="s">
        <v>338</v>
      </c>
      <c r="E85">
        <v>125</v>
      </c>
    </row>
    <row r="86" spans="1:5" x14ac:dyDescent="0.25">
      <c r="A86" t="s">
        <v>19</v>
      </c>
      <c r="B86" t="s">
        <v>104</v>
      </c>
      <c r="C86" t="s">
        <v>296</v>
      </c>
      <c r="D86" t="s">
        <v>394</v>
      </c>
      <c r="E86">
        <v>124</v>
      </c>
    </row>
    <row r="87" spans="1:5" x14ac:dyDescent="0.25">
      <c r="A87" t="s">
        <v>11</v>
      </c>
      <c r="B87" t="s">
        <v>72</v>
      </c>
      <c r="C87" t="s">
        <v>122</v>
      </c>
      <c r="D87" t="s">
        <v>287</v>
      </c>
      <c r="E87">
        <v>122</v>
      </c>
    </row>
    <row r="88" spans="1:5" x14ac:dyDescent="0.25">
      <c r="A88" t="s">
        <v>11</v>
      </c>
      <c r="B88" t="s">
        <v>172</v>
      </c>
      <c r="C88" t="s">
        <v>345</v>
      </c>
      <c r="D88" t="s">
        <v>439</v>
      </c>
      <c r="E88">
        <v>122</v>
      </c>
    </row>
    <row r="89" spans="1:5" x14ac:dyDescent="0.25">
      <c r="A89" t="s">
        <v>13</v>
      </c>
      <c r="B89" t="s">
        <v>187</v>
      </c>
      <c r="C89" t="s">
        <v>286</v>
      </c>
      <c r="D89" t="s">
        <v>384</v>
      </c>
      <c r="E89">
        <v>122</v>
      </c>
    </row>
    <row r="90" spans="1:5" x14ac:dyDescent="0.25">
      <c r="A90" t="s">
        <v>5</v>
      </c>
      <c r="B90" t="s">
        <v>74</v>
      </c>
      <c r="C90" t="s">
        <v>336</v>
      </c>
      <c r="D90" t="s">
        <v>432</v>
      </c>
      <c r="E90">
        <v>120</v>
      </c>
    </row>
    <row r="91" spans="1:5" x14ac:dyDescent="0.25">
      <c r="A91" t="s">
        <v>43</v>
      </c>
      <c r="B91" t="s">
        <v>12</v>
      </c>
      <c r="C91" t="s">
        <v>185</v>
      </c>
      <c r="D91" t="s">
        <v>310</v>
      </c>
      <c r="E91">
        <v>119</v>
      </c>
    </row>
    <row r="92" spans="1:5" x14ac:dyDescent="0.25">
      <c r="A92" t="s">
        <v>55</v>
      </c>
      <c r="B92" t="s">
        <v>184</v>
      </c>
      <c r="C92" t="s">
        <v>182</v>
      </c>
      <c r="D92" t="s">
        <v>306</v>
      </c>
      <c r="E92">
        <v>115</v>
      </c>
    </row>
    <row r="93" spans="1:5" x14ac:dyDescent="0.25">
      <c r="A93" t="s">
        <v>38</v>
      </c>
      <c r="B93" t="s">
        <v>144</v>
      </c>
      <c r="C93" t="s">
        <v>142</v>
      </c>
      <c r="D93" t="s">
        <v>291</v>
      </c>
      <c r="E93">
        <v>114</v>
      </c>
    </row>
    <row r="94" spans="1:5" x14ac:dyDescent="0.25">
      <c r="A94" t="s">
        <v>26</v>
      </c>
      <c r="B94" t="s">
        <v>73</v>
      </c>
      <c r="C94" t="s">
        <v>70</v>
      </c>
      <c r="D94" t="s">
        <v>256</v>
      </c>
      <c r="E94">
        <v>113</v>
      </c>
    </row>
    <row r="95" spans="1:5" x14ac:dyDescent="0.25">
      <c r="A95" t="s">
        <v>21</v>
      </c>
      <c r="B95" t="s">
        <v>97</v>
      </c>
      <c r="C95" t="s">
        <v>296</v>
      </c>
      <c r="D95" t="s">
        <v>385</v>
      </c>
      <c r="E95">
        <v>111</v>
      </c>
    </row>
    <row r="96" spans="1:5" x14ac:dyDescent="0.25">
      <c r="A96" t="s">
        <v>29</v>
      </c>
      <c r="B96" t="s">
        <v>82</v>
      </c>
      <c r="C96" t="s">
        <v>170</v>
      </c>
      <c r="D96" t="s">
        <v>297</v>
      </c>
      <c r="E96">
        <v>108</v>
      </c>
    </row>
    <row r="97" spans="1:5" x14ac:dyDescent="0.25">
      <c r="A97" t="s">
        <v>43</v>
      </c>
      <c r="B97" t="s">
        <v>104</v>
      </c>
      <c r="C97" t="s">
        <v>229</v>
      </c>
      <c r="D97" t="s">
        <v>327</v>
      </c>
      <c r="E97">
        <v>106</v>
      </c>
    </row>
    <row r="98" spans="1:5" x14ac:dyDescent="0.25">
      <c r="A98" t="s">
        <v>55</v>
      </c>
      <c r="B98" t="s">
        <v>100</v>
      </c>
      <c r="C98" t="s">
        <v>101</v>
      </c>
      <c r="D98" t="s">
        <v>254</v>
      </c>
      <c r="E98">
        <v>103</v>
      </c>
    </row>
    <row r="99" spans="1:5" x14ac:dyDescent="0.25">
      <c r="A99" t="s">
        <v>38</v>
      </c>
      <c r="B99" t="s">
        <v>114</v>
      </c>
      <c r="C99" t="s">
        <v>314</v>
      </c>
      <c r="D99" t="s">
        <v>394</v>
      </c>
      <c r="E99">
        <v>102</v>
      </c>
    </row>
    <row r="100" spans="1:5" x14ac:dyDescent="0.25">
      <c r="A100" t="s">
        <v>8</v>
      </c>
      <c r="B100" t="s">
        <v>46</v>
      </c>
      <c r="C100" t="s">
        <v>41</v>
      </c>
      <c r="D100" t="s">
        <v>236</v>
      </c>
      <c r="E100">
        <v>101</v>
      </c>
    </row>
    <row r="101" spans="1:5" x14ac:dyDescent="0.25">
      <c r="A101" t="s">
        <v>11</v>
      </c>
      <c r="B101" t="s">
        <v>275</v>
      </c>
      <c r="C101" t="s">
        <v>273</v>
      </c>
      <c r="D101" t="s">
        <v>358</v>
      </c>
      <c r="E101">
        <v>98</v>
      </c>
    </row>
    <row r="102" spans="1:5" x14ac:dyDescent="0.25">
      <c r="A102" t="s">
        <v>16</v>
      </c>
      <c r="B102" t="s">
        <v>111</v>
      </c>
      <c r="C102" t="s">
        <v>334</v>
      </c>
      <c r="D102" t="s">
        <v>409</v>
      </c>
      <c r="E102">
        <v>94</v>
      </c>
    </row>
    <row r="103" spans="1:5" x14ac:dyDescent="0.25">
      <c r="A103" t="s">
        <v>21</v>
      </c>
      <c r="B103" t="s">
        <v>22</v>
      </c>
      <c r="C103" t="s">
        <v>23</v>
      </c>
      <c r="D103" t="s">
        <v>228</v>
      </c>
      <c r="E103">
        <v>94</v>
      </c>
    </row>
    <row r="104" spans="1:5" x14ac:dyDescent="0.25">
      <c r="A104" t="s">
        <v>55</v>
      </c>
      <c r="B104" t="s">
        <v>178</v>
      </c>
      <c r="C104" t="s">
        <v>381</v>
      </c>
      <c r="D104" t="s">
        <v>452</v>
      </c>
      <c r="E104">
        <v>92</v>
      </c>
    </row>
    <row r="105" spans="1:5" x14ac:dyDescent="0.25">
      <c r="A105" t="s">
        <v>26</v>
      </c>
      <c r="B105" t="s">
        <v>237</v>
      </c>
      <c r="C105" t="s">
        <v>236</v>
      </c>
      <c r="D105" t="s">
        <v>323</v>
      </c>
      <c r="E105">
        <v>92</v>
      </c>
    </row>
    <row r="106" spans="1:5" x14ac:dyDescent="0.25">
      <c r="A106" t="s">
        <v>11</v>
      </c>
      <c r="B106" t="s">
        <v>165</v>
      </c>
      <c r="C106" t="s">
        <v>332</v>
      </c>
      <c r="D106" t="s">
        <v>404</v>
      </c>
      <c r="E106">
        <v>91</v>
      </c>
    </row>
    <row r="107" spans="1:5" x14ac:dyDescent="0.25">
      <c r="A107" t="s">
        <v>38</v>
      </c>
      <c r="B107" t="s">
        <v>188</v>
      </c>
      <c r="C107" t="s">
        <v>185</v>
      </c>
      <c r="D107" t="s">
        <v>287</v>
      </c>
      <c r="E107">
        <v>91</v>
      </c>
    </row>
    <row r="108" spans="1:5" x14ac:dyDescent="0.25">
      <c r="A108" t="s">
        <v>29</v>
      </c>
      <c r="B108" t="s">
        <v>40</v>
      </c>
      <c r="C108" t="s">
        <v>41</v>
      </c>
      <c r="D108" t="s">
        <v>225</v>
      </c>
      <c r="E108">
        <v>89</v>
      </c>
    </row>
    <row r="109" spans="1:5" x14ac:dyDescent="0.25">
      <c r="A109" t="s">
        <v>16</v>
      </c>
      <c r="B109" t="s">
        <v>89</v>
      </c>
      <c r="C109" t="s">
        <v>90</v>
      </c>
      <c r="D109" t="s">
        <v>238</v>
      </c>
      <c r="E109">
        <v>88</v>
      </c>
    </row>
    <row r="110" spans="1:5" x14ac:dyDescent="0.25">
      <c r="A110" t="s">
        <v>55</v>
      </c>
      <c r="B110" t="s">
        <v>91</v>
      </c>
      <c r="C110" t="s">
        <v>364</v>
      </c>
      <c r="D110" t="s">
        <v>431</v>
      </c>
      <c r="E110">
        <v>87</v>
      </c>
    </row>
    <row r="111" spans="1:5" x14ac:dyDescent="0.25">
      <c r="A111" t="s">
        <v>11</v>
      </c>
      <c r="B111" t="s">
        <v>354</v>
      </c>
      <c r="C111" t="s">
        <v>355</v>
      </c>
      <c r="D111" t="s">
        <v>421</v>
      </c>
      <c r="E111">
        <v>86</v>
      </c>
    </row>
    <row r="112" spans="1:5" x14ac:dyDescent="0.25">
      <c r="A112" t="s">
        <v>13</v>
      </c>
      <c r="B112" t="s">
        <v>186</v>
      </c>
      <c r="C112" t="s">
        <v>242</v>
      </c>
      <c r="D112" t="s">
        <v>323</v>
      </c>
      <c r="E112">
        <v>85</v>
      </c>
    </row>
    <row r="113" spans="1:5" x14ac:dyDescent="0.25">
      <c r="A113" t="s">
        <v>13</v>
      </c>
      <c r="B113" t="s">
        <v>71</v>
      </c>
      <c r="C113" t="s">
        <v>83</v>
      </c>
      <c r="D113" t="s">
        <v>231</v>
      </c>
      <c r="E113">
        <v>84</v>
      </c>
    </row>
    <row r="114" spans="1:5" x14ac:dyDescent="0.25">
      <c r="A114" t="s">
        <v>16</v>
      </c>
      <c r="B114" t="s">
        <v>187</v>
      </c>
      <c r="C114" t="s">
        <v>185</v>
      </c>
      <c r="D114" t="s">
        <v>282</v>
      </c>
      <c r="E114">
        <v>84</v>
      </c>
    </row>
    <row r="115" spans="1:5" x14ac:dyDescent="0.25">
      <c r="A115" t="s">
        <v>5</v>
      </c>
      <c r="B115" t="s">
        <v>65</v>
      </c>
      <c r="C115" t="s">
        <v>330</v>
      </c>
      <c r="D115" t="s">
        <v>394</v>
      </c>
      <c r="E115">
        <v>81</v>
      </c>
    </row>
    <row r="116" spans="1:5" x14ac:dyDescent="0.25">
      <c r="A116" t="s">
        <v>21</v>
      </c>
      <c r="B116" t="s">
        <v>263</v>
      </c>
      <c r="C116" t="s">
        <v>262</v>
      </c>
      <c r="D116" t="s">
        <v>337</v>
      </c>
      <c r="E116">
        <v>81</v>
      </c>
    </row>
    <row r="117" spans="1:5" x14ac:dyDescent="0.25">
      <c r="A117" t="s">
        <v>16</v>
      </c>
      <c r="B117" t="s">
        <v>178</v>
      </c>
      <c r="C117" t="s">
        <v>325</v>
      </c>
      <c r="D117" t="s">
        <v>391</v>
      </c>
      <c r="E117">
        <v>80</v>
      </c>
    </row>
    <row r="118" spans="1:5" x14ac:dyDescent="0.25">
      <c r="A118" t="s">
        <v>21</v>
      </c>
      <c r="B118" t="s">
        <v>141</v>
      </c>
      <c r="C118" t="s">
        <v>252</v>
      </c>
      <c r="D118" t="s">
        <v>325</v>
      </c>
      <c r="E118">
        <v>80</v>
      </c>
    </row>
    <row r="119" spans="1:5" x14ac:dyDescent="0.25">
      <c r="A119" t="s">
        <v>29</v>
      </c>
      <c r="B119" t="s">
        <v>181</v>
      </c>
      <c r="C119" t="s">
        <v>180</v>
      </c>
      <c r="D119" t="s">
        <v>271</v>
      </c>
      <c r="E119">
        <v>78</v>
      </c>
    </row>
    <row r="120" spans="1:5" x14ac:dyDescent="0.25">
      <c r="A120" t="s">
        <v>29</v>
      </c>
      <c r="B120" t="s">
        <v>88</v>
      </c>
      <c r="C120" t="s">
        <v>332</v>
      </c>
      <c r="D120" t="s">
        <v>395</v>
      </c>
      <c r="E120">
        <v>78</v>
      </c>
    </row>
    <row r="121" spans="1:5" x14ac:dyDescent="0.25">
      <c r="A121" t="s">
        <v>43</v>
      </c>
      <c r="B121" t="s">
        <v>121</v>
      </c>
      <c r="C121" t="s">
        <v>348</v>
      </c>
      <c r="D121" t="s">
        <v>404</v>
      </c>
      <c r="E121">
        <v>76</v>
      </c>
    </row>
    <row r="122" spans="1:5" x14ac:dyDescent="0.25">
      <c r="A122" t="s">
        <v>16</v>
      </c>
      <c r="B122" t="s">
        <v>199</v>
      </c>
      <c r="C122" t="s">
        <v>320</v>
      </c>
      <c r="D122" t="s">
        <v>381</v>
      </c>
      <c r="E122">
        <v>76</v>
      </c>
    </row>
    <row r="123" spans="1:5" x14ac:dyDescent="0.25">
      <c r="A123" t="s">
        <v>11</v>
      </c>
      <c r="B123" t="s">
        <v>392</v>
      </c>
      <c r="C123" t="s">
        <v>391</v>
      </c>
      <c r="D123" t="s">
        <v>449</v>
      </c>
      <c r="E123">
        <v>74</v>
      </c>
    </row>
    <row r="124" spans="1:5" x14ac:dyDescent="0.25">
      <c r="A124" t="s">
        <v>55</v>
      </c>
      <c r="B124" t="s">
        <v>217</v>
      </c>
      <c r="C124" t="s">
        <v>368</v>
      </c>
      <c r="D124" t="s">
        <v>425</v>
      </c>
      <c r="E124">
        <v>72</v>
      </c>
    </row>
    <row r="125" spans="1:5" x14ac:dyDescent="0.25">
      <c r="A125" t="s">
        <v>29</v>
      </c>
      <c r="B125" t="s">
        <v>144</v>
      </c>
      <c r="C125" t="s">
        <v>282</v>
      </c>
      <c r="D125" t="s">
        <v>343</v>
      </c>
      <c r="E125">
        <v>72</v>
      </c>
    </row>
    <row r="126" spans="1:5" x14ac:dyDescent="0.25">
      <c r="A126" t="s">
        <v>21</v>
      </c>
      <c r="B126" t="s">
        <v>202</v>
      </c>
      <c r="C126" t="s">
        <v>201</v>
      </c>
      <c r="D126" t="s">
        <v>279</v>
      </c>
      <c r="E126">
        <v>71</v>
      </c>
    </row>
    <row r="127" spans="1:5" x14ac:dyDescent="0.25">
      <c r="A127" t="s">
        <v>55</v>
      </c>
      <c r="B127" t="s">
        <v>22</v>
      </c>
      <c r="C127" t="s">
        <v>341</v>
      </c>
      <c r="D127" t="s">
        <v>395</v>
      </c>
      <c r="E127">
        <v>70</v>
      </c>
    </row>
    <row r="128" spans="1:5" x14ac:dyDescent="0.25">
      <c r="A128" t="s">
        <v>13</v>
      </c>
      <c r="B128" t="s">
        <v>131</v>
      </c>
      <c r="C128" t="s">
        <v>254</v>
      </c>
      <c r="D128" t="s">
        <v>322</v>
      </c>
      <c r="E128">
        <v>70</v>
      </c>
    </row>
    <row r="129" spans="1:5" x14ac:dyDescent="0.25">
      <c r="A129" t="s">
        <v>19</v>
      </c>
      <c r="B129" t="s">
        <v>92</v>
      </c>
      <c r="C129" t="s">
        <v>229</v>
      </c>
      <c r="D129" t="s">
        <v>298</v>
      </c>
      <c r="E129">
        <v>70</v>
      </c>
    </row>
    <row r="130" spans="1:5" x14ac:dyDescent="0.25">
      <c r="A130" t="s">
        <v>19</v>
      </c>
      <c r="B130" t="s">
        <v>209</v>
      </c>
      <c r="C130" t="s">
        <v>208</v>
      </c>
      <c r="D130" t="s">
        <v>284</v>
      </c>
      <c r="E130">
        <v>70</v>
      </c>
    </row>
    <row r="131" spans="1:5" x14ac:dyDescent="0.25">
      <c r="A131" t="s">
        <v>21</v>
      </c>
      <c r="B131" t="s">
        <v>49</v>
      </c>
      <c r="C131" t="s">
        <v>325</v>
      </c>
      <c r="D131" t="s">
        <v>384</v>
      </c>
      <c r="E131">
        <v>70</v>
      </c>
    </row>
    <row r="132" spans="1:5" x14ac:dyDescent="0.25">
      <c r="A132" t="s">
        <v>11</v>
      </c>
      <c r="B132" t="s">
        <v>121</v>
      </c>
      <c r="C132" t="s">
        <v>290</v>
      </c>
      <c r="D132" t="s">
        <v>346</v>
      </c>
      <c r="E132">
        <v>67</v>
      </c>
    </row>
    <row r="133" spans="1:5" x14ac:dyDescent="0.25">
      <c r="A133" t="s">
        <v>21</v>
      </c>
      <c r="B133" t="s">
        <v>188</v>
      </c>
      <c r="C133" t="s">
        <v>398</v>
      </c>
      <c r="D133" t="s">
        <v>453</v>
      </c>
      <c r="E133">
        <v>67</v>
      </c>
    </row>
    <row r="134" spans="1:5" x14ac:dyDescent="0.25">
      <c r="A134" t="s">
        <v>19</v>
      </c>
      <c r="B134" t="s">
        <v>172</v>
      </c>
      <c r="C134" t="s">
        <v>348</v>
      </c>
      <c r="D134" t="s">
        <v>397</v>
      </c>
      <c r="E134">
        <v>66</v>
      </c>
    </row>
    <row r="135" spans="1:5" x14ac:dyDescent="0.25">
      <c r="A135" t="s">
        <v>5</v>
      </c>
      <c r="B135" t="s">
        <v>206</v>
      </c>
      <c r="C135" t="s">
        <v>325</v>
      </c>
      <c r="D135" t="s">
        <v>381</v>
      </c>
      <c r="E135">
        <v>65</v>
      </c>
    </row>
    <row r="136" spans="1:5" x14ac:dyDescent="0.25">
      <c r="A136" t="s">
        <v>8</v>
      </c>
      <c r="B136" t="s">
        <v>274</v>
      </c>
      <c r="C136" t="s">
        <v>273</v>
      </c>
      <c r="D136" t="s">
        <v>329</v>
      </c>
      <c r="E136">
        <v>65</v>
      </c>
    </row>
    <row r="137" spans="1:5" x14ac:dyDescent="0.25">
      <c r="A137" t="s">
        <v>43</v>
      </c>
      <c r="B137" t="s">
        <v>165</v>
      </c>
      <c r="C137" t="s">
        <v>214</v>
      </c>
      <c r="D137" t="s">
        <v>284</v>
      </c>
      <c r="E137">
        <v>64</v>
      </c>
    </row>
    <row r="138" spans="1:5" x14ac:dyDescent="0.25">
      <c r="A138" t="s">
        <v>13</v>
      </c>
      <c r="B138" t="s">
        <v>75</v>
      </c>
      <c r="C138" t="s">
        <v>244</v>
      </c>
      <c r="D138" t="s">
        <v>309</v>
      </c>
      <c r="E138">
        <v>64</v>
      </c>
    </row>
    <row r="139" spans="1:5" x14ac:dyDescent="0.25">
      <c r="A139" t="s">
        <v>43</v>
      </c>
      <c r="B139" t="s">
        <v>153</v>
      </c>
      <c r="C139" t="s">
        <v>322</v>
      </c>
      <c r="D139" t="s">
        <v>373</v>
      </c>
      <c r="E139">
        <v>60</v>
      </c>
    </row>
    <row r="140" spans="1:5" x14ac:dyDescent="0.25">
      <c r="A140" t="s">
        <v>21</v>
      </c>
      <c r="B140" t="s">
        <v>169</v>
      </c>
      <c r="C140" t="s">
        <v>387</v>
      </c>
      <c r="D140" t="s">
        <v>434</v>
      </c>
      <c r="E140">
        <v>59</v>
      </c>
    </row>
    <row r="141" spans="1:5" x14ac:dyDescent="0.25">
      <c r="A141" t="s">
        <v>16</v>
      </c>
      <c r="B141" t="s">
        <v>165</v>
      </c>
      <c r="C141" t="s">
        <v>163</v>
      </c>
      <c r="D141" t="s">
        <v>241</v>
      </c>
      <c r="E141">
        <v>57</v>
      </c>
    </row>
    <row r="142" spans="1:5" x14ac:dyDescent="0.25">
      <c r="A142" t="s">
        <v>5</v>
      </c>
      <c r="B142" t="s">
        <v>18</v>
      </c>
      <c r="C142" t="s">
        <v>10</v>
      </c>
      <c r="D142" t="s">
        <v>170</v>
      </c>
      <c r="E142">
        <v>56</v>
      </c>
    </row>
    <row r="143" spans="1:5" x14ac:dyDescent="0.25">
      <c r="A143" t="s">
        <v>55</v>
      </c>
      <c r="B143" t="s">
        <v>173</v>
      </c>
      <c r="C143" t="s">
        <v>170</v>
      </c>
      <c r="D143" t="s">
        <v>242</v>
      </c>
      <c r="E143">
        <v>56</v>
      </c>
    </row>
    <row r="144" spans="1:5" x14ac:dyDescent="0.25">
      <c r="A144" t="s">
        <v>21</v>
      </c>
      <c r="B144" t="s">
        <v>184</v>
      </c>
      <c r="C144" t="s">
        <v>282</v>
      </c>
      <c r="D144" t="s">
        <v>325</v>
      </c>
      <c r="E144">
        <v>56</v>
      </c>
    </row>
    <row r="145" spans="1:5" x14ac:dyDescent="0.25">
      <c r="A145" t="s">
        <v>5</v>
      </c>
      <c r="B145" t="s">
        <v>158</v>
      </c>
      <c r="C145" t="s">
        <v>376</v>
      </c>
      <c r="D145" t="s">
        <v>416</v>
      </c>
      <c r="E145">
        <v>55</v>
      </c>
    </row>
    <row r="146" spans="1:5" x14ac:dyDescent="0.25">
      <c r="A146" t="s">
        <v>43</v>
      </c>
      <c r="B146" t="s">
        <v>44</v>
      </c>
      <c r="C146" t="s">
        <v>41</v>
      </c>
      <c r="D146" t="s">
        <v>180</v>
      </c>
      <c r="E146">
        <v>55</v>
      </c>
    </row>
    <row r="147" spans="1:5" x14ac:dyDescent="0.25">
      <c r="A147" t="s">
        <v>26</v>
      </c>
      <c r="B147" t="s">
        <v>64</v>
      </c>
      <c r="C147" t="s">
        <v>62</v>
      </c>
      <c r="D147" t="s">
        <v>189</v>
      </c>
      <c r="E147">
        <v>55</v>
      </c>
    </row>
    <row r="148" spans="1:5" x14ac:dyDescent="0.25">
      <c r="A148" t="s">
        <v>21</v>
      </c>
      <c r="B148" t="s">
        <v>73</v>
      </c>
      <c r="C148" t="s">
        <v>218</v>
      </c>
      <c r="D148" t="s">
        <v>273</v>
      </c>
      <c r="E148">
        <v>55</v>
      </c>
    </row>
    <row r="149" spans="1:5" x14ac:dyDescent="0.25">
      <c r="A149" t="s">
        <v>19</v>
      </c>
      <c r="B149" t="s">
        <v>30</v>
      </c>
      <c r="C149" t="s">
        <v>358</v>
      </c>
      <c r="D149" t="s">
        <v>397</v>
      </c>
      <c r="E149">
        <v>53</v>
      </c>
    </row>
    <row r="150" spans="1:5" x14ac:dyDescent="0.25">
      <c r="A150" t="s">
        <v>16</v>
      </c>
      <c r="B150" t="s">
        <v>18</v>
      </c>
      <c r="C150" t="s">
        <v>298</v>
      </c>
      <c r="D150" t="s">
        <v>345</v>
      </c>
      <c r="E150">
        <v>53</v>
      </c>
    </row>
    <row r="151" spans="1:5" x14ac:dyDescent="0.25">
      <c r="A151" t="s">
        <v>43</v>
      </c>
      <c r="B151" t="s">
        <v>258</v>
      </c>
      <c r="C151" t="s">
        <v>282</v>
      </c>
      <c r="D151" t="s">
        <v>324</v>
      </c>
      <c r="E151">
        <v>52</v>
      </c>
    </row>
    <row r="152" spans="1:5" x14ac:dyDescent="0.25">
      <c r="A152" t="s">
        <v>16</v>
      </c>
      <c r="B152" t="s">
        <v>295</v>
      </c>
      <c r="C152" t="s">
        <v>351</v>
      </c>
      <c r="D152" t="s">
        <v>388</v>
      </c>
      <c r="E152">
        <v>52</v>
      </c>
    </row>
    <row r="153" spans="1:5" x14ac:dyDescent="0.25">
      <c r="A153" t="s">
        <v>19</v>
      </c>
      <c r="B153" t="s">
        <v>28</v>
      </c>
      <c r="C153" t="s">
        <v>233</v>
      </c>
      <c r="D153" t="s">
        <v>286</v>
      </c>
      <c r="E153">
        <v>50</v>
      </c>
    </row>
    <row r="154" spans="1:5" x14ac:dyDescent="0.25">
      <c r="A154" t="s">
        <v>19</v>
      </c>
      <c r="B154" t="s">
        <v>76</v>
      </c>
      <c r="C154" t="s">
        <v>70</v>
      </c>
      <c r="D154" t="s">
        <v>185</v>
      </c>
      <c r="E154">
        <v>49</v>
      </c>
    </row>
    <row r="155" spans="1:5" x14ac:dyDescent="0.25">
      <c r="A155" t="s">
        <v>26</v>
      </c>
      <c r="B155" t="s">
        <v>93</v>
      </c>
      <c r="C155" t="s">
        <v>223</v>
      </c>
      <c r="D155" t="s">
        <v>273</v>
      </c>
      <c r="E155">
        <v>49</v>
      </c>
    </row>
    <row r="156" spans="1:5" x14ac:dyDescent="0.25">
      <c r="A156" t="s">
        <v>38</v>
      </c>
      <c r="B156" t="s">
        <v>28</v>
      </c>
      <c r="C156" t="s">
        <v>292</v>
      </c>
      <c r="D156" t="s">
        <v>332</v>
      </c>
      <c r="E156">
        <v>49</v>
      </c>
    </row>
    <row r="157" spans="1:5" x14ac:dyDescent="0.25">
      <c r="A157" t="s">
        <v>13</v>
      </c>
      <c r="B157" t="s">
        <v>216</v>
      </c>
      <c r="C157" t="s">
        <v>228</v>
      </c>
      <c r="D157" t="s">
        <v>277</v>
      </c>
      <c r="E157">
        <v>46</v>
      </c>
    </row>
    <row r="158" spans="1:5" x14ac:dyDescent="0.25">
      <c r="A158" t="s">
        <v>19</v>
      </c>
      <c r="B158" t="s">
        <v>71</v>
      </c>
      <c r="C158" t="s">
        <v>70</v>
      </c>
      <c r="D158" t="s">
        <v>170</v>
      </c>
      <c r="E158">
        <v>42</v>
      </c>
    </row>
    <row r="159" spans="1:5" x14ac:dyDescent="0.25">
      <c r="A159" t="s">
        <v>11</v>
      </c>
      <c r="B159" t="s">
        <v>34</v>
      </c>
      <c r="C159" t="s">
        <v>224</v>
      </c>
      <c r="D159" t="s">
        <v>262</v>
      </c>
      <c r="E159">
        <v>41</v>
      </c>
    </row>
    <row r="160" spans="1:5" x14ac:dyDescent="0.25">
      <c r="A160" t="s">
        <v>19</v>
      </c>
      <c r="B160" t="s">
        <v>148</v>
      </c>
      <c r="C160" t="s">
        <v>381</v>
      </c>
      <c r="D160" t="s">
        <v>412</v>
      </c>
      <c r="E160">
        <v>40</v>
      </c>
    </row>
    <row r="161" spans="1:5" x14ac:dyDescent="0.25">
      <c r="A161" t="s">
        <v>11</v>
      </c>
      <c r="B161" t="s">
        <v>211</v>
      </c>
      <c r="C161" t="s">
        <v>404</v>
      </c>
      <c r="D161" t="s">
        <v>438</v>
      </c>
      <c r="E161">
        <v>39</v>
      </c>
    </row>
    <row r="162" spans="1:5" x14ac:dyDescent="0.25">
      <c r="A162" t="s">
        <v>29</v>
      </c>
      <c r="B162" t="s">
        <v>119</v>
      </c>
      <c r="C162" t="s">
        <v>382</v>
      </c>
      <c r="D162" t="s">
        <v>412</v>
      </c>
      <c r="E162">
        <v>39</v>
      </c>
    </row>
    <row r="163" spans="1:5" x14ac:dyDescent="0.25">
      <c r="A163" t="s">
        <v>13</v>
      </c>
      <c r="B163" t="s">
        <v>100</v>
      </c>
      <c r="C163" t="s">
        <v>378</v>
      </c>
      <c r="D163" t="s">
        <v>404</v>
      </c>
      <c r="E163">
        <v>39</v>
      </c>
    </row>
    <row r="164" spans="1:5" x14ac:dyDescent="0.25">
      <c r="A164" t="s">
        <v>19</v>
      </c>
      <c r="B164" t="s">
        <v>215</v>
      </c>
      <c r="C164" t="s">
        <v>214</v>
      </c>
      <c r="D164" t="s">
        <v>247</v>
      </c>
      <c r="E164">
        <v>35</v>
      </c>
    </row>
    <row r="165" spans="1:5" x14ac:dyDescent="0.25">
      <c r="A165" t="s">
        <v>13</v>
      </c>
      <c r="B165" t="s">
        <v>37</v>
      </c>
      <c r="C165" t="s">
        <v>35</v>
      </c>
      <c r="D165" t="s">
        <v>132</v>
      </c>
      <c r="E165">
        <v>34</v>
      </c>
    </row>
    <row r="166" spans="1:5" x14ac:dyDescent="0.25">
      <c r="A166" t="s">
        <v>8</v>
      </c>
      <c r="B166" t="s">
        <v>232</v>
      </c>
      <c r="C166" t="s">
        <v>371</v>
      </c>
      <c r="D166" t="s">
        <v>394</v>
      </c>
      <c r="E166">
        <v>33</v>
      </c>
    </row>
    <row r="167" spans="1:5" x14ac:dyDescent="0.25">
      <c r="A167" t="s">
        <v>11</v>
      </c>
      <c r="B167" t="s">
        <v>257</v>
      </c>
      <c r="C167" t="s">
        <v>260</v>
      </c>
      <c r="D167" t="s">
        <v>292</v>
      </c>
      <c r="E167">
        <v>32</v>
      </c>
    </row>
    <row r="168" spans="1:5" x14ac:dyDescent="0.25">
      <c r="A168" t="s">
        <v>13</v>
      </c>
      <c r="B168" t="s">
        <v>275</v>
      </c>
      <c r="C168" t="s">
        <v>345</v>
      </c>
      <c r="D168" t="s">
        <v>369</v>
      </c>
      <c r="E168">
        <v>32</v>
      </c>
    </row>
    <row r="169" spans="1:5" x14ac:dyDescent="0.25">
      <c r="A169" t="s">
        <v>55</v>
      </c>
      <c r="B169" t="s">
        <v>115</v>
      </c>
      <c r="C169" t="s">
        <v>110</v>
      </c>
      <c r="D169" t="s">
        <v>179</v>
      </c>
      <c r="E169">
        <v>30</v>
      </c>
    </row>
    <row r="170" spans="1:5" x14ac:dyDescent="0.25">
      <c r="A170" t="s">
        <v>8</v>
      </c>
      <c r="B170" t="s">
        <v>126</v>
      </c>
      <c r="C170" t="s">
        <v>394</v>
      </c>
      <c r="D170" t="s">
        <v>418</v>
      </c>
      <c r="E170">
        <v>30</v>
      </c>
    </row>
    <row r="171" spans="1:5" x14ac:dyDescent="0.25">
      <c r="A171" t="s">
        <v>43</v>
      </c>
      <c r="B171" t="s">
        <v>264</v>
      </c>
      <c r="C171" t="s">
        <v>310</v>
      </c>
      <c r="D171" t="s">
        <v>332</v>
      </c>
      <c r="E171">
        <v>28</v>
      </c>
    </row>
    <row r="172" spans="1:5" x14ac:dyDescent="0.25">
      <c r="A172" t="s">
        <v>13</v>
      </c>
      <c r="B172" t="s">
        <v>149</v>
      </c>
      <c r="C172" t="s">
        <v>147</v>
      </c>
      <c r="D172" t="s">
        <v>198</v>
      </c>
      <c r="E172">
        <v>25</v>
      </c>
    </row>
    <row r="173" spans="1:5" x14ac:dyDescent="0.25">
      <c r="A173" t="s">
        <v>8</v>
      </c>
      <c r="B173" t="s">
        <v>220</v>
      </c>
      <c r="C173" t="s">
        <v>373</v>
      </c>
      <c r="D173" t="s">
        <v>388</v>
      </c>
      <c r="E173">
        <v>24</v>
      </c>
    </row>
    <row r="174" spans="1:5" x14ac:dyDescent="0.25">
      <c r="A174" t="s">
        <v>5</v>
      </c>
      <c r="B174" t="s">
        <v>28</v>
      </c>
      <c r="C174" t="s">
        <v>170</v>
      </c>
      <c r="D174" t="s">
        <v>205</v>
      </c>
      <c r="E174">
        <v>21</v>
      </c>
    </row>
    <row r="175" spans="1:5" x14ac:dyDescent="0.25">
      <c r="A175" t="s">
        <v>5</v>
      </c>
      <c r="B175" t="s">
        <v>121</v>
      </c>
      <c r="C175" t="s">
        <v>389</v>
      </c>
      <c r="D175" t="s">
        <v>404</v>
      </c>
      <c r="E175">
        <v>20</v>
      </c>
    </row>
    <row r="176" spans="1:5" x14ac:dyDescent="0.25">
      <c r="A176" t="s">
        <v>19</v>
      </c>
      <c r="B176" t="s">
        <v>193</v>
      </c>
      <c r="C176" t="s">
        <v>389</v>
      </c>
      <c r="D176" t="s">
        <v>404</v>
      </c>
      <c r="E176">
        <v>20</v>
      </c>
    </row>
    <row r="177" spans="1:5" x14ac:dyDescent="0.25">
      <c r="A177" t="s">
        <v>21</v>
      </c>
      <c r="B177" t="s">
        <v>116</v>
      </c>
      <c r="C177" t="s">
        <v>117</v>
      </c>
      <c r="D177" t="s">
        <v>152</v>
      </c>
      <c r="E177">
        <v>20</v>
      </c>
    </row>
    <row r="178" spans="1:5" x14ac:dyDescent="0.25">
      <c r="A178" t="s">
        <v>19</v>
      </c>
      <c r="B178" t="s">
        <v>32</v>
      </c>
      <c r="C178" t="s">
        <v>330</v>
      </c>
      <c r="D178" t="s">
        <v>345</v>
      </c>
      <c r="E178">
        <v>15</v>
      </c>
    </row>
    <row r="179" spans="1:5" x14ac:dyDescent="0.25">
      <c r="A179" t="s">
        <v>13</v>
      </c>
      <c r="B179" t="s">
        <v>144</v>
      </c>
      <c r="C179" t="s">
        <v>401</v>
      </c>
      <c r="D179" t="s">
        <v>413</v>
      </c>
      <c r="E179">
        <v>14</v>
      </c>
    </row>
    <row r="180" spans="1:5" x14ac:dyDescent="0.25">
      <c r="A180" t="s">
        <v>11</v>
      </c>
      <c r="B180" t="s">
        <v>119</v>
      </c>
      <c r="C180" t="s">
        <v>124</v>
      </c>
      <c r="D180" t="s">
        <v>150</v>
      </c>
      <c r="E180">
        <v>11</v>
      </c>
    </row>
    <row r="181" spans="1:5" x14ac:dyDescent="0.25">
      <c r="A181" t="s">
        <v>19</v>
      </c>
      <c r="B181" t="s">
        <v>237</v>
      </c>
      <c r="C181" t="s">
        <v>332</v>
      </c>
      <c r="D181" t="s">
        <v>341</v>
      </c>
      <c r="E181">
        <v>8</v>
      </c>
    </row>
    <row r="182" spans="1:5" x14ac:dyDescent="0.25">
      <c r="A182" t="s">
        <v>38</v>
      </c>
      <c r="B182" t="s">
        <v>22</v>
      </c>
      <c r="C182" t="s">
        <v>386</v>
      </c>
      <c r="D182" t="s">
        <v>388</v>
      </c>
      <c r="E182">
        <v>5</v>
      </c>
    </row>
    <row r="183" spans="1:5" x14ac:dyDescent="0.25">
      <c r="A183" t="s">
        <v>8</v>
      </c>
      <c r="B183" t="s">
        <v>54</v>
      </c>
      <c r="C183" t="s">
        <v>236</v>
      </c>
      <c r="D183" t="s">
        <v>241</v>
      </c>
      <c r="E183">
        <v>4</v>
      </c>
    </row>
    <row r="184" spans="1:5" x14ac:dyDescent="0.25">
      <c r="A184" t="s">
        <v>21</v>
      </c>
      <c r="B184" t="s">
        <v>269</v>
      </c>
      <c r="C184" t="s">
        <v>287</v>
      </c>
      <c r="D184" t="s">
        <v>291</v>
      </c>
      <c r="E184">
        <v>4</v>
      </c>
    </row>
    <row r="185" spans="1:5" x14ac:dyDescent="0.25">
      <c r="A185" t="s">
        <v>11</v>
      </c>
      <c r="B185" t="s">
        <v>98</v>
      </c>
      <c r="C185" t="s">
        <v>403</v>
      </c>
      <c r="D185" t="s">
        <v>404</v>
      </c>
      <c r="E185">
        <v>3</v>
      </c>
    </row>
    <row r="186" spans="1:5" x14ac:dyDescent="0.25">
      <c r="A186" t="s">
        <v>13</v>
      </c>
      <c r="B186" t="s">
        <v>65</v>
      </c>
      <c r="C186" t="s">
        <v>450</v>
      </c>
      <c r="D186" t="s">
        <v>452</v>
      </c>
      <c r="E186">
        <v>2</v>
      </c>
    </row>
    <row r="187" spans="1:5" x14ac:dyDescent="0.25">
      <c r="A187" t="s">
        <v>5</v>
      </c>
      <c r="B187" t="s">
        <v>193</v>
      </c>
      <c r="C187" t="s">
        <v>310</v>
      </c>
      <c r="D187" t="s">
        <v>310</v>
      </c>
      <c r="E187">
        <v>0</v>
      </c>
    </row>
    <row r="188" spans="1:5" x14ac:dyDescent="0.25">
      <c r="A188" t="s">
        <v>5</v>
      </c>
      <c r="B188" t="s">
        <v>85</v>
      </c>
      <c r="C188" t="s">
        <v>316</v>
      </c>
      <c r="D188" t="s">
        <v>316</v>
      </c>
      <c r="E188">
        <v>0</v>
      </c>
    </row>
    <row r="189" spans="1:5" x14ac:dyDescent="0.25">
      <c r="A189" t="s">
        <v>5</v>
      </c>
      <c r="B189" t="s">
        <v>171</v>
      </c>
      <c r="C189" t="s">
        <v>371</v>
      </c>
      <c r="D189" t="s">
        <v>371</v>
      </c>
      <c r="E189">
        <v>0</v>
      </c>
    </row>
    <row r="190" spans="1:5" x14ac:dyDescent="0.25">
      <c r="A190" t="s">
        <v>5</v>
      </c>
      <c r="B190" t="s">
        <v>289</v>
      </c>
      <c r="C190" t="s">
        <v>306</v>
      </c>
      <c r="D190" t="s">
        <v>306</v>
      </c>
      <c r="E190">
        <v>0</v>
      </c>
    </row>
    <row r="191" spans="1:5" x14ac:dyDescent="0.25">
      <c r="A191" t="s">
        <v>5</v>
      </c>
      <c r="B191" t="s">
        <v>232</v>
      </c>
      <c r="C191" t="s">
        <v>356</v>
      </c>
      <c r="D191" t="s">
        <v>356</v>
      </c>
      <c r="E191">
        <v>0</v>
      </c>
    </row>
    <row r="192" spans="1:5" x14ac:dyDescent="0.25">
      <c r="A192" t="s">
        <v>5</v>
      </c>
      <c r="B192" t="s">
        <v>269</v>
      </c>
      <c r="C192" t="s">
        <v>268</v>
      </c>
      <c r="D192" t="s">
        <v>268</v>
      </c>
      <c r="E192">
        <v>0</v>
      </c>
    </row>
    <row r="193" spans="1:5" x14ac:dyDescent="0.25">
      <c r="A193" t="s">
        <v>5</v>
      </c>
      <c r="B193" t="s">
        <v>274</v>
      </c>
      <c r="C193" t="s">
        <v>307</v>
      </c>
      <c r="D193" t="s">
        <v>307</v>
      </c>
      <c r="E193">
        <v>0</v>
      </c>
    </row>
    <row r="194" spans="1:5" x14ac:dyDescent="0.25">
      <c r="A194" t="s">
        <v>5</v>
      </c>
      <c r="B194" t="s">
        <v>51</v>
      </c>
      <c r="C194" t="s">
        <v>316</v>
      </c>
      <c r="D194" t="s">
        <v>316</v>
      </c>
      <c r="E194">
        <v>0</v>
      </c>
    </row>
    <row r="195" spans="1:5" x14ac:dyDescent="0.25">
      <c r="A195" t="s">
        <v>5</v>
      </c>
      <c r="B195" t="s">
        <v>9</v>
      </c>
      <c r="C195" t="s">
        <v>182</v>
      </c>
      <c r="D195" t="s">
        <v>182</v>
      </c>
      <c r="E195">
        <v>0</v>
      </c>
    </row>
    <row r="196" spans="1:5" x14ac:dyDescent="0.25">
      <c r="A196" t="s">
        <v>5</v>
      </c>
      <c r="B196" t="s">
        <v>64</v>
      </c>
      <c r="C196" t="s">
        <v>432</v>
      </c>
      <c r="D196" t="s">
        <v>432</v>
      </c>
      <c r="E196">
        <v>0</v>
      </c>
    </row>
    <row r="197" spans="1:5" x14ac:dyDescent="0.25">
      <c r="A197" t="s">
        <v>5</v>
      </c>
      <c r="B197" t="s">
        <v>112</v>
      </c>
      <c r="C197" t="s">
        <v>301</v>
      </c>
      <c r="D197" t="s">
        <v>301</v>
      </c>
      <c r="E197">
        <v>0</v>
      </c>
    </row>
    <row r="198" spans="1:5" x14ac:dyDescent="0.25">
      <c r="A198" t="s">
        <v>5</v>
      </c>
      <c r="B198" t="s">
        <v>264</v>
      </c>
      <c r="C198" t="s">
        <v>418</v>
      </c>
      <c r="D198" t="s">
        <v>418</v>
      </c>
      <c r="E198">
        <v>0</v>
      </c>
    </row>
    <row r="199" spans="1:5" x14ac:dyDescent="0.25">
      <c r="A199" t="s">
        <v>5</v>
      </c>
      <c r="B199" t="s">
        <v>134</v>
      </c>
      <c r="C199" t="s">
        <v>226</v>
      </c>
      <c r="D199" t="s">
        <v>226</v>
      </c>
      <c r="E199">
        <v>0</v>
      </c>
    </row>
    <row r="200" spans="1:5" x14ac:dyDescent="0.25">
      <c r="A200" t="s">
        <v>5</v>
      </c>
      <c r="B200" t="s">
        <v>34</v>
      </c>
      <c r="C200" t="s">
        <v>312</v>
      </c>
      <c r="D200" t="s">
        <v>312</v>
      </c>
      <c r="E200">
        <v>0</v>
      </c>
    </row>
    <row r="201" spans="1:5" x14ac:dyDescent="0.25">
      <c r="A201" t="s">
        <v>5</v>
      </c>
      <c r="B201" t="s">
        <v>342</v>
      </c>
      <c r="C201" t="s">
        <v>418</v>
      </c>
      <c r="D201" t="s">
        <v>418</v>
      </c>
      <c r="E201">
        <v>0</v>
      </c>
    </row>
    <row r="202" spans="1:5" x14ac:dyDescent="0.25">
      <c r="A202" t="s">
        <v>5</v>
      </c>
      <c r="B202" t="s">
        <v>216</v>
      </c>
      <c r="C202" t="s">
        <v>397</v>
      </c>
      <c r="D202" t="s">
        <v>397</v>
      </c>
      <c r="E202">
        <v>0</v>
      </c>
    </row>
    <row r="203" spans="1:5" x14ac:dyDescent="0.25">
      <c r="A203" t="s">
        <v>5</v>
      </c>
      <c r="B203" t="s">
        <v>410</v>
      </c>
      <c r="C203" t="s">
        <v>445</v>
      </c>
      <c r="D203" t="s">
        <v>445</v>
      </c>
      <c r="E203">
        <v>0</v>
      </c>
    </row>
    <row r="204" spans="1:5" x14ac:dyDescent="0.25">
      <c r="A204" t="s">
        <v>5</v>
      </c>
      <c r="B204" t="s">
        <v>167</v>
      </c>
      <c r="C204" t="s">
        <v>256</v>
      </c>
      <c r="D204" t="s">
        <v>256</v>
      </c>
      <c r="E204">
        <v>0</v>
      </c>
    </row>
    <row r="205" spans="1:5" x14ac:dyDescent="0.25">
      <c r="A205" t="s">
        <v>5</v>
      </c>
      <c r="B205" t="s">
        <v>299</v>
      </c>
      <c r="C205" t="s">
        <v>300</v>
      </c>
      <c r="D205" t="s">
        <v>300</v>
      </c>
      <c r="E205">
        <v>0</v>
      </c>
    </row>
    <row r="206" spans="1:5" x14ac:dyDescent="0.25">
      <c r="A206" t="s">
        <v>5</v>
      </c>
      <c r="B206" t="s">
        <v>116</v>
      </c>
      <c r="C206" t="s">
        <v>233</v>
      </c>
      <c r="D206" t="s">
        <v>233</v>
      </c>
      <c r="E206">
        <v>0</v>
      </c>
    </row>
    <row r="207" spans="1:5" x14ac:dyDescent="0.25">
      <c r="A207" t="s">
        <v>5</v>
      </c>
      <c r="B207" t="s">
        <v>115</v>
      </c>
      <c r="C207" t="s">
        <v>427</v>
      </c>
      <c r="D207" t="s">
        <v>427</v>
      </c>
      <c r="E207">
        <v>0</v>
      </c>
    </row>
    <row r="208" spans="1:5" x14ac:dyDescent="0.25">
      <c r="A208" t="s">
        <v>5</v>
      </c>
      <c r="B208" t="s">
        <v>177</v>
      </c>
      <c r="C208" t="s">
        <v>313</v>
      </c>
      <c r="D208" t="s">
        <v>313</v>
      </c>
      <c r="E208">
        <v>0</v>
      </c>
    </row>
    <row r="209" spans="1:5" x14ac:dyDescent="0.25">
      <c r="A209" t="s">
        <v>5</v>
      </c>
      <c r="B209" t="s">
        <v>278</v>
      </c>
      <c r="C209" t="s">
        <v>277</v>
      </c>
      <c r="D209" t="s">
        <v>277</v>
      </c>
      <c r="E209">
        <v>0</v>
      </c>
    </row>
    <row r="210" spans="1:5" x14ac:dyDescent="0.25">
      <c r="A210" t="s">
        <v>5</v>
      </c>
      <c r="B210" t="s">
        <v>257</v>
      </c>
      <c r="C210" t="s">
        <v>262</v>
      </c>
      <c r="D210" t="s">
        <v>262</v>
      </c>
      <c r="E210">
        <v>0</v>
      </c>
    </row>
    <row r="211" spans="1:5" x14ac:dyDescent="0.25">
      <c r="A211" t="s">
        <v>5</v>
      </c>
      <c r="B211" t="s">
        <v>67</v>
      </c>
      <c r="C211" t="s">
        <v>350</v>
      </c>
      <c r="D211" t="s">
        <v>350</v>
      </c>
      <c r="E211">
        <v>0</v>
      </c>
    </row>
    <row r="212" spans="1:5" x14ac:dyDescent="0.25">
      <c r="A212" t="s">
        <v>5</v>
      </c>
      <c r="B212" t="s">
        <v>123</v>
      </c>
      <c r="C212" t="s">
        <v>292</v>
      </c>
      <c r="D212" t="s">
        <v>292</v>
      </c>
      <c r="E212">
        <v>0</v>
      </c>
    </row>
    <row r="213" spans="1:5" x14ac:dyDescent="0.25">
      <c r="A213" t="s">
        <v>5</v>
      </c>
      <c r="B213" t="s">
        <v>76</v>
      </c>
      <c r="C213" t="s">
        <v>157</v>
      </c>
      <c r="D213" t="s">
        <v>157</v>
      </c>
      <c r="E213">
        <v>0</v>
      </c>
    </row>
    <row r="214" spans="1:5" x14ac:dyDescent="0.25">
      <c r="A214" t="s">
        <v>5</v>
      </c>
      <c r="B214" t="s">
        <v>47</v>
      </c>
      <c r="C214" t="s">
        <v>182</v>
      </c>
      <c r="D214" t="s">
        <v>182</v>
      </c>
      <c r="E214">
        <v>0</v>
      </c>
    </row>
    <row r="215" spans="1:5" x14ac:dyDescent="0.25">
      <c r="A215" t="s">
        <v>5</v>
      </c>
      <c r="B215" t="s">
        <v>33</v>
      </c>
      <c r="C215" t="s">
        <v>262</v>
      </c>
      <c r="D215" t="s">
        <v>262</v>
      </c>
      <c r="E215">
        <v>0</v>
      </c>
    </row>
    <row r="216" spans="1:5" x14ac:dyDescent="0.25">
      <c r="A216" t="s">
        <v>5</v>
      </c>
      <c r="B216" t="s">
        <v>319</v>
      </c>
      <c r="C216" t="s">
        <v>318</v>
      </c>
      <c r="D216" t="s">
        <v>318</v>
      </c>
      <c r="E216">
        <v>0</v>
      </c>
    </row>
    <row r="217" spans="1:5" x14ac:dyDescent="0.25">
      <c r="A217" t="s">
        <v>5</v>
      </c>
      <c r="B217" t="s">
        <v>126</v>
      </c>
      <c r="C217" t="s">
        <v>367</v>
      </c>
      <c r="D217" t="s">
        <v>367</v>
      </c>
      <c r="E217">
        <v>0</v>
      </c>
    </row>
    <row r="218" spans="1:5" x14ac:dyDescent="0.25">
      <c r="A218" t="s">
        <v>5</v>
      </c>
      <c r="B218" t="s">
        <v>109</v>
      </c>
      <c r="C218" t="s">
        <v>407</v>
      </c>
      <c r="D218" t="s">
        <v>407</v>
      </c>
      <c r="E218">
        <v>0</v>
      </c>
    </row>
    <row r="219" spans="1:5" x14ac:dyDescent="0.25">
      <c r="A219" t="s">
        <v>5</v>
      </c>
      <c r="B219" t="s">
        <v>275</v>
      </c>
      <c r="C219" t="s">
        <v>338</v>
      </c>
      <c r="D219" t="s">
        <v>338</v>
      </c>
      <c r="E219">
        <v>0</v>
      </c>
    </row>
    <row r="220" spans="1:5" x14ac:dyDescent="0.25">
      <c r="A220" t="s">
        <v>5</v>
      </c>
      <c r="B220" t="s">
        <v>71</v>
      </c>
      <c r="C220" t="s">
        <v>284</v>
      </c>
      <c r="D220" t="s">
        <v>284</v>
      </c>
      <c r="E220">
        <v>0</v>
      </c>
    </row>
    <row r="221" spans="1:5" x14ac:dyDescent="0.25">
      <c r="A221" t="s">
        <v>5</v>
      </c>
      <c r="B221" t="s">
        <v>119</v>
      </c>
      <c r="C221" t="s">
        <v>120</v>
      </c>
      <c r="D221" t="s">
        <v>120</v>
      </c>
      <c r="E221">
        <v>0</v>
      </c>
    </row>
    <row r="222" spans="1:5" x14ac:dyDescent="0.25">
      <c r="A222" t="s">
        <v>5</v>
      </c>
      <c r="B222" t="s">
        <v>165</v>
      </c>
      <c r="C222" t="s">
        <v>445</v>
      </c>
      <c r="D222" t="s">
        <v>445</v>
      </c>
      <c r="E222">
        <v>0</v>
      </c>
    </row>
    <row r="223" spans="1:5" x14ac:dyDescent="0.25">
      <c r="A223" t="s">
        <v>5</v>
      </c>
      <c r="B223" t="s">
        <v>88</v>
      </c>
      <c r="C223" t="s">
        <v>273</v>
      </c>
      <c r="D223" t="s">
        <v>273</v>
      </c>
      <c r="E223">
        <v>0</v>
      </c>
    </row>
    <row r="224" spans="1:5" x14ac:dyDescent="0.25">
      <c r="A224" t="s">
        <v>5</v>
      </c>
      <c r="B224" t="s">
        <v>174</v>
      </c>
      <c r="C224" t="s">
        <v>170</v>
      </c>
      <c r="D224" t="s">
        <v>170</v>
      </c>
      <c r="E224">
        <v>0</v>
      </c>
    </row>
    <row r="225" spans="1:5" x14ac:dyDescent="0.25">
      <c r="A225" t="s">
        <v>5</v>
      </c>
      <c r="B225" t="s">
        <v>248</v>
      </c>
      <c r="C225" t="s">
        <v>287</v>
      </c>
      <c r="D225" t="s">
        <v>287</v>
      </c>
      <c r="E225">
        <v>0</v>
      </c>
    </row>
    <row r="226" spans="1:5" x14ac:dyDescent="0.25">
      <c r="A226" t="s">
        <v>5</v>
      </c>
      <c r="B226" t="s">
        <v>183</v>
      </c>
      <c r="C226" t="s">
        <v>182</v>
      </c>
      <c r="D226" t="s">
        <v>182</v>
      </c>
      <c r="E226">
        <v>0</v>
      </c>
    </row>
    <row r="227" spans="1:5" x14ac:dyDescent="0.25">
      <c r="A227" t="s">
        <v>5</v>
      </c>
      <c r="B227" t="s">
        <v>255</v>
      </c>
      <c r="C227" t="s">
        <v>369</v>
      </c>
      <c r="D227" t="s">
        <v>369</v>
      </c>
      <c r="E227">
        <v>0</v>
      </c>
    </row>
    <row r="228" spans="1:5" x14ac:dyDescent="0.25">
      <c r="A228" t="s">
        <v>5</v>
      </c>
      <c r="B228" t="s">
        <v>194</v>
      </c>
      <c r="C228" t="s">
        <v>192</v>
      </c>
      <c r="D228" t="s">
        <v>192</v>
      </c>
      <c r="E228">
        <v>0</v>
      </c>
    </row>
    <row r="229" spans="1:5" x14ac:dyDescent="0.25">
      <c r="A229" t="s">
        <v>5</v>
      </c>
      <c r="B229" t="s">
        <v>118</v>
      </c>
      <c r="C229" t="s">
        <v>133</v>
      </c>
      <c r="D229" t="s">
        <v>133</v>
      </c>
      <c r="E229">
        <v>0</v>
      </c>
    </row>
    <row r="230" spans="1:5" x14ac:dyDescent="0.25">
      <c r="A230" t="s">
        <v>5</v>
      </c>
      <c r="B230" t="s">
        <v>258</v>
      </c>
      <c r="C230" t="s">
        <v>256</v>
      </c>
      <c r="D230" t="s">
        <v>256</v>
      </c>
      <c r="E230">
        <v>0</v>
      </c>
    </row>
    <row r="231" spans="1:5" x14ac:dyDescent="0.25">
      <c r="A231" t="s">
        <v>5</v>
      </c>
      <c r="B231" t="s">
        <v>156</v>
      </c>
      <c r="C231" t="s">
        <v>298</v>
      </c>
      <c r="D231" t="s">
        <v>298</v>
      </c>
      <c r="E231">
        <v>0</v>
      </c>
    </row>
    <row r="232" spans="1:5" x14ac:dyDescent="0.25">
      <c r="A232" t="s">
        <v>5</v>
      </c>
      <c r="B232" t="s">
        <v>12</v>
      </c>
      <c r="C232" t="s">
        <v>322</v>
      </c>
      <c r="D232" t="s">
        <v>322</v>
      </c>
      <c r="E232">
        <v>0</v>
      </c>
    </row>
    <row r="233" spans="1:5" x14ac:dyDescent="0.25">
      <c r="A233" t="s">
        <v>5</v>
      </c>
      <c r="B233" t="s">
        <v>276</v>
      </c>
      <c r="C233" t="s">
        <v>273</v>
      </c>
      <c r="D233" t="s">
        <v>273</v>
      </c>
      <c r="E233">
        <v>0</v>
      </c>
    </row>
    <row r="234" spans="1:5" x14ac:dyDescent="0.25">
      <c r="A234" t="s">
        <v>43</v>
      </c>
      <c r="B234" t="s">
        <v>190</v>
      </c>
      <c r="C234" t="s">
        <v>368</v>
      </c>
      <c r="D234" t="s">
        <v>368</v>
      </c>
      <c r="E234">
        <v>0</v>
      </c>
    </row>
    <row r="235" spans="1:5" x14ac:dyDescent="0.25">
      <c r="A235" t="s">
        <v>43</v>
      </c>
      <c r="B235" t="s">
        <v>193</v>
      </c>
      <c r="C235" t="s">
        <v>422</v>
      </c>
      <c r="D235" t="s">
        <v>422</v>
      </c>
      <c r="E235">
        <v>0</v>
      </c>
    </row>
    <row r="236" spans="1:5" x14ac:dyDescent="0.25">
      <c r="A236" t="s">
        <v>43</v>
      </c>
      <c r="B236" t="s">
        <v>85</v>
      </c>
      <c r="C236" t="s">
        <v>279</v>
      </c>
      <c r="D236" t="s">
        <v>279</v>
      </c>
      <c r="E236">
        <v>0</v>
      </c>
    </row>
    <row r="237" spans="1:5" x14ac:dyDescent="0.25">
      <c r="A237" t="s">
        <v>43</v>
      </c>
      <c r="B237" t="s">
        <v>14</v>
      </c>
      <c r="C237" t="s">
        <v>371</v>
      </c>
      <c r="D237" t="s">
        <v>371</v>
      </c>
      <c r="E237">
        <v>0</v>
      </c>
    </row>
    <row r="238" spans="1:5" x14ac:dyDescent="0.25">
      <c r="A238" t="s">
        <v>43</v>
      </c>
      <c r="B238" t="s">
        <v>98</v>
      </c>
      <c r="C238" t="s">
        <v>95</v>
      </c>
      <c r="D238" t="s">
        <v>95</v>
      </c>
      <c r="E238">
        <v>0</v>
      </c>
    </row>
    <row r="239" spans="1:5" x14ac:dyDescent="0.25">
      <c r="A239" t="s">
        <v>43</v>
      </c>
      <c r="B239" t="s">
        <v>274</v>
      </c>
      <c r="C239" t="s">
        <v>368</v>
      </c>
      <c r="D239" t="s">
        <v>368</v>
      </c>
      <c r="E239">
        <v>0</v>
      </c>
    </row>
    <row r="240" spans="1:5" x14ac:dyDescent="0.25">
      <c r="A240" t="s">
        <v>43</v>
      </c>
      <c r="B240" t="s">
        <v>187</v>
      </c>
      <c r="C240" t="s">
        <v>270</v>
      </c>
      <c r="D240" t="s">
        <v>270</v>
      </c>
      <c r="E240">
        <v>0</v>
      </c>
    </row>
    <row r="241" spans="1:5" x14ac:dyDescent="0.25">
      <c r="A241" t="s">
        <v>43</v>
      </c>
      <c r="B241" t="s">
        <v>9</v>
      </c>
      <c r="C241" t="s">
        <v>322</v>
      </c>
      <c r="D241" t="s">
        <v>322</v>
      </c>
      <c r="E241">
        <v>0</v>
      </c>
    </row>
    <row r="242" spans="1:5" x14ac:dyDescent="0.25">
      <c r="A242" t="s">
        <v>43</v>
      </c>
      <c r="B242" t="s">
        <v>74</v>
      </c>
      <c r="C242" t="s">
        <v>317</v>
      </c>
      <c r="D242" t="s">
        <v>317</v>
      </c>
      <c r="E242">
        <v>0</v>
      </c>
    </row>
    <row r="243" spans="1:5" x14ac:dyDescent="0.25">
      <c r="A243" t="s">
        <v>43</v>
      </c>
      <c r="B243" t="s">
        <v>294</v>
      </c>
      <c r="C243" t="s">
        <v>390</v>
      </c>
      <c r="D243" t="s">
        <v>390</v>
      </c>
      <c r="E243">
        <v>0</v>
      </c>
    </row>
    <row r="244" spans="1:5" x14ac:dyDescent="0.25">
      <c r="A244" t="s">
        <v>43</v>
      </c>
      <c r="B244" t="s">
        <v>263</v>
      </c>
      <c r="C244" t="s">
        <v>332</v>
      </c>
      <c r="D244" t="s">
        <v>332</v>
      </c>
      <c r="E244">
        <v>0</v>
      </c>
    </row>
    <row r="245" spans="1:5" x14ac:dyDescent="0.25">
      <c r="A245" t="s">
        <v>43</v>
      </c>
      <c r="B245" t="s">
        <v>370</v>
      </c>
      <c r="C245" t="s">
        <v>371</v>
      </c>
      <c r="D245" t="s">
        <v>371</v>
      </c>
      <c r="E245">
        <v>0</v>
      </c>
    </row>
    <row r="246" spans="1:5" x14ac:dyDescent="0.25">
      <c r="A246" t="s">
        <v>43</v>
      </c>
      <c r="B246" t="s">
        <v>188</v>
      </c>
      <c r="C246" t="s">
        <v>425</v>
      </c>
      <c r="D246" t="s">
        <v>425</v>
      </c>
      <c r="E246">
        <v>0</v>
      </c>
    </row>
    <row r="247" spans="1:5" x14ac:dyDescent="0.25">
      <c r="A247" t="s">
        <v>43</v>
      </c>
      <c r="B247" t="s">
        <v>328</v>
      </c>
      <c r="C247" t="s">
        <v>384</v>
      </c>
      <c r="D247" t="s">
        <v>384</v>
      </c>
      <c r="E247">
        <v>0</v>
      </c>
    </row>
    <row r="248" spans="1:5" x14ac:dyDescent="0.25">
      <c r="A248" t="s">
        <v>43</v>
      </c>
      <c r="B248" t="s">
        <v>131</v>
      </c>
      <c r="C248" t="s">
        <v>128</v>
      </c>
      <c r="D248" t="s">
        <v>128</v>
      </c>
      <c r="E248">
        <v>0</v>
      </c>
    </row>
    <row r="249" spans="1:5" x14ac:dyDescent="0.25">
      <c r="A249" t="s">
        <v>43</v>
      </c>
      <c r="B249" t="s">
        <v>91</v>
      </c>
      <c r="C249" t="s">
        <v>298</v>
      </c>
      <c r="D249" t="s">
        <v>298</v>
      </c>
      <c r="E249">
        <v>0</v>
      </c>
    </row>
    <row r="250" spans="1:5" x14ac:dyDescent="0.25">
      <c r="A250" t="s">
        <v>43</v>
      </c>
      <c r="B250" t="s">
        <v>134</v>
      </c>
      <c r="C250" t="s">
        <v>133</v>
      </c>
      <c r="D250" t="s">
        <v>133</v>
      </c>
      <c r="E250">
        <v>0</v>
      </c>
    </row>
    <row r="251" spans="1:5" x14ac:dyDescent="0.25">
      <c r="A251" t="s">
        <v>43</v>
      </c>
      <c r="B251" t="s">
        <v>216</v>
      </c>
      <c r="C251" t="s">
        <v>214</v>
      </c>
      <c r="D251" t="s">
        <v>214</v>
      </c>
      <c r="E251">
        <v>0</v>
      </c>
    </row>
    <row r="252" spans="1:5" x14ac:dyDescent="0.25">
      <c r="A252" t="s">
        <v>43</v>
      </c>
      <c r="B252" t="s">
        <v>30</v>
      </c>
      <c r="C252" t="s">
        <v>404</v>
      </c>
      <c r="D252" t="s">
        <v>404</v>
      </c>
      <c r="E252">
        <v>0</v>
      </c>
    </row>
    <row r="253" spans="1:5" x14ac:dyDescent="0.25">
      <c r="A253" t="s">
        <v>43</v>
      </c>
      <c r="B253" t="s">
        <v>116</v>
      </c>
      <c r="C253" t="s">
        <v>432</v>
      </c>
      <c r="D253" t="s">
        <v>432</v>
      </c>
      <c r="E253">
        <v>0</v>
      </c>
    </row>
    <row r="254" spans="1:5" x14ac:dyDescent="0.25">
      <c r="A254" t="s">
        <v>43</v>
      </c>
      <c r="B254" t="s">
        <v>239</v>
      </c>
      <c r="C254" t="s">
        <v>238</v>
      </c>
      <c r="D254" t="s">
        <v>238</v>
      </c>
      <c r="E254">
        <v>0</v>
      </c>
    </row>
    <row r="255" spans="1:5" x14ac:dyDescent="0.25">
      <c r="A255" t="s">
        <v>43</v>
      </c>
      <c r="B255" t="s">
        <v>362</v>
      </c>
      <c r="C255" t="s">
        <v>447</v>
      </c>
      <c r="D255" t="s">
        <v>447</v>
      </c>
      <c r="E255">
        <v>0</v>
      </c>
    </row>
    <row r="256" spans="1:5" x14ac:dyDescent="0.25">
      <c r="A256" t="s">
        <v>43</v>
      </c>
      <c r="B256" t="s">
        <v>177</v>
      </c>
      <c r="C256" t="s">
        <v>182</v>
      </c>
      <c r="D256" t="s">
        <v>182</v>
      </c>
      <c r="E256">
        <v>0</v>
      </c>
    </row>
    <row r="257" spans="1:5" x14ac:dyDescent="0.25">
      <c r="A257" t="s">
        <v>43</v>
      </c>
      <c r="B257" t="s">
        <v>411</v>
      </c>
      <c r="C257" t="s">
        <v>409</v>
      </c>
      <c r="D257" t="s">
        <v>409</v>
      </c>
      <c r="E257">
        <v>0</v>
      </c>
    </row>
    <row r="258" spans="1:5" x14ac:dyDescent="0.25">
      <c r="A258" t="s">
        <v>43</v>
      </c>
      <c r="B258" t="s">
        <v>63</v>
      </c>
      <c r="C258" t="s">
        <v>357</v>
      </c>
      <c r="D258" t="s">
        <v>357</v>
      </c>
      <c r="E258">
        <v>0</v>
      </c>
    </row>
    <row r="259" spans="1:5" x14ac:dyDescent="0.25">
      <c r="A259" t="s">
        <v>43</v>
      </c>
      <c r="B259" t="s">
        <v>253</v>
      </c>
      <c r="C259" t="s">
        <v>252</v>
      </c>
      <c r="D259" t="s">
        <v>252</v>
      </c>
      <c r="E259">
        <v>0</v>
      </c>
    </row>
    <row r="260" spans="1:5" x14ac:dyDescent="0.25">
      <c r="A260" t="s">
        <v>43</v>
      </c>
      <c r="B260" t="s">
        <v>123</v>
      </c>
      <c r="C260" t="s">
        <v>316</v>
      </c>
      <c r="D260" t="s">
        <v>316</v>
      </c>
      <c r="E260">
        <v>0</v>
      </c>
    </row>
    <row r="261" spans="1:5" x14ac:dyDescent="0.25">
      <c r="A261" t="s">
        <v>43</v>
      </c>
      <c r="B261" t="s">
        <v>211</v>
      </c>
      <c r="C261" t="s">
        <v>425</v>
      </c>
      <c r="D261" t="s">
        <v>425</v>
      </c>
      <c r="E261">
        <v>0</v>
      </c>
    </row>
    <row r="262" spans="1:5" x14ac:dyDescent="0.25">
      <c r="A262" t="s">
        <v>43</v>
      </c>
      <c r="B262" t="s">
        <v>424</v>
      </c>
      <c r="C262" t="s">
        <v>423</v>
      </c>
      <c r="D262" t="s">
        <v>423</v>
      </c>
      <c r="E262">
        <v>0</v>
      </c>
    </row>
    <row r="263" spans="1:5" x14ac:dyDescent="0.25">
      <c r="A263" t="s">
        <v>43</v>
      </c>
      <c r="B263" t="s">
        <v>6</v>
      </c>
      <c r="C263" t="s">
        <v>296</v>
      </c>
      <c r="D263" t="s">
        <v>296</v>
      </c>
      <c r="E263">
        <v>0</v>
      </c>
    </row>
    <row r="264" spans="1:5" x14ac:dyDescent="0.25">
      <c r="A264" t="s">
        <v>43</v>
      </c>
      <c r="B264" t="s">
        <v>111</v>
      </c>
      <c r="C264" t="s">
        <v>386</v>
      </c>
      <c r="D264" t="s">
        <v>386</v>
      </c>
      <c r="E264">
        <v>0</v>
      </c>
    </row>
    <row r="265" spans="1:5" x14ac:dyDescent="0.25">
      <c r="A265" t="s">
        <v>43</v>
      </c>
      <c r="B265" t="s">
        <v>32</v>
      </c>
      <c r="C265" t="s">
        <v>137</v>
      </c>
      <c r="D265" t="s">
        <v>137</v>
      </c>
      <c r="E265">
        <v>0</v>
      </c>
    </row>
    <row r="266" spans="1:5" x14ac:dyDescent="0.25">
      <c r="A266" t="s">
        <v>43</v>
      </c>
      <c r="B266" t="s">
        <v>100</v>
      </c>
      <c r="C266" t="s">
        <v>280</v>
      </c>
      <c r="D266" t="s">
        <v>280</v>
      </c>
      <c r="E266">
        <v>0</v>
      </c>
    </row>
    <row r="267" spans="1:5" x14ac:dyDescent="0.25">
      <c r="A267" t="s">
        <v>43</v>
      </c>
      <c r="B267" t="s">
        <v>144</v>
      </c>
      <c r="C267" t="s">
        <v>180</v>
      </c>
      <c r="D267" t="s">
        <v>180</v>
      </c>
      <c r="E267">
        <v>0</v>
      </c>
    </row>
    <row r="268" spans="1:5" x14ac:dyDescent="0.25">
      <c r="A268" t="s">
        <v>43</v>
      </c>
      <c r="B268" t="s">
        <v>126</v>
      </c>
      <c r="C268" t="s">
        <v>132</v>
      </c>
      <c r="D268" t="s">
        <v>132</v>
      </c>
      <c r="E268">
        <v>0</v>
      </c>
    </row>
    <row r="269" spans="1:5" x14ac:dyDescent="0.25">
      <c r="A269" t="s">
        <v>43</v>
      </c>
      <c r="B269" t="s">
        <v>136</v>
      </c>
      <c r="C269" t="s">
        <v>224</v>
      </c>
      <c r="D269" t="s">
        <v>224</v>
      </c>
      <c r="E269">
        <v>0</v>
      </c>
    </row>
    <row r="270" spans="1:5" x14ac:dyDescent="0.25">
      <c r="A270" t="s">
        <v>43</v>
      </c>
      <c r="B270" t="s">
        <v>102</v>
      </c>
      <c r="C270" t="s">
        <v>322</v>
      </c>
      <c r="D270" t="s">
        <v>322</v>
      </c>
      <c r="E270">
        <v>0</v>
      </c>
    </row>
    <row r="271" spans="1:5" x14ac:dyDescent="0.25">
      <c r="A271" t="s">
        <v>43</v>
      </c>
      <c r="B271" t="s">
        <v>61</v>
      </c>
      <c r="C271" t="s">
        <v>70</v>
      </c>
      <c r="D271" t="s">
        <v>70</v>
      </c>
      <c r="E271">
        <v>0</v>
      </c>
    </row>
    <row r="272" spans="1:5" x14ac:dyDescent="0.25">
      <c r="A272" t="s">
        <v>43</v>
      </c>
      <c r="B272" t="s">
        <v>158</v>
      </c>
      <c r="C272" t="s">
        <v>224</v>
      </c>
      <c r="D272" t="s">
        <v>224</v>
      </c>
      <c r="E272">
        <v>0</v>
      </c>
    </row>
    <row r="273" spans="1:5" x14ac:dyDescent="0.25">
      <c r="A273" t="s">
        <v>43</v>
      </c>
      <c r="B273" t="s">
        <v>174</v>
      </c>
      <c r="C273" t="s">
        <v>367</v>
      </c>
      <c r="D273" t="s">
        <v>367</v>
      </c>
      <c r="E273">
        <v>0</v>
      </c>
    </row>
    <row r="274" spans="1:5" x14ac:dyDescent="0.25">
      <c r="A274" t="s">
        <v>43</v>
      </c>
      <c r="B274" t="s">
        <v>18</v>
      </c>
      <c r="C274" t="s">
        <v>301</v>
      </c>
      <c r="D274" t="s">
        <v>301</v>
      </c>
      <c r="E274">
        <v>0</v>
      </c>
    </row>
    <row r="275" spans="1:5" x14ac:dyDescent="0.25">
      <c r="A275" t="s">
        <v>43</v>
      </c>
      <c r="B275" t="s">
        <v>94</v>
      </c>
      <c r="C275" t="s">
        <v>310</v>
      </c>
      <c r="D275" t="s">
        <v>310</v>
      </c>
      <c r="E275">
        <v>0</v>
      </c>
    </row>
    <row r="276" spans="1:5" x14ac:dyDescent="0.25">
      <c r="A276" t="s">
        <v>43</v>
      </c>
      <c r="B276" t="s">
        <v>347</v>
      </c>
      <c r="C276" t="s">
        <v>349</v>
      </c>
      <c r="D276" t="s">
        <v>349</v>
      </c>
      <c r="E276">
        <v>0</v>
      </c>
    </row>
    <row r="277" spans="1:5" x14ac:dyDescent="0.25">
      <c r="A277" t="s">
        <v>43</v>
      </c>
      <c r="B277" t="s">
        <v>125</v>
      </c>
      <c r="C277" t="s">
        <v>389</v>
      </c>
      <c r="D277" t="s">
        <v>389</v>
      </c>
      <c r="E277">
        <v>0</v>
      </c>
    </row>
    <row r="278" spans="1:5" x14ac:dyDescent="0.25">
      <c r="A278" t="s">
        <v>43</v>
      </c>
      <c r="B278" t="s">
        <v>22</v>
      </c>
      <c r="C278" t="s">
        <v>437</v>
      </c>
      <c r="D278" t="s">
        <v>437</v>
      </c>
      <c r="E278">
        <v>0</v>
      </c>
    </row>
    <row r="279" spans="1:5" x14ac:dyDescent="0.25">
      <c r="A279" t="s">
        <v>43</v>
      </c>
      <c r="B279" t="s">
        <v>303</v>
      </c>
      <c r="C279" t="s">
        <v>302</v>
      </c>
      <c r="D279" t="s">
        <v>302</v>
      </c>
      <c r="E279">
        <v>0</v>
      </c>
    </row>
    <row r="280" spans="1:5" x14ac:dyDescent="0.25">
      <c r="A280" t="s">
        <v>43</v>
      </c>
      <c r="B280" t="s">
        <v>200</v>
      </c>
      <c r="C280" t="s">
        <v>198</v>
      </c>
      <c r="D280" t="s">
        <v>198</v>
      </c>
      <c r="E280">
        <v>0</v>
      </c>
    </row>
    <row r="281" spans="1:5" x14ac:dyDescent="0.25">
      <c r="A281" t="s">
        <v>43</v>
      </c>
      <c r="B281" t="s">
        <v>25</v>
      </c>
      <c r="C281" t="s">
        <v>222</v>
      </c>
      <c r="D281" t="s">
        <v>222</v>
      </c>
      <c r="E281">
        <v>0</v>
      </c>
    </row>
    <row r="282" spans="1:5" x14ac:dyDescent="0.25">
      <c r="A282" t="s">
        <v>55</v>
      </c>
      <c r="B282" t="s">
        <v>72</v>
      </c>
      <c r="C282" t="s">
        <v>70</v>
      </c>
      <c r="D282" t="s">
        <v>70</v>
      </c>
      <c r="E282">
        <v>0</v>
      </c>
    </row>
    <row r="283" spans="1:5" x14ac:dyDescent="0.25">
      <c r="A283" t="s">
        <v>55</v>
      </c>
      <c r="B283" t="s">
        <v>172</v>
      </c>
      <c r="C283" t="s">
        <v>208</v>
      </c>
      <c r="D283" t="s">
        <v>208</v>
      </c>
      <c r="E283">
        <v>0</v>
      </c>
    </row>
    <row r="284" spans="1:5" x14ac:dyDescent="0.25">
      <c r="A284" t="s">
        <v>55</v>
      </c>
      <c r="B284" t="s">
        <v>151</v>
      </c>
      <c r="C284" t="s">
        <v>150</v>
      </c>
      <c r="D284" t="s">
        <v>150</v>
      </c>
      <c r="E284">
        <v>0</v>
      </c>
    </row>
    <row r="285" spans="1:5" x14ac:dyDescent="0.25">
      <c r="A285" t="s">
        <v>55</v>
      </c>
      <c r="B285" t="s">
        <v>269</v>
      </c>
      <c r="C285" t="s">
        <v>428</v>
      </c>
      <c r="D285" t="s">
        <v>428</v>
      </c>
      <c r="E285">
        <v>0</v>
      </c>
    </row>
    <row r="286" spans="1:5" x14ac:dyDescent="0.25">
      <c r="A286" t="s">
        <v>55</v>
      </c>
      <c r="B286" t="s">
        <v>54</v>
      </c>
      <c r="C286" t="s">
        <v>252</v>
      </c>
      <c r="D286" t="s">
        <v>252</v>
      </c>
      <c r="E286">
        <v>0</v>
      </c>
    </row>
    <row r="287" spans="1:5" x14ac:dyDescent="0.25">
      <c r="A287" t="s">
        <v>55</v>
      </c>
      <c r="B287" t="s">
        <v>159</v>
      </c>
      <c r="C287" t="s">
        <v>214</v>
      </c>
      <c r="D287" t="s">
        <v>214</v>
      </c>
      <c r="E287">
        <v>0</v>
      </c>
    </row>
    <row r="288" spans="1:5" x14ac:dyDescent="0.25">
      <c r="A288" t="s">
        <v>55</v>
      </c>
      <c r="B288" t="s">
        <v>294</v>
      </c>
      <c r="C288" t="s">
        <v>292</v>
      </c>
      <c r="D288" t="s">
        <v>292</v>
      </c>
      <c r="E288">
        <v>0</v>
      </c>
    </row>
    <row r="289" spans="1:5" x14ac:dyDescent="0.25">
      <c r="A289" t="s">
        <v>55</v>
      </c>
      <c r="B289" t="s">
        <v>58</v>
      </c>
      <c r="C289" t="s">
        <v>108</v>
      </c>
      <c r="D289" t="s">
        <v>108</v>
      </c>
      <c r="E289">
        <v>0</v>
      </c>
    </row>
    <row r="290" spans="1:5" x14ac:dyDescent="0.25">
      <c r="A290" t="s">
        <v>55</v>
      </c>
      <c r="B290" t="s">
        <v>139</v>
      </c>
      <c r="C290" t="s">
        <v>337</v>
      </c>
      <c r="D290" t="s">
        <v>337</v>
      </c>
      <c r="E290">
        <v>0</v>
      </c>
    </row>
    <row r="291" spans="1:5" x14ac:dyDescent="0.25">
      <c r="A291" t="s">
        <v>55</v>
      </c>
      <c r="B291" t="s">
        <v>264</v>
      </c>
      <c r="C291" t="s">
        <v>262</v>
      </c>
      <c r="D291" t="s">
        <v>262</v>
      </c>
      <c r="E291">
        <v>0</v>
      </c>
    </row>
    <row r="292" spans="1:5" x14ac:dyDescent="0.25">
      <c r="A292" t="s">
        <v>55</v>
      </c>
      <c r="B292" t="s">
        <v>328</v>
      </c>
      <c r="C292" t="s">
        <v>415</v>
      </c>
      <c r="D292" t="s">
        <v>415</v>
      </c>
      <c r="E292">
        <v>0</v>
      </c>
    </row>
    <row r="293" spans="1:5" x14ac:dyDescent="0.25">
      <c r="A293" t="s">
        <v>55</v>
      </c>
      <c r="B293" t="s">
        <v>146</v>
      </c>
      <c r="C293" t="s">
        <v>297</v>
      </c>
      <c r="D293" t="s">
        <v>297</v>
      </c>
      <c r="E293">
        <v>0</v>
      </c>
    </row>
    <row r="294" spans="1:5" x14ac:dyDescent="0.25">
      <c r="A294" t="s">
        <v>55</v>
      </c>
      <c r="B294" t="s">
        <v>164</v>
      </c>
      <c r="C294" t="s">
        <v>163</v>
      </c>
      <c r="D294" t="s">
        <v>163</v>
      </c>
      <c r="E294">
        <v>0</v>
      </c>
    </row>
    <row r="295" spans="1:5" x14ac:dyDescent="0.25">
      <c r="A295" t="s">
        <v>55</v>
      </c>
      <c r="B295" t="s">
        <v>215</v>
      </c>
      <c r="C295" t="s">
        <v>251</v>
      </c>
      <c r="D295" t="s">
        <v>251</v>
      </c>
      <c r="E295">
        <v>0</v>
      </c>
    </row>
    <row r="296" spans="1:5" x14ac:dyDescent="0.25">
      <c r="A296" t="s">
        <v>55</v>
      </c>
      <c r="B296" t="s">
        <v>153</v>
      </c>
      <c r="C296" t="s">
        <v>152</v>
      </c>
      <c r="D296" t="s">
        <v>152</v>
      </c>
      <c r="E296">
        <v>0</v>
      </c>
    </row>
    <row r="297" spans="1:5" x14ac:dyDescent="0.25">
      <c r="A297" t="s">
        <v>55</v>
      </c>
      <c r="B297" t="s">
        <v>52</v>
      </c>
      <c r="C297" t="s">
        <v>56</v>
      </c>
      <c r="D297" t="s">
        <v>56</v>
      </c>
      <c r="E297">
        <v>0</v>
      </c>
    </row>
    <row r="298" spans="1:5" x14ac:dyDescent="0.25">
      <c r="A298" t="s">
        <v>55</v>
      </c>
      <c r="B298" t="s">
        <v>342</v>
      </c>
      <c r="C298" t="s">
        <v>341</v>
      </c>
      <c r="D298" t="s">
        <v>341</v>
      </c>
      <c r="E298">
        <v>0</v>
      </c>
    </row>
    <row r="299" spans="1:5" x14ac:dyDescent="0.25">
      <c r="A299" t="s">
        <v>55</v>
      </c>
      <c r="B299" t="s">
        <v>87</v>
      </c>
      <c r="C299" t="s">
        <v>367</v>
      </c>
      <c r="D299" t="s">
        <v>367</v>
      </c>
      <c r="E299">
        <v>0</v>
      </c>
    </row>
    <row r="300" spans="1:5" x14ac:dyDescent="0.25">
      <c r="A300" t="s">
        <v>55</v>
      </c>
      <c r="B300" t="s">
        <v>116</v>
      </c>
      <c r="C300" t="s">
        <v>417</v>
      </c>
      <c r="D300" t="s">
        <v>417</v>
      </c>
      <c r="E300">
        <v>0</v>
      </c>
    </row>
    <row r="301" spans="1:5" x14ac:dyDescent="0.25">
      <c r="A301" t="s">
        <v>55</v>
      </c>
      <c r="B301" t="s">
        <v>40</v>
      </c>
      <c r="C301" t="s">
        <v>205</v>
      </c>
      <c r="D301" t="s">
        <v>205</v>
      </c>
      <c r="E301">
        <v>0</v>
      </c>
    </row>
    <row r="302" spans="1:5" x14ac:dyDescent="0.25">
      <c r="A302" t="s">
        <v>55</v>
      </c>
      <c r="B302" t="s">
        <v>362</v>
      </c>
      <c r="C302" t="s">
        <v>361</v>
      </c>
      <c r="D302" t="s">
        <v>361</v>
      </c>
      <c r="E302">
        <v>0</v>
      </c>
    </row>
    <row r="303" spans="1:5" x14ac:dyDescent="0.25">
      <c r="A303" t="s">
        <v>55</v>
      </c>
      <c r="B303" t="s">
        <v>177</v>
      </c>
      <c r="C303" t="s">
        <v>218</v>
      </c>
      <c r="D303" t="s">
        <v>218</v>
      </c>
      <c r="E303">
        <v>0</v>
      </c>
    </row>
    <row r="304" spans="1:5" x14ac:dyDescent="0.25">
      <c r="A304" t="s">
        <v>55</v>
      </c>
      <c r="B304" t="s">
        <v>176</v>
      </c>
      <c r="C304" t="s">
        <v>175</v>
      </c>
      <c r="D304" t="s">
        <v>175</v>
      </c>
      <c r="E304">
        <v>0</v>
      </c>
    </row>
    <row r="305" spans="1:5" x14ac:dyDescent="0.25">
      <c r="A305" t="s">
        <v>55</v>
      </c>
      <c r="B305" t="s">
        <v>340</v>
      </c>
      <c r="C305" t="s">
        <v>341</v>
      </c>
      <c r="D305" t="s">
        <v>341</v>
      </c>
      <c r="E305">
        <v>0</v>
      </c>
    </row>
    <row r="306" spans="1:5" x14ac:dyDescent="0.25">
      <c r="A306" t="s">
        <v>55</v>
      </c>
      <c r="B306" t="s">
        <v>114</v>
      </c>
      <c r="C306" t="s">
        <v>110</v>
      </c>
      <c r="D306" t="s">
        <v>110</v>
      </c>
      <c r="E306">
        <v>0</v>
      </c>
    </row>
    <row r="307" spans="1:5" x14ac:dyDescent="0.25">
      <c r="A307" t="s">
        <v>55</v>
      </c>
      <c r="B307" t="s">
        <v>63</v>
      </c>
      <c r="C307" t="s">
        <v>352</v>
      </c>
      <c r="D307" t="s">
        <v>352</v>
      </c>
      <c r="E307">
        <v>0</v>
      </c>
    </row>
    <row r="308" spans="1:5" x14ac:dyDescent="0.25">
      <c r="A308" t="s">
        <v>55</v>
      </c>
      <c r="B308" t="s">
        <v>67</v>
      </c>
      <c r="C308" t="s">
        <v>358</v>
      </c>
      <c r="D308" t="s">
        <v>358</v>
      </c>
      <c r="E308">
        <v>0</v>
      </c>
    </row>
    <row r="309" spans="1:5" x14ac:dyDescent="0.25">
      <c r="A309" t="s">
        <v>55</v>
      </c>
      <c r="B309" t="s">
        <v>211</v>
      </c>
      <c r="C309" t="s">
        <v>330</v>
      </c>
      <c r="D309" t="s">
        <v>330</v>
      </c>
      <c r="E309">
        <v>0</v>
      </c>
    </row>
    <row r="310" spans="1:5" x14ac:dyDescent="0.25">
      <c r="A310" t="s">
        <v>55</v>
      </c>
      <c r="B310" t="s">
        <v>76</v>
      </c>
      <c r="C310" t="s">
        <v>439</v>
      </c>
      <c r="D310" t="s">
        <v>439</v>
      </c>
      <c r="E310">
        <v>0</v>
      </c>
    </row>
    <row r="311" spans="1:5" x14ac:dyDescent="0.25">
      <c r="A311" t="s">
        <v>55</v>
      </c>
      <c r="B311" t="s">
        <v>283</v>
      </c>
      <c r="C311" t="s">
        <v>282</v>
      </c>
      <c r="D311" t="s">
        <v>282</v>
      </c>
      <c r="E311">
        <v>0</v>
      </c>
    </row>
    <row r="312" spans="1:5" x14ac:dyDescent="0.25">
      <c r="A312" t="s">
        <v>55</v>
      </c>
      <c r="B312" t="s">
        <v>105</v>
      </c>
      <c r="C312" t="s">
        <v>406</v>
      </c>
      <c r="D312" t="s">
        <v>406</v>
      </c>
      <c r="E312">
        <v>0</v>
      </c>
    </row>
    <row r="313" spans="1:5" x14ac:dyDescent="0.25">
      <c r="A313" t="s">
        <v>55</v>
      </c>
      <c r="B313" t="s">
        <v>319</v>
      </c>
      <c r="C313" t="s">
        <v>434</v>
      </c>
      <c r="D313" t="s">
        <v>434</v>
      </c>
      <c r="E313">
        <v>0</v>
      </c>
    </row>
    <row r="314" spans="1:5" x14ac:dyDescent="0.25">
      <c r="A314" t="s">
        <v>55</v>
      </c>
      <c r="B314" t="s">
        <v>15</v>
      </c>
      <c r="C314" t="s">
        <v>388</v>
      </c>
      <c r="D314" t="s">
        <v>388</v>
      </c>
      <c r="E314">
        <v>0</v>
      </c>
    </row>
    <row r="315" spans="1:5" x14ac:dyDescent="0.25">
      <c r="A315" t="s">
        <v>55</v>
      </c>
      <c r="B315" t="s">
        <v>206</v>
      </c>
      <c r="C315" t="s">
        <v>205</v>
      </c>
      <c r="D315" t="s">
        <v>205</v>
      </c>
      <c r="E315">
        <v>0</v>
      </c>
    </row>
    <row r="316" spans="1:5" x14ac:dyDescent="0.25">
      <c r="A316" t="s">
        <v>55</v>
      </c>
      <c r="B316" t="s">
        <v>119</v>
      </c>
      <c r="C316" t="s">
        <v>301</v>
      </c>
      <c r="D316" t="s">
        <v>301</v>
      </c>
      <c r="E316">
        <v>0</v>
      </c>
    </row>
    <row r="317" spans="1:5" x14ac:dyDescent="0.25">
      <c r="A317" t="s">
        <v>55</v>
      </c>
      <c r="B317" t="s">
        <v>88</v>
      </c>
      <c r="C317" t="s">
        <v>175</v>
      </c>
      <c r="D317" t="s">
        <v>175</v>
      </c>
      <c r="E317">
        <v>0</v>
      </c>
    </row>
    <row r="318" spans="1:5" x14ac:dyDescent="0.25">
      <c r="A318" t="s">
        <v>55</v>
      </c>
      <c r="B318" t="s">
        <v>174</v>
      </c>
      <c r="C318" t="s">
        <v>236</v>
      </c>
      <c r="D318" t="s">
        <v>236</v>
      </c>
      <c r="E318">
        <v>0</v>
      </c>
    </row>
    <row r="319" spans="1:5" x14ac:dyDescent="0.25">
      <c r="A319" t="s">
        <v>55</v>
      </c>
      <c r="B319" t="s">
        <v>160</v>
      </c>
      <c r="C319" t="s">
        <v>402</v>
      </c>
      <c r="D319" t="s">
        <v>402</v>
      </c>
      <c r="E319">
        <v>0</v>
      </c>
    </row>
    <row r="320" spans="1:5" x14ac:dyDescent="0.25">
      <c r="A320" t="s">
        <v>55</v>
      </c>
      <c r="B320" t="s">
        <v>248</v>
      </c>
      <c r="C320" t="s">
        <v>247</v>
      </c>
      <c r="D320" t="s">
        <v>247</v>
      </c>
      <c r="E320">
        <v>0</v>
      </c>
    </row>
    <row r="321" spans="1:5" x14ac:dyDescent="0.25">
      <c r="A321" t="s">
        <v>55</v>
      </c>
      <c r="B321" t="s">
        <v>73</v>
      </c>
      <c r="C321" t="s">
        <v>287</v>
      </c>
      <c r="D321" t="s">
        <v>287</v>
      </c>
      <c r="E321">
        <v>0</v>
      </c>
    </row>
    <row r="322" spans="1:5" x14ac:dyDescent="0.25">
      <c r="A322" t="s">
        <v>55</v>
      </c>
      <c r="B322" t="s">
        <v>94</v>
      </c>
      <c r="C322" t="s">
        <v>214</v>
      </c>
      <c r="D322" t="s">
        <v>214</v>
      </c>
      <c r="E322">
        <v>0</v>
      </c>
    </row>
    <row r="323" spans="1:5" x14ac:dyDescent="0.25">
      <c r="A323" t="s">
        <v>55</v>
      </c>
      <c r="B323" t="s">
        <v>258</v>
      </c>
      <c r="C323" t="s">
        <v>422</v>
      </c>
      <c r="D323" t="s">
        <v>422</v>
      </c>
      <c r="E323">
        <v>0</v>
      </c>
    </row>
    <row r="324" spans="1:5" x14ac:dyDescent="0.25">
      <c r="A324" t="s">
        <v>55</v>
      </c>
      <c r="B324" t="s">
        <v>12</v>
      </c>
      <c r="C324" t="s">
        <v>383</v>
      </c>
      <c r="D324" t="s">
        <v>383</v>
      </c>
      <c r="E324">
        <v>0</v>
      </c>
    </row>
    <row r="325" spans="1:5" x14ac:dyDescent="0.25">
      <c r="A325" t="s">
        <v>55</v>
      </c>
      <c r="B325" t="s">
        <v>169</v>
      </c>
      <c r="C325" t="s">
        <v>449</v>
      </c>
      <c r="D325" t="s">
        <v>449</v>
      </c>
      <c r="E325">
        <v>0</v>
      </c>
    </row>
    <row r="326" spans="1:5" x14ac:dyDescent="0.25">
      <c r="A326" t="s">
        <v>55</v>
      </c>
      <c r="B326" t="s">
        <v>200</v>
      </c>
      <c r="C326" t="s">
        <v>360</v>
      </c>
      <c r="D326" t="s">
        <v>360</v>
      </c>
      <c r="E326">
        <v>0</v>
      </c>
    </row>
    <row r="327" spans="1:5" x14ac:dyDescent="0.25">
      <c r="A327" t="s">
        <v>55</v>
      </c>
      <c r="B327" t="s">
        <v>46</v>
      </c>
      <c r="C327" t="s">
        <v>414</v>
      </c>
      <c r="D327" t="s">
        <v>414</v>
      </c>
      <c r="E327">
        <v>0</v>
      </c>
    </row>
    <row r="328" spans="1:5" x14ac:dyDescent="0.25">
      <c r="A328" t="s">
        <v>55</v>
      </c>
      <c r="B328" t="s">
        <v>135</v>
      </c>
      <c r="C328" t="s">
        <v>133</v>
      </c>
      <c r="D328" t="s">
        <v>133</v>
      </c>
      <c r="E328">
        <v>0</v>
      </c>
    </row>
    <row r="329" spans="1:5" x14ac:dyDescent="0.25">
      <c r="A329" t="s">
        <v>55</v>
      </c>
      <c r="B329" t="s">
        <v>79</v>
      </c>
      <c r="C329" t="s">
        <v>432</v>
      </c>
      <c r="D329" t="s">
        <v>432</v>
      </c>
      <c r="E329">
        <v>0</v>
      </c>
    </row>
    <row r="330" spans="1:5" x14ac:dyDescent="0.25">
      <c r="A330" t="s">
        <v>55</v>
      </c>
      <c r="B330" t="s">
        <v>25</v>
      </c>
      <c r="C330" t="s">
        <v>429</v>
      </c>
      <c r="D330" t="s">
        <v>429</v>
      </c>
      <c r="E330">
        <v>0</v>
      </c>
    </row>
    <row r="331" spans="1:5" x14ac:dyDescent="0.25">
      <c r="A331" t="s">
        <v>55</v>
      </c>
      <c r="B331" t="s">
        <v>104</v>
      </c>
      <c r="C331" t="s">
        <v>361</v>
      </c>
      <c r="D331" t="s">
        <v>361</v>
      </c>
      <c r="E331">
        <v>0</v>
      </c>
    </row>
    <row r="332" spans="1:5" x14ac:dyDescent="0.25">
      <c r="A332" t="s">
        <v>11</v>
      </c>
      <c r="B332" t="s">
        <v>193</v>
      </c>
      <c r="C332" t="s">
        <v>244</v>
      </c>
      <c r="D332" t="s">
        <v>244</v>
      </c>
      <c r="E332">
        <v>0</v>
      </c>
    </row>
    <row r="333" spans="1:5" x14ac:dyDescent="0.25">
      <c r="A333" t="s">
        <v>11</v>
      </c>
      <c r="B333" t="s">
        <v>85</v>
      </c>
      <c r="C333" t="s">
        <v>86</v>
      </c>
      <c r="D333" t="s">
        <v>86</v>
      </c>
      <c r="E333">
        <v>0</v>
      </c>
    </row>
    <row r="334" spans="1:5" x14ac:dyDescent="0.25">
      <c r="A334" t="s">
        <v>11</v>
      </c>
      <c r="B334" t="s">
        <v>96</v>
      </c>
      <c r="C334" t="s">
        <v>281</v>
      </c>
      <c r="D334" t="s">
        <v>281</v>
      </c>
      <c r="E334">
        <v>0</v>
      </c>
    </row>
    <row r="335" spans="1:5" x14ac:dyDescent="0.25">
      <c r="A335" t="s">
        <v>11</v>
      </c>
      <c r="B335" t="s">
        <v>68</v>
      </c>
      <c r="C335" t="s">
        <v>69</v>
      </c>
      <c r="D335" t="s">
        <v>69</v>
      </c>
      <c r="E335">
        <v>0</v>
      </c>
    </row>
    <row r="336" spans="1:5" x14ac:dyDescent="0.25">
      <c r="A336" t="s">
        <v>11</v>
      </c>
      <c r="B336" t="s">
        <v>65</v>
      </c>
      <c r="C336" t="s">
        <v>66</v>
      </c>
      <c r="D336" t="s">
        <v>66</v>
      </c>
      <c r="E336">
        <v>0</v>
      </c>
    </row>
    <row r="337" spans="1:5" x14ac:dyDescent="0.25">
      <c r="A337" t="s">
        <v>11</v>
      </c>
      <c r="B337" t="s">
        <v>269</v>
      </c>
      <c r="C337" t="s">
        <v>434</v>
      </c>
      <c r="D337" t="s">
        <v>434</v>
      </c>
      <c r="E337">
        <v>0</v>
      </c>
    </row>
    <row r="338" spans="1:5" x14ac:dyDescent="0.25">
      <c r="A338" t="s">
        <v>11</v>
      </c>
      <c r="B338" t="s">
        <v>27</v>
      </c>
      <c r="C338" t="s">
        <v>266</v>
      </c>
      <c r="D338" t="s">
        <v>266</v>
      </c>
      <c r="E338">
        <v>0</v>
      </c>
    </row>
    <row r="339" spans="1:5" x14ac:dyDescent="0.25">
      <c r="A339" t="s">
        <v>11</v>
      </c>
      <c r="B339" t="s">
        <v>187</v>
      </c>
      <c r="C339" t="s">
        <v>317</v>
      </c>
      <c r="D339" t="s">
        <v>317</v>
      </c>
      <c r="E339">
        <v>0</v>
      </c>
    </row>
    <row r="340" spans="1:5" x14ac:dyDescent="0.25">
      <c r="A340" t="s">
        <v>11</v>
      </c>
      <c r="B340" t="s">
        <v>74</v>
      </c>
      <c r="C340" t="s">
        <v>204</v>
      </c>
      <c r="D340" t="s">
        <v>204</v>
      </c>
      <c r="E340">
        <v>0</v>
      </c>
    </row>
    <row r="341" spans="1:5" x14ac:dyDescent="0.25">
      <c r="A341" t="s">
        <v>11</v>
      </c>
      <c r="B341" t="s">
        <v>42</v>
      </c>
      <c r="C341" t="s">
        <v>191</v>
      </c>
      <c r="D341" t="s">
        <v>191</v>
      </c>
      <c r="E341">
        <v>0</v>
      </c>
    </row>
    <row r="342" spans="1:5" x14ac:dyDescent="0.25">
      <c r="A342" t="s">
        <v>11</v>
      </c>
      <c r="B342" t="s">
        <v>58</v>
      </c>
      <c r="C342" t="s">
        <v>357</v>
      </c>
      <c r="D342" t="s">
        <v>357</v>
      </c>
      <c r="E342">
        <v>0</v>
      </c>
    </row>
    <row r="343" spans="1:5" x14ac:dyDescent="0.25">
      <c r="A343" t="s">
        <v>11</v>
      </c>
      <c r="B343" t="s">
        <v>139</v>
      </c>
      <c r="C343" t="s">
        <v>249</v>
      </c>
      <c r="D343" t="s">
        <v>249</v>
      </c>
      <c r="E343">
        <v>0</v>
      </c>
    </row>
    <row r="344" spans="1:5" x14ac:dyDescent="0.25">
      <c r="A344" t="s">
        <v>11</v>
      </c>
      <c r="B344" t="s">
        <v>186</v>
      </c>
      <c r="C344" t="s">
        <v>322</v>
      </c>
      <c r="D344" t="s">
        <v>322</v>
      </c>
      <c r="E344">
        <v>0</v>
      </c>
    </row>
    <row r="345" spans="1:5" x14ac:dyDescent="0.25">
      <c r="A345" t="s">
        <v>11</v>
      </c>
      <c r="B345" t="s">
        <v>49</v>
      </c>
      <c r="C345" t="s">
        <v>108</v>
      </c>
      <c r="D345" t="s">
        <v>108</v>
      </c>
      <c r="E345">
        <v>0</v>
      </c>
    </row>
    <row r="346" spans="1:5" x14ac:dyDescent="0.25">
      <c r="A346" t="s">
        <v>11</v>
      </c>
      <c r="B346" t="s">
        <v>188</v>
      </c>
      <c r="C346" t="s">
        <v>374</v>
      </c>
      <c r="D346" t="s">
        <v>374</v>
      </c>
      <c r="E346">
        <v>0</v>
      </c>
    </row>
    <row r="347" spans="1:5" x14ac:dyDescent="0.25">
      <c r="A347" t="s">
        <v>11</v>
      </c>
      <c r="B347" t="s">
        <v>154</v>
      </c>
      <c r="C347" t="s">
        <v>152</v>
      </c>
      <c r="D347" t="s">
        <v>152</v>
      </c>
      <c r="E347">
        <v>0</v>
      </c>
    </row>
    <row r="348" spans="1:5" x14ac:dyDescent="0.25">
      <c r="A348" t="s">
        <v>11</v>
      </c>
      <c r="B348" t="s">
        <v>161</v>
      </c>
      <c r="C348" t="s">
        <v>254</v>
      </c>
      <c r="D348" t="s">
        <v>254</v>
      </c>
      <c r="E348">
        <v>0</v>
      </c>
    </row>
    <row r="349" spans="1:5" x14ac:dyDescent="0.25">
      <c r="A349" t="s">
        <v>11</v>
      </c>
      <c r="B349" t="s">
        <v>60</v>
      </c>
      <c r="C349" t="s">
        <v>56</v>
      </c>
      <c r="D349" t="s">
        <v>56</v>
      </c>
      <c r="E349">
        <v>0</v>
      </c>
    </row>
    <row r="350" spans="1:5" x14ac:dyDescent="0.25">
      <c r="A350" t="s">
        <v>11</v>
      </c>
      <c r="B350" t="s">
        <v>153</v>
      </c>
      <c r="C350" t="s">
        <v>310</v>
      </c>
      <c r="D350" t="s">
        <v>310</v>
      </c>
      <c r="E350">
        <v>0</v>
      </c>
    </row>
    <row r="351" spans="1:5" x14ac:dyDescent="0.25">
      <c r="A351" t="s">
        <v>11</v>
      </c>
      <c r="B351" t="s">
        <v>52</v>
      </c>
      <c r="C351" t="s">
        <v>417</v>
      </c>
      <c r="D351" t="s">
        <v>417</v>
      </c>
      <c r="E351">
        <v>0</v>
      </c>
    </row>
    <row r="352" spans="1:5" x14ac:dyDescent="0.25">
      <c r="A352" t="s">
        <v>11</v>
      </c>
      <c r="B352" t="s">
        <v>78</v>
      </c>
      <c r="C352" t="s">
        <v>225</v>
      </c>
      <c r="D352" t="s">
        <v>225</v>
      </c>
      <c r="E352">
        <v>0</v>
      </c>
    </row>
    <row r="353" spans="1:5" x14ac:dyDescent="0.25">
      <c r="A353" t="s">
        <v>11</v>
      </c>
      <c r="B353" t="s">
        <v>92</v>
      </c>
      <c r="C353" t="s">
        <v>390</v>
      </c>
      <c r="D353" t="s">
        <v>390</v>
      </c>
      <c r="E353">
        <v>0</v>
      </c>
    </row>
    <row r="354" spans="1:5" x14ac:dyDescent="0.25">
      <c r="A354" t="s">
        <v>11</v>
      </c>
      <c r="B354" t="s">
        <v>168</v>
      </c>
      <c r="C354" t="s">
        <v>296</v>
      </c>
      <c r="D354" t="s">
        <v>296</v>
      </c>
      <c r="E354">
        <v>0</v>
      </c>
    </row>
    <row r="355" spans="1:5" x14ac:dyDescent="0.25">
      <c r="A355" t="s">
        <v>11</v>
      </c>
      <c r="B355" t="s">
        <v>40</v>
      </c>
      <c r="C355" t="s">
        <v>379</v>
      </c>
      <c r="D355" t="s">
        <v>379</v>
      </c>
      <c r="E355">
        <v>0</v>
      </c>
    </row>
    <row r="356" spans="1:5" x14ac:dyDescent="0.25">
      <c r="A356" t="s">
        <v>11</v>
      </c>
      <c r="B356" t="s">
        <v>176</v>
      </c>
      <c r="C356" t="s">
        <v>404</v>
      </c>
      <c r="D356" t="s">
        <v>404</v>
      </c>
      <c r="E356">
        <v>0</v>
      </c>
    </row>
    <row r="357" spans="1:5" x14ac:dyDescent="0.25">
      <c r="A357" t="s">
        <v>11</v>
      </c>
      <c r="B357" t="s">
        <v>114</v>
      </c>
      <c r="C357" t="s">
        <v>445</v>
      </c>
      <c r="D357" t="s">
        <v>445</v>
      </c>
      <c r="E357">
        <v>0</v>
      </c>
    </row>
    <row r="358" spans="1:5" x14ac:dyDescent="0.25">
      <c r="A358" t="s">
        <v>11</v>
      </c>
      <c r="B358" t="s">
        <v>123</v>
      </c>
      <c r="C358" t="s">
        <v>124</v>
      </c>
      <c r="D358" t="s">
        <v>124</v>
      </c>
      <c r="E358">
        <v>0</v>
      </c>
    </row>
    <row r="359" spans="1:5" x14ac:dyDescent="0.25">
      <c r="A359" t="s">
        <v>11</v>
      </c>
      <c r="B359" t="s">
        <v>129</v>
      </c>
      <c r="C359" t="s">
        <v>128</v>
      </c>
      <c r="D359" t="s">
        <v>128</v>
      </c>
      <c r="E359">
        <v>0</v>
      </c>
    </row>
    <row r="360" spans="1:5" x14ac:dyDescent="0.25">
      <c r="A360" t="s">
        <v>11</v>
      </c>
      <c r="B360" t="s">
        <v>375</v>
      </c>
      <c r="C360" t="s">
        <v>374</v>
      </c>
      <c r="D360" t="s">
        <v>374</v>
      </c>
      <c r="E360">
        <v>0</v>
      </c>
    </row>
    <row r="361" spans="1:5" x14ac:dyDescent="0.25">
      <c r="A361" t="s">
        <v>11</v>
      </c>
      <c r="B361" t="s">
        <v>36</v>
      </c>
      <c r="C361" t="s">
        <v>35</v>
      </c>
      <c r="D361" t="s">
        <v>35</v>
      </c>
      <c r="E361">
        <v>0</v>
      </c>
    </row>
    <row r="362" spans="1:5" x14ac:dyDescent="0.25">
      <c r="A362" t="s">
        <v>11</v>
      </c>
      <c r="B362" t="s">
        <v>47</v>
      </c>
      <c r="C362" t="s">
        <v>429</v>
      </c>
      <c r="D362" t="s">
        <v>429</v>
      </c>
      <c r="E362">
        <v>0</v>
      </c>
    </row>
    <row r="363" spans="1:5" x14ac:dyDescent="0.25">
      <c r="A363" t="s">
        <v>11</v>
      </c>
      <c r="B363" t="s">
        <v>111</v>
      </c>
      <c r="C363" t="s">
        <v>110</v>
      </c>
      <c r="D363" t="s">
        <v>110</v>
      </c>
      <c r="E363">
        <v>0</v>
      </c>
    </row>
    <row r="364" spans="1:5" x14ac:dyDescent="0.25">
      <c r="A364" t="s">
        <v>11</v>
      </c>
      <c r="B364" t="s">
        <v>209</v>
      </c>
      <c r="C364" t="s">
        <v>376</v>
      </c>
      <c r="D364" t="s">
        <v>376</v>
      </c>
      <c r="E364">
        <v>0</v>
      </c>
    </row>
    <row r="365" spans="1:5" x14ac:dyDescent="0.25">
      <c r="A365" t="s">
        <v>11</v>
      </c>
      <c r="B365" t="s">
        <v>267</v>
      </c>
      <c r="C365" t="s">
        <v>268</v>
      </c>
      <c r="D365" t="s">
        <v>268</v>
      </c>
      <c r="E365">
        <v>0</v>
      </c>
    </row>
    <row r="366" spans="1:5" x14ac:dyDescent="0.25">
      <c r="A366" t="s">
        <v>11</v>
      </c>
      <c r="B366" t="s">
        <v>144</v>
      </c>
      <c r="C366" t="s">
        <v>325</v>
      </c>
      <c r="D366" t="s">
        <v>325</v>
      </c>
      <c r="E366">
        <v>0</v>
      </c>
    </row>
    <row r="367" spans="1:5" x14ac:dyDescent="0.25">
      <c r="A367" t="s">
        <v>11</v>
      </c>
      <c r="B367" t="s">
        <v>136</v>
      </c>
      <c r="C367" t="s">
        <v>137</v>
      </c>
      <c r="D367" t="s">
        <v>137</v>
      </c>
      <c r="E367">
        <v>0</v>
      </c>
    </row>
    <row r="368" spans="1:5" x14ac:dyDescent="0.25">
      <c r="A368" t="s">
        <v>11</v>
      </c>
      <c r="B368" t="s">
        <v>102</v>
      </c>
      <c r="C368" t="s">
        <v>376</v>
      </c>
      <c r="D368" t="s">
        <v>376</v>
      </c>
      <c r="E368">
        <v>0</v>
      </c>
    </row>
    <row r="369" spans="1:5" x14ac:dyDescent="0.25">
      <c r="A369" t="s">
        <v>11</v>
      </c>
      <c r="B369" t="s">
        <v>15</v>
      </c>
      <c r="C369" t="s">
        <v>10</v>
      </c>
      <c r="D369" t="s">
        <v>10</v>
      </c>
      <c r="E369">
        <v>0</v>
      </c>
    </row>
    <row r="370" spans="1:5" x14ac:dyDescent="0.25">
      <c r="A370" t="s">
        <v>11</v>
      </c>
      <c r="B370" t="s">
        <v>75</v>
      </c>
      <c r="C370" t="s">
        <v>440</v>
      </c>
      <c r="D370" t="s">
        <v>440</v>
      </c>
      <c r="E370">
        <v>0</v>
      </c>
    </row>
    <row r="371" spans="1:5" x14ac:dyDescent="0.25">
      <c r="A371" t="s">
        <v>11</v>
      </c>
      <c r="B371" t="s">
        <v>246</v>
      </c>
      <c r="C371" t="s">
        <v>401</v>
      </c>
      <c r="D371" t="s">
        <v>401</v>
      </c>
      <c r="E371">
        <v>0</v>
      </c>
    </row>
    <row r="372" spans="1:5" x14ac:dyDescent="0.25">
      <c r="A372" t="s">
        <v>11</v>
      </c>
      <c r="B372" t="s">
        <v>184</v>
      </c>
      <c r="C372" t="s">
        <v>379</v>
      </c>
      <c r="D372" t="s">
        <v>379</v>
      </c>
      <c r="E372">
        <v>0</v>
      </c>
    </row>
    <row r="373" spans="1:5" x14ac:dyDescent="0.25">
      <c r="A373" t="s">
        <v>11</v>
      </c>
      <c r="B373" t="s">
        <v>61</v>
      </c>
      <c r="C373" t="s">
        <v>201</v>
      </c>
      <c r="D373" t="s">
        <v>201</v>
      </c>
      <c r="E373">
        <v>0</v>
      </c>
    </row>
    <row r="374" spans="1:5" x14ac:dyDescent="0.25">
      <c r="A374" t="s">
        <v>11</v>
      </c>
      <c r="B374" t="s">
        <v>178</v>
      </c>
      <c r="C374" t="s">
        <v>439</v>
      </c>
      <c r="D374" t="s">
        <v>439</v>
      </c>
      <c r="E374">
        <v>0</v>
      </c>
    </row>
    <row r="375" spans="1:5" x14ac:dyDescent="0.25">
      <c r="A375" t="s">
        <v>11</v>
      </c>
      <c r="B375" t="s">
        <v>248</v>
      </c>
      <c r="C375" t="s">
        <v>444</v>
      </c>
      <c r="D375" t="s">
        <v>444</v>
      </c>
      <c r="E375">
        <v>0</v>
      </c>
    </row>
    <row r="376" spans="1:5" x14ac:dyDescent="0.25">
      <c r="A376" t="s">
        <v>11</v>
      </c>
      <c r="B376" t="s">
        <v>311</v>
      </c>
      <c r="C376" t="s">
        <v>310</v>
      </c>
      <c r="D376" t="s">
        <v>310</v>
      </c>
      <c r="E376">
        <v>0</v>
      </c>
    </row>
    <row r="377" spans="1:5" x14ac:dyDescent="0.25">
      <c r="A377" t="s">
        <v>11</v>
      </c>
      <c r="B377" t="s">
        <v>94</v>
      </c>
      <c r="C377" t="s">
        <v>307</v>
      </c>
      <c r="D377" t="s">
        <v>307</v>
      </c>
      <c r="E377">
        <v>0</v>
      </c>
    </row>
    <row r="378" spans="1:5" x14ac:dyDescent="0.25">
      <c r="A378" t="s">
        <v>11</v>
      </c>
      <c r="B378" t="s">
        <v>227</v>
      </c>
      <c r="C378" t="s">
        <v>298</v>
      </c>
      <c r="D378" t="s">
        <v>298</v>
      </c>
      <c r="E378">
        <v>0</v>
      </c>
    </row>
    <row r="379" spans="1:5" x14ac:dyDescent="0.25">
      <c r="A379" t="s">
        <v>11</v>
      </c>
      <c r="B379" t="s">
        <v>59</v>
      </c>
      <c r="C379" t="s">
        <v>218</v>
      </c>
      <c r="D379" t="s">
        <v>218</v>
      </c>
      <c r="E379">
        <v>0</v>
      </c>
    </row>
    <row r="380" spans="1:5" x14ac:dyDescent="0.25">
      <c r="A380" t="s">
        <v>11</v>
      </c>
      <c r="B380" t="s">
        <v>194</v>
      </c>
      <c r="C380" t="s">
        <v>313</v>
      </c>
      <c r="D380" t="s">
        <v>313</v>
      </c>
      <c r="E380">
        <v>0</v>
      </c>
    </row>
    <row r="381" spans="1:5" x14ac:dyDescent="0.25">
      <c r="A381" t="s">
        <v>11</v>
      </c>
      <c r="B381" t="s">
        <v>45</v>
      </c>
      <c r="C381" t="s">
        <v>254</v>
      </c>
      <c r="D381" t="s">
        <v>254</v>
      </c>
      <c r="E381">
        <v>0</v>
      </c>
    </row>
    <row r="382" spans="1:5" x14ac:dyDescent="0.25">
      <c r="A382" t="s">
        <v>11</v>
      </c>
      <c r="B382" t="s">
        <v>12</v>
      </c>
      <c r="C382" t="s">
        <v>10</v>
      </c>
      <c r="D382" t="s">
        <v>10</v>
      </c>
      <c r="E382">
        <v>0</v>
      </c>
    </row>
    <row r="383" spans="1:5" x14ac:dyDescent="0.25">
      <c r="A383" t="s">
        <v>11</v>
      </c>
      <c r="B383" t="s">
        <v>293</v>
      </c>
      <c r="C383" t="s">
        <v>431</v>
      </c>
      <c r="D383" t="s">
        <v>431</v>
      </c>
      <c r="E383">
        <v>0</v>
      </c>
    </row>
    <row r="384" spans="1:5" x14ac:dyDescent="0.25">
      <c r="A384" t="s">
        <v>11</v>
      </c>
      <c r="B384" t="s">
        <v>237</v>
      </c>
      <c r="C384" t="s">
        <v>379</v>
      </c>
      <c r="D384" t="s">
        <v>379</v>
      </c>
      <c r="E384">
        <v>0</v>
      </c>
    </row>
    <row r="385" spans="1:5" x14ac:dyDescent="0.25">
      <c r="A385" t="s">
        <v>11</v>
      </c>
      <c r="B385" t="s">
        <v>97</v>
      </c>
      <c r="C385" t="s">
        <v>242</v>
      </c>
      <c r="D385" t="s">
        <v>242</v>
      </c>
      <c r="E385">
        <v>0</v>
      </c>
    </row>
    <row r="386" spans="1:5" x14ac:dyDescent="0.25">
      <c r="A386" t="s">
        <v>29</v>
      </c>
      <c r="B386" t="s">
        <v>190</v>
      </c>
      <c r="C386" t="s">
        <v>325</v>
      </c>
      <c r="D386" t="s">
        <v>325</v>
      </c>
      <c r="E386">
        <v>0</v>
      </c>
    </row>
    <row r="387" spans="1:5" x14ac:dyDescent="0.25">
      <c r="A387" t="s">
        <v>29</v>
      </c>
      <c r="B387" t="s">
        <v>171</v>
      </c>
      <c r="C387" t="s">
        <v>236</v>
      </c>
      <c r="D387" t="s">
        <v>236</v>
      </c>
      <c r="E387">
        <v>0</v>
      </c>
    </row>
    <row r="388" spans="1:5" x14ac:dyDescent="0.25">
      <c r="A388" t="s">
        <v>29</v>
      </c>
      <c r="B388" t="s">
        <v>353</v>
      </c>
      <c r="C388" t="s">
        <v>352</v>
      </c>
      <c r="D388" t="s">
        <v>352</v>
      </c>
      <c r="E388">
        <v>0</v>
      </c>
    </row>
    <row r="389" spans="1:5" x14ac:dyDescent="0.25">
      <c r="A389" t="s">
        <v>29</v>
      </c>
      <c r="B389" t="s">
        <v>68</v>
      </c>
      <c r="C389" t="s">
        <v>212</v>
      </c>
      <c r="D389" t="s">
        <v>212</v>
      </c>
      <c r="E389">
        <v>0</v>
      </c>
    </row>
    <row r="390" spans="1:5" x14ac:dyDescent="0.25">
      <c r="A390" t="s">
        <v>29</v>
      </c>
      <c r="B390" t="s">
        <v>220</v>
      </c>
      <c r="C390" t="s">
        <v>445</v>
      </c>
      <c r="D390" t="s">
        <v>445</v>
      </c>
      <c r="E390">
        <v>0</v>
      </c>
    </row>
    <row r="391" spans="1:5" x14ac:dyDescent="0.25">
      <c r="A391" t="s">
        <v>29</v>
      </c>
      <c r="B391" t="s">
        <v>187</v>
      </c>
      <c r="C391" t="s">
        <v>259</v>
      </c>
      <c r="D391" t="s">
        <v>259</v>
      </c>
      <c r="E391">
        <v>0</v>
      </c>
    </row>
    <row r="392" spans="1:5" x14ac:dyDescent="0.25">
      <c r="A392" t="s">
        <v>29</v>
      </c>
      <c r="B392" t="s">
        <v>42</v>
      </c>
      <c r="C392" t="s">
        <v>222</v>
      </c>
      <c r="D392" t="s">
        <v>222</v>
      </c>
      <c r="E392">
        <v>0</v>
      </c>
    </row>
    <row r="393" spans="1:5" x14ac:dyDescent="0.25">
      <c r="A393" t="s">
        <v>29</v>
      </c>
      <c r="B393" t="s">
        <v>159</v>
      </c>
      <c r="C393" t="s">
        <v>352</v>
      </c>
      <c r="D393" t="s">
        <v>352</v>
      </c>
      <c r="E393">
        <v>0</v>
      </c>
    </row>
    <row r="394" spans="1:5" x14ac:dyDescent="0.25">
      <c r="A394" t="s">
        <v>29</v>
      </c>
      <c r="B394" t="s">
        <v>112</v>
      </c>
      <c r="C394" t="s">
        <v>290</v>
      </c>
      <c r="D394" t="s">
        <v>290</v>
      </c>
      <c r="E394">
        <v>0</v>
      </c>
    </row>
    <row r="395" spans="1:5" x14ac:dyDescent="0.25">
      <c r="A395" t="s">
        <v>29</v>
      </c>
      <c r="B395" t="s">
        <v>370</v>
      </c>
      <c r="C395" t="s">
        <v>444</v>
      </c>
      <c r="D395" t="s">
        <v>444</v>
      </c>
      <c r="E395">
        <v>0</v>
      </c>
    </row>
    <row r="396" spans="1:5" x14ac:dyDescent="0.25">
      <c r="A396" t="s">
        <v>29</v>
      </c>
      <c r="B396" t="s">
        <v>264</v>
      </c>
      <c r="C396" t="s">
        <v>454</v>
      </c>
      <c r="D396" t="s">
        <v>454</v>
      </c>
      <c r="E396">
        <v>0</v>
      </c>
    </row>
    <row r="397" spans="1:5" x14ac:dyDescent="0.25">
      <c r="A397" t="s">
        <v>29</v>
      </c>
      <c r="B397" t="s">
        <v>149</v>
      </c>
      <c r="C397" t="s">
        <v>166</v>
      </c>
      <c r="D397" t="s">
        <v>166</v>
      </c>
      <c r="E397">
        <v>0</v>
      </c>
    </row>
    <row r="398" spans="1:5" x14ac:dyDescent="0.25">
      <c r="A398" t="s">
        <v>29</v>
      </c>
      <c r="B398" t="s">
        <v>154</v>
      </c>
      <c r="C398" t="s">
        <v>449</v>
      </c>
      <c r="D398" t="s">
        <v>449</v>
      </c>
      <c r="E398">
        <v>0</v>
      </c>
    </row>
    <row r="399" spans="1:5" x14ac:dyDescent="0.25">
      <c r="A399" t="s">
        <v>29</v>
      </c>
      <c r="B399" t="s">
        <v>127</v>
      </c>
      <c r="C399" t="s">
        <v>428</v>
      </c>
      <c r="D399" t="s">
        <v>428</v>
      </c>
      <c r="E399">
        <v>0</v>
      </c>
    </row>
    <row r="400" spans="1:5" x14ac:dyDescent="0.25">
      <c r="A400" t="s">
        <v>29</v>
      </c>
      <c r="B400" t="s">
        <v>34</v>
      </c>
      <c r="C400" t="s">
        <v>35</v>
      </c>
      <c r="D400" t="s">
        <v>35</v>
      </c>
      <c r="E400">
        <v>0</v>
      </c>
    </row>
    <row r="401" spans="1:5" x14ac:dyDescent="0.25">
      <c r="A401" t="s">
        <v>29</v>
      </c>
      <c r="B401" t="s">
        <v>202</v>
      </c>
      <c r="C401" t="s">
        <v>409</v>
      </c>
      <c r="D401" t="s">
        <v>409</v>
      </c>
      <c r="E401">
        <v>0</v>
      </c>
    </row>
    <row r="402" spans="1:5" x14ac:dyDescent="0.25">
      <c r="A402" t="s">
        <v>29</v>
      </c>
      <c r="B402" t="s">
        <v>87</v>
      </c>
      <c r="C402" t="s">
        <v>86</v>
      </c>
      <c r="D402" t="s">
        <v>86</v>
      </c>
      <c r="E402">
        <v>0</v>
      </c>
    </row>
    <row r="403" spans="1:5" x14ac:dyDescent="0.25">
      <c r="A403" t="s">
        <v>29</v>
      </c>
      <c r="B403" t="s">
        <v>410</v>
      </c>
      <c r="C403" t="s">
        <v>409</v>
      </c>
      <c r="D403" t="s">
        <v>409</v>
      </c>
      <c r="E403">
        <v>0</v>
      </c>
    </row>
    <row r="404" spans="1:5" x14ac:dyDescent="0.25">
      <c r="A404" t="s">
        <v>29</v>
      </c>
      <c r="B404" t="s">
        <v>167</v>
      </c>
      <c r="C404" t="s">
        <v>166</v>
      </c>
      <c r="D404" t="s">
        <v>166</v>
      </c>
      <c r="E404">
        <v>0</v>
      </c>
    </row>
    <row r="405" spans="1:5" x14ac:dyDescent="0.25">
      <c r="A405" t="s">
        <v>29</v>
      </c>
      <c r="B405" t="s">
        <v>299</v>
      </c>
      <c r="C405" t="s">
        <v>314</v>
      </c>
      <c r="D405" t="s">
        <v>314</v>
      </c>
      <c r="E405">
        <v>0</v>
      </c>
    </row>
    <row r="406" spans="1:5" x14ac:dyDescent="0.25">
      <c r="A406" t="s">
        <v>29</v>
      </c>
      <c r="B406" t="s">
        <v>168</v>
      </c>
      <c r="C406" t="s">
        <v>166</v>
      </c>
      <c r="D406" t="s">
        <v>166</v>
      </c>
      <c r="E406">
        <v>0</v>
      </c>
    </row>
    <row r="407" spans="1:5" x14ac:dyDescent="0.25">
      <c r="A407" t="s">
        <v>29</v>
      </c>
      <c r="B407" t="s">
        <v>89</v>
      </c>
      <c r="C407" t="s">
        <v>386</v>
      </c>
      <c r="D407" t="s">
        <v>386</v>
      </c>
      <c r="E407">
        <v>0</v>
      </c>
    </row>
    <row r="408" spans="1:5" x14ac:dyDescent="0.25">
      <c r="A408" t="s">
        <v>29</v>
      </c>
      <c r="B408" t="s">
        <v>63</v>
      </c>
      <c r="C408" t="s">
        <v>292</v>
      </c>
      <c r="D408" t="s">
        <v>292</v>
      </c>
      <c r="E408">
        <v>0</v>
      </c>
    </row>
    <row r="409" spans="1:5" x14ac:dyDescent="0.25">
      <c r="A409" t="s">
        <v>29</v>
      </c>
      <c r="B409" t="s">
        <v>253</v>
      </c>
      <c r="C409" t="s">
        <v>371</v>
      </c>
      <c r="D409" t="s">
        <v>371</v>
      </c>
      <c r="E409">
        <v>0</v>
      </c>
    </row>
    <row r="410" spans="1:5" x14ac:dyDescent="0.25">
      <c r="A410" t="s">
        <v>29</v>
      </c>
      <c r="B410" t="s">
        <v>67</v>
      </c>
      <c r="C410" t="s">
        <v>229</v>
      </c>
      <c r="D410" t="s">
        <v>229</v>
      </c>
      <c r="E410">
        <v>0</v>
      </c>
    </row>
    <row r="411" spans="1:5" x14ac:dyDescent="0.25">
      <c r="A411" t="s">
        <v>29</v>
      </c>
      <c r="B411" t="s">
        <v>76</v>
      </c>
      <c r="C411" t="s">
        <v>314</v>
      </c>
      <c r="D411" t="s">
        <v>314</v>
      </c>
      <c r="E411">
        <v>0</v>
      </c>
    </row>
    <row r="412" spans="1:5" x14ac:dyDescent="0.25">
      <c r="A412" t="s">
        <v>29</v>
      </c>
      <c r="B412" t="s">
        <v>33</v>
      </c>
      <c r="C412" t="s">
        <v>254</v>
      </c>
      <c r="D412" t="s">
        <v>254</v>
      </c>
      <c r="E412">
        <v>0</v>
      </c>
    </row>
    <row r="413" spans="1:5" x14ac:dyDescent="0.25">
      <c r="A413" t="s">
        <v>29</v>
      </c>
      <c r="B413" t="s">
        <v>106</v>
      </c>
      <c r="C413" t="s">
        <v>103</v>
      </c>
      <c r="D413" t="s">
        <v>103</v>
      </c>
      <c r="E413">
        <v>0</v>
      </c>
    </row>
    <row r="414" spans="1:5" x14ac:dyDescent="0.25">
      <c r="A414" t="s">
        <v>29</v>
      </c>
      <c r="B414" t="s">
        <v>197</v>
      </c>
      <c r="C414" t="s">
        <v>346</v>
      </c>
      <c r="D414" t="s">
        <v>346</v>
      </c>
      <c r="E414">
        <v>0</v>
      </c>
    </row>
    <row r="415" spans="1:5" x14ac:dyDescent="0.25">
      <c r="A415" t="s">
        <v>29</v>
      </c>
      <c r="B415" t="s">
        <v>102</v>
      </c>
      <c r="C415" t="s">
        <v>417</v>
      </c>
      <c r="D415" t="s">
        <v>417</v>
      </c>
      <c r="E415">
        <v>0</v>
      </c>
    </row>
    <row r="416" spans="1:5" x14ac:dyDescent="0.25">
      <c r="A416" t="s">
        <v>29</v>
      </c>
      <c r="B416" t="s">
        <v>15</v>
      </c>
      <c r="C416" t="s">
        <v>201</v>
      </c>
      <c r="D416" t="s">
        <v>201</v>
      </c>
      <c r="E416">
        <v>0</v>
      </c>
    </row>
    <row r="417" spans="1:5" x14ac:dyDescent="0.25">
      <c r="A417" t="s">
        <v>29</v>
      </c>
      <c r="B417" t="s">
        <v>333</v>
      </c>
      <c r="C417" t="s">
        <v>379</v>
      </c>
      <c r="D417" t="s">
        <v>379</v>
      </c>
      <c r="E417">
        <v>0</v>
      </c>
    </row>
    <row r="418" spans="1:5" x14ac:dyDescent="0.25">
      <c r="A418" t="s">
        <v>29</v>
      </c>
      <c r="B418" t="s">
        <v>160</v>
      </c>
      <c r="C418" t="s">
        <v>428</v>
      </c>
      <c r="D418" t="s">
        <v>428</v>
      </c>
      <c r="E418">
        <v>0</v>
      </c>
    </row>
    <row r="419" spans="1:5" x14ac:dyDescent="0.25">
      <c r="A419" t="s">
        <v>29</v>
      </c>
      <c r="B419" t="s">
        <v>248</v>
      </c>
      <c r="C419" t="s">
        <v>372</v>
      </c>
      <c r="D419" t="s">
        <v>372</v>
      </c>
      <c r="E419">
        <v>0</v>
      </c>
    </row>
    <row r="420" spans="1:5" x14ac:dyDescent="0.25">
      <c r="A420" t="s">
        <v>29</v>
      </c>
      <c r="B420" t="s">
        <v>143</v>
      </c>
      <c r="C420" t="s">
        <v>142</v>
      </c>
      <c r="D420" t="s">
        <v>142</v>
      </c>
      <c r="E420">
        <v>0</v>
      </c>
    </row>
    <row r="421" spans="1:5" x14ac:dyDescent="0.25">
      <c r="A421" t="s">
        <v>29</v>
      </c>
      <c r="B421" t="s">
        <v>73</v>
      </c>
      <c r="C421" t="s">
        <v>185</v>
      </c>
      <c r="D421" t="s">
        <v>185</v>
      </c>
      <c r="E421">
        <v>0</v>
      </c>
    </row>
    <row r="422" spans="1:5" x14ac:dyDescent="0.25">
      <c r="A422" t="s">
        <v>29</v>
      </c>
      <c r="B422" t="s">
        <v>94</v>
      </c>
      <c r="C422" t="s">
        <v>185</v>
      </c>
      <c r="D422" t="s">
        <v>185</v>
      </c>
      <c r="E422">
        <v>0</v>
      </c>
    </row>
    <row r="423" spans="1:5" x14ac:dyDescent="0.25">
      <c r="A423" t="s">
        <v>29</v>
      </c>
      <c r="B423" t="s">
        <v>255</v>
      </c>
      <c r="C423" t="s">
        <v>439</v>
      </c>
      <c r="D423" t="s">
        <v>439</v>
      </c>
      <c r="E423">
        <v>0</v>
      </c>
    </row>
    <row r="424" spans="1:5" x14ac:dyDescent="0.25">
      <c r="A424" t="s">
        <v>29</v>
      </c>
      <c r="B424" t="s">
        <v>125</v>
      </c>
      <c r="C424" t="s">
        <v>249</v>
      </c>
      <c r="D424" t="s">
        <v>249</v>
      </c>
      <c r="E424">
        <v>0</v>
      </c>
    </row>
    <row r="425" spans="1:5" x14ac:dyDescent="0.25">
      <c r="A425" t="s">
        <v>29</v>
      </c>
      <c r="B425" t="s">
        <v>169</v>
      </c>
      <c r="C425" t="s">
        <v>434</v>
      </c>
      <c r="D425" t="s">
        <v>434</v>
      </c>
      <c r="E425">
        <v>0</v>
      </c>
    </row>
    <row r="426" spans="1:5" x14ac:dyDescent="0.25">
      <c r="A426" t="s">
        <v>29</v>
      </c>
      <c r="B426" t="s">
        <v>28</v>
      </c>
      <c r="C426" t="s">
        <v>31</v>
      </c>
      <c r="D426" t="s">
        <v>31</v>
      </c>
      <c r="E426">
        <v>0</v>
      </c>
    </row>
    <row r="427" spans="1:5" x14ac:dyDescent="0.25">
      <c r="A427" t="s">
        <v>29</v>
      </c>
      <c r="B427" t="s">
        <v>22</v>
      </c>
      <c r="C427" t="s">
        <v>304</v>
      </c>
      <c r="D427" t="s">
        <v>304</v>
      </c>
      <c r="E427">
        <v>0</v>
      </c>
    </row>
    <row r="428" spans="1:5" x14ac:dyDescent="0.25">
      <c r="A428" t="s">
        <v>29</v>
      </c>
      <c r="B428" t="s">
        <v>44</v>
      </c>
      <c r="C428" t="s">
        <v>409</v>
      </c>
      <c r="D428" t="s">
        <v>409</v>
      </c>
      <c r="E428">
        <v>0</v>
      </c>
    </row>
    <row r="429" spans="1:5" x14ac:dyDescent="0.25">
      <c r="A429" t="s">
        <v>29</v>
      </c>
      <c r="B429" t="s">
        <v>217</v>
      </c>
      <c r="C429" t="s">
        <v>325</v>
      </c>
      <c r="D429" t="s">
        <v>325</v>
      </c>
      <c r="E429">
        <v>0</v>
      </c>
    </row>
    <row r="430" spans="1:5" x14ac:dyDescent="0.25">
      <c r="A430" t="s">
        <v>29</v>
      </c>
      <c r="B430" t="s">
        <v>97</v>
      </c>
      <c r="C430" t="s">
        <v>423</v>
      </c>
      <c r="D430" t="s">
        <v>423</v>
      </c>
      <c r="E430">
        <v>0</v>
      </c>
    </row>
    <row r="431" spans="1:5" x14ac:dyDescent="0.25">
      <c r="A431" t="s">
        <v>29</v>
      </c>
      <c r="B431" t="s">
        <v>305</v>
      </c>
      <c r="C431" t="s">
        <v>451</v>
      </c>
      <c r="D431" t="s">
        <v>451</v>
      </c>
      <c r="E431">
        <v>0</v>
      </c>
    </row>
    <row r="432" spans="1:5" x14ac:dyDescent="0.25">
      <c r="A432" t="s">
        <v>13</v>
      </c>
      <c r="B432" t="s">
        <v>85</v>
      </c>
      <c r="C432" t="s">
        <v>261</v>
      </c>
      <c r="D432" t="s">
        <v>261</v>
      </c>
      <c r="E432">
        <v>0</v>
      </c>
    </row>
    <row r="433" spans="1:5" x14ac:dyDescent="0.25">
      <c r="A433" t="s">
        <v>13</v>
      </c>
      <c r="B433" t="s">
        <v>14</v>
      </c>
      <c r="C433" t="s">
        <v>10</v>
      </c>
      <c r="D433" t="s">
        <v>10</v>
      </c>
      <c r="E433">
        <v>0</v>
      </c>
    </row>
    <row r="434" spans="1:5" x14ac:dyDescent="0.25">
      <c r="A434" t="s">
        <v>13</v>
      </c>
      <c r="B434" t="s">
        <v>93</v>
      </c>
      <c r="C434" t="s">
        <v>373</v>
      </c>
      <c r="D434" t="s">
        <v>373</v>
      </c>
      <c r="E434">
        <v>0</v>
      </c>
    </row>
    <row r="435" spans="1:5" x14ac:dyDescent="0.25">
      <c r="A435" t="s">
        <v>13</v>
      </c>
      <c r="B435" t="s">
        <v>220</v>
      </c>
      <c r="C435" t="s">
        <v>219</v>
      </c>
      <c r="D435" t="s">
        <v>219</v>
      </c>
      <c r="E435">
        <v>0</v>
      </c>
    </row>
    <row r="436" spans="1:5" x14ac:dyDescent="0.25">
      <c r="A436" t="s">
        <v>13</v>
      </c>
      <c r="B436" t="s">
        <v>113</v>
      </c>
      <c r="C436" t="s">
        <v>110</v>
      </c>
      <c r="D436" t="s">
        <v>110</v>
      </c>
      <c r="E436">
        <v>0</v>
      </c>
    </row>
    <row r="437" spans="1:5" x14ac:dyDescent="0.25">
      <c r="A437" t="s">
        <v>13</v>
      </c>
      <c r="B437" t="s">
        <v>221</v>
      </c>
      <c r="C437" t="s">
        <v>245</v>
      </c>
      <c r="D437" t="s">
        <v>245</v>
      </c>
      <c r="E437">
        <v>0</v>
      </c>
    </row>
    <row r="438" spans="1:5" x14ac:dyDescent="0.25">
      <c r="A438" t="s">
        <v>13</v>
      </c>
      <c r="B438" t="s">
        <v>49</v>
      </c>
      <c r="C438" t="s">
        <v>306</v>
      </c>
      <c r="D438" t="s">
        <v>306</v>
      </c>
      <c r="E438">
        <v>0</v>
      </c>
    </row>
    <row r="439" spans="1:5" x14ac:dyDescent="0.25">
      <c r="A439" t="s">
        <v>13</v>
      </c>
      <c r="B439" t="s">
        <v>188</v>
      </c>
      <c r="C439" t="s">
        <v>204</v>
      </c>
      <c r="D439" t="s">
        <v>204</v>
      </c>
      <c r="E439">
        <v>0</v>
      </c>
    </row>
    <row r="440" spans="1:5" x14ac:dyDescent="0.25">
      <c r="A440" t="s">
        <v>13</v>
      </c>
      <c r="B440" t="s">
        <v>146</v>
      </c>
      <c r="C440" t="s">
        <v>147</v>
      </c>
      <c r="D440" t="s">
        <v>147</v>
      </c>
      <c r="E440">
        <v>0</v>
      </c>
    </row>
    <row r="441" spans="1:5" x14ac:dyDescent="0.25">
      <c r="A441" t="s">
        <v>13</v>
      </c>
      <c r="B441" t="s">
        <v>164</v>
      </c>
      <c r="C441" t="s">
        <v>348</v>
      </c>
      <c r="D441" t="s">
        <v>348</v>
      </c>
      <c r="E441">
        <v>0</v>
      </c>
    </row>
    <row r="442" spans="1:5" x14ac:dyDescent="0.25">
      <c r="A442" t="s">
        <v>13</v>
      </c>
      <c r="B442" t="s">
        <v>91</v>
      </c>
      <c r="C442" t="s">
        <v>90</v>
      </c>
      <c r="D442" t="s">
        <v>90</v>
      </c>
      <c r="E442">
        <v>0</v>
      </c>
    </row>
    <row r="443" spans="1:5" x14ac:dyDescent="0.25">
      <c r="A443" t="s">
        <v>13</v>
      </c>
      <c r="B443" t="s">
        <v>215</v>
      </c>
      <c r="C443" t="s">
        <v>349</v>
      </c>
      <c r="D443" t="s">
        <v>349</v>
      </c>
      <c r="E443">
        <v>0</v>
      </c>
    </row>
    <row r="444" spans="1:5" x14ac:dyDescent="0.25">
      <c r="A444" t="s">
        <v>13</v>
      </c>
      <c r="B444" t="s">
        <v>134</v>
      </c>
      <c r="C444" t="s">
        <v>205</v>
      </c>
      <c r="D444" t="s">
        <v>205</v>
      </c>
      <c r="E444">
        <v>0</v>
      </c>
    </row>
    <row r="445" spans="1:5" x14ac:dyDescent="0.25">
      <c r="A445" t="s">
        <v>13</v>
      </c>
      <c r="B445" t="s">
        <v>326</v>
      </c>
      <c r="C445" t="s">
        <v>325</v>
      </c>
      <c r="D445" t="s">
        <v>325</v>
      </c>
      <c r="E445">
        <v>0</v>
      </c>
    </row>
    <row r="446" spans="1:5" x14ac:dyDescent="0.25">
      <c r="A446" t="s">
        <v>13</v>
      </c>
      <c r="B446" t="s">
        <v>202</v>
      </c>
      <c r="C446" t="s">
        <v>235</v>
      </c>
      <c r="D446" t="s">
        <v>235</v>
      </c>
      <c r="E446">
        <v>0</v>
      </c>
    </row>
    <row r="447" spans="1:5" x14ac:dyDescent="0.25">
      <c r="A447" t="s">
        <v>13</v>
      </c>
      <c r="B447" t="s">
        <v>78</v>
      </c>
      <c r="C447" t="s">
        <v>262</v>
      </c>
      <c r="D447" t="s">
        <v>262</v>
      </c>
      <c r="E447">
        <v>0</v>
      </c>
    </row>
    <row r="448" spans="1:5" x14ac:dyDescent="0.25">
      <c r="A448" t="s">
        <v>13</v>
      </c>
      <c r="B448" t="s">
        <v>116</v>
      </c>
      <c r="C448" t="s">
        <v>409</v>
      </c>
      <c r="D448" t="s">
        <v>409</v>
      </c>
      <c r="E448">
        <v>0</v>
      </c>
    </row>
    <row r="449" spans="1:5" x14ac:dyDescent="0.25">
      <c r="A449" t="s">
        <v>13</v>
      </c>
      <c r="B449" t="s">
        <v>362</v>
      </c>
      <c r="C449" t="s">
        <v>446</v>
      </c>
      <c r="D449" t="s">
        <v>446</v>
      </c>
      <c r="E449">
        <v>0</v>
      </c>
    </row>
    <row r="450" spans="1:5" x14ac:dyDescent="0.25">
      <c r="A450" t="s">
        <v>13</v>
      </c>
      <c r="B450" t="s">
        <v>177</v>
      </c>
      <c r="C450" t="s">
        <v>376</v>
      </c>
      <c r="D450" t="s">
        <v>376</v>
      </c>
      <c r="E450">
        <v>0</v>
      </c>
    </row>
    <row r="451" spans="1:5" x14ac:dyDescent="0.25">
      <c r="A451" t="s">
        <v>13</v>
      </c>
      <c r="B451" t="s">
        <v>63</v>
      </c>
      <c r="C451" t="s">
        <v>368</v>
      </c>
      <c r="D451" t="s">
        <v>368</v>
      </c>
      <c r="E451">
        <v>0</v>
      </c>
    </row>
    <row r="452" spans="1:5" x14ac:dyDescent="0.25">
      <c r="A452" t="s">
        <v>13</v>
      </c>
      <c r="B452" t="s">
        <v>129</v>
      </c>
      <c r="C452" t="s">
        <v>334</v>
      </c>
      <c r="D452" t="s">
        <v>334</v>
      </c>
      <c r="E452">
        <v>0</v>
      </c>
    </row>
    <row r="453" spans="1:5" x14ac:dyDescent="0.25">
      <c r="A453" t="s">
        <v>13</v>
      </c>
      <c r="B453" t="s">
        <v>211</v>
      </c>
      <c r="C453" t="s">
        <v>210</v>
      </c>
      <c r="D453" t="s">
        <v>210</v>
      </c>
      <c r="E453">
        <v>0</v>
      </c>
    </row>
    <row r="454" spans="1:5" x14ac:dyDescent="0.25">
      <c r="A454" t="s">
        <v>13</v>
      </c>
      <c r="B454" t="s">
        <v>145</v>
      </c>
      <c r="C454" t="s">
        <v>383</v>
      </c>
      <c r="D454" t="s">
        <v>383</v>
      </c>
      <c r="E454">
        <v>0</v>
      </c>
    </row>
    <row r="455" spans="1:5" x14ac:dyDescent="0.25">
      <c r="A455" t="s">
        <v>13</v>
      </c>
      <c r="B455" t="s">
        <v>6</v>
      </c>
      <c r="C455" t="s">
        <v>266</v>
      </c>
      <c r="D455" t="s">
        <v>266</v>
      </c>
      <c r="E455">
        <v>0</v>
      </c>
    </row>
    <row r="456" spans="1:5" x14ac:dyDescent="0.25">
      <c r="A456" t="s">
        <v>13</v>
      </c>
      <c r="B456" t="s">
        <v>33</v>
      </c>
      <c r="C456" t="s">
        <v>240</v>
      </c>
      <c r="D456" t="s">
        <v>240</v>
      </c>
      <c r="E456">
        <v>0</v>
      </c>
    </row>
    <row r="457" spans="1:5" x14ac:dyDescent="0.25">
      <c r="A457" t="s">
        <v>13</v>
      </c>
      <c r="B457" t="s">
        <v>32</v>
      </c>
      <c r="C457" t="s">
        <v>384</v>
      </c>
      <c r="D457" t="s">
        <v>384</v>
      </c>
      <c r="E457">
        <v>0</v>
      </c>
    </row>
    <row r="458" spans="1:5" x14ac:dyDescent="0.25">
      <c r="A458" t="s">
        <v>13</v>
      </c>
      <c r="B458" t="s">
        <v>197</v>
      </c>
      <c r="C458" t="s">
        <v>434</v>
      </c>
      <c r="D458" t="s">
        <v>434</v>
      </c>
      <c r="E458">
        <v>0</v>
      </c>
    </row>
    <row r="459" spans="1:5" x14ac:dyDescent="0.25">
      <c r="A459" t="s">
        <v>13</v>
      </c>
      <c r="B459" t="s">
        <v>405</v>
      </c>
      <c r="C459" t="s">
        <v>404</v>
      </c>
      <c r="D459" t="s">
        <v>404</v>
      </c>
      <c r="E459">
        <v>0</v>
      </c>
    </row>
    <row r="460" spans="1:5" x14ac:dyDescent="0.25">
      <c r="A460" t="s">
        <v>13</v>
      </c>
      <c r="B460" t="s">
        <v>102</v>
      </c>
      <c r="C460" t="s">
        <v>361</v>
      </c>
      <c r="D460" t="s">
        <v>361</v>
      </c>
      <c r="E460">
        <v>0</v>
      </c>
    </row>
    <row r="461" spans="1:5" x14ac:dyDescent="0.25">
      <c r="A461" t="s">
        <v>13</v>
      </c>
      <c r="B461" t="s">
        <v>15</v>
      </c>
      <c r="C461" t="s">
        <v>388</v>
      </c>
      <c r="D461" t="s">
        <v>388</v>
      </c>
      <c r="E461">
        <v>0</v>
      </c>
    </row>
    <row r="462" spans="1:5" x14ac:dyDescent="0.25">
      <c r="A462" t="s">
        <v>13</v>
      </c>
      <c r="B462" t="s">
        <v>119</v>
      </c>
      <c r="C462" t="s">
        <v>204</v>
      </c>
      <c r="D462" t="s">
        <v>204</v>
      </c>
      <c r="E462">
        <v>0</v>
      </c>
    </row>
    <row r="463" spans="1:5" x14ac:dyDescent="0.25">
      <c r="A463" t="s">
        <v>13</v>
      </c>
      <c r="B463" t="s">
        <v>61</v>
      </c>
      <c r="C463" t="s">
        <v>321</v>
      </c>
      <c r="D463" t="s">
        <v>321</v>
      </c>
      <c r="E463">
        <v>0</v>
      </c>
    </row>
    <row r="464" spans="1:5" x14ac:dyDescent="0.25">
      <c r="A464" t="s">
        <v>13</v>
      </c>
      <c r="B464" t="s">
        <v>165</v>
      </c>
      <c r="C464" t="s">
        <v>318</v>
      </c>
      <c r="D464" t="s">
        <v>318</v>
      </c>
      <c r="E464">
        <v>0</v>
      </c>
    </row>
    <row r="465" spans="1:5" x14ac:dyDescent="0.25">
      <c r="A465" t="s">
        <v>13</v>
      </c>
      <c r="B465" t="s">
        <v>88</v>
      </c>
      <c r="C465" t="s">
        <v>443</v>
      </c>
      <c r="D465" t="s">
        <v>443</v>
      </c>
      <c r="E465">
        <v>0</v>
      </c>
    </row>
    <row r="466" spans="1:5" x14ac:dyDescent="0.25">
      <c r="A466" t="s">
        <v>13</v>
      </c>
      <c r="B466" t="s">
        <v>174</v>
      </c>
      <c r="C466" t="s">
        <v>306</v>
      </c>
      <c r="D466" t="s">
        <v>306</v>
      </c>
      <c r="E466">
        <v>0</v>
      </c>
    </row>
    <row r="467" spans="1:5" x14ac:dyDescent="0.25">
      <c r="A467" t="s">
        <v>13</v>
      </c>
      <c r="B467" t="s">
        <v>295</v>
      </c>
      <c r="C467" t="s">
        <v>296</v>
      </c>
      <c r="D467" t="s">
        <v>296</v>
      </c>
      <c r="E467">
        <v>0</v>
      </c>
    </row>
    <row r="468" spans="1:5" x14ac:dyDescent="0.25">
      <c r="A468" t="s">
        <v>13</v>
      </c>
      <c r="B468" t="s">
        <v>311</v>
      </c>
      <c r="C468" t="s">
        <v>404</v>
      </c>
      <c r="D468" t="s">
        <v>404</v>
      </c>
      <c r="E468">
        <v>0</v>
      </c>
    </row>
    <row r="469" spans="1:5" x14ac:dyDescent="0.25">
      <c r="A469" t="s">
        <v>13</v>
      </c>
      <c r="B469" t="s">
        <v>20</v>
      </c>
      <c r="C469" t="s">
        <v>256</v>
      </c>
      <c r="D469" t="s">
        <v>256</v>
      </c>
      <c r="E469">
        <v>0</v>
      </c>
    </row>
    <row r="470" spans="1:5" x14ac:dyDescent="0.25">
      <c r="A470" t="s">
        <v>13</v>
      </c>
      <c r="B470" t="s">
        <v>347</v>
      </c>
      <c r="C470" t="s">
        <v>346</v>
      </c>
      <c r="D470" t="s">
        <v>346</v>
      </c>
      <c r="E470">
        <v>0</v>
      </c>
    </row>
    <row r="471" spans="1:5" x14ac:dyDescent="0.25">
      <c r="A471" t="s">
        <v>13</v>
      </c>
      <c r="B471" t="s">
        <v>183</v>
      </c>
      <c r="C471" t="s">
        <v>256</v>
      </c>
      <c r="D471" t="s">
        <v>256</v>
      </c>
      <c r="E471">
        <v>0</v>
      </c>
    </row>
    <row r="472" spans="1:5" x14ac:dyDescent="0.25">
      <c r="A472" t="s">
        <v>13</v>
      </c>
      <c r="B472" t="s">
        <v>227</v>
      </c>
      <c r="C472" t="s">
        <v>238</v>
      </c>
      <c r="D472" t="s">
        <v>238</v>
      </c>
      <c r="E472">
        <v>0</v>
      </c>
    </row>
    <row r="473" spans="1:5" x14ac:dyDescent="0.25">
      <c r="A473" t="s">
        <v>13</v>
      </c>
      <c r="B473" t="s">
        <v>50</v>
      </c>
      <c r="C473" t="s">
        <v>310</v>
      </c>
      <c r="D473" t="s">
        <v>310</v>
      </c>
      <c r="E473">
        <v>0</v>
      </c>
    </row>
    <row r="474" spans="1:5" x14ac:dyDescent="0.25">
      <c r="A474" t="s">
        <v>13</v>
      </c>
      <c r="B474" t="s">
        <v>45</v>
      </c>
      <c r="C474" t="s">
        <v>236</v>
      </c>
      <c r="D474" t="s">
        <v>236</v>
      </c>
      <c r="E474">
        <v>0</v>
      </c>
    </row>
    <row r="475" spans="1:5" x14ac:dyDescent="0.25">
      <c r="A475" t="s">
        <v>13</v>
      </c>
      <c r="B475" t="s">
        <v>250</v>
      </c>
      <c r="C475" t="s">
        <v>379</v>
      </c>
      <c r="D475" t="s">
        <v>379</v>
      </c>
      <c r="E475">
        <v>0</v>
      </c>
    </row>
    <row r="476" spans="1:5" x14ac:dyDescent="0.25">
      <c r="A476" t="s">
        <v>13</v>
      </c>
      <c r="B476" t="s">
        <v>272</v>
      </c>
      <c r="C476" t="s">
        <v>271</v>
      </c>
      <c r="D476" t="s">
        <v>271</v>
      </c>
      <c r="E476">
        <v>0</v>
      </c>
    </row>
    <row r="477" spans="1:5" x14ac:dyDescent="0.25">
      <c r="A477" t="s">
        <v>13</v>
      </c>
      <c r="B477" t="s">
        <v>200</v>
      </c>
      <c r="C477" t="s">
        <v>214</v>
      </c>
      <c r="D477" t="s">
        <v>214</v>
      </c>
      <c r="E477">
        <v>0</v>
      </c>
    </row>
    <row r="478" spans="1:5" x14ac:dyDescent="0.25">
      <c r="A478" t="s">
        <v>13</v>
      </c>
      <c r="B478" t="s">
        <v>196</v>
      </c>
      <c r="C478" t="s">
        <v>195</v>
      </c>
      <c r="D478" t="s">
        <v>195</v>
      </c>
      <c r="E478">
        <v>0</v>
      </c>
    </row>
    <row r="479" spans="1:5" x14ac:dyDescent="0.25">
      <c r="A479" t="s">
        <v>13</v>
      </c>
      <c r="B479" t="s">
        <v>237</v>
      </c>
      <c r="C479" t="s">
        <v>290</v>
      </c>
      <c r="D479" t="s">
        <v>290</v>
      </c>
      <c r="E479">
        <v>0</v>
      </c>
    </row>
    <row r="480" spans="1:5" x14ac:dyDescent="0.25">
      <c r="A480" t="s">
        <v>13</v>
      </c>
      <c r="B480" t="s">
        <v>135</v>
      </c>
      <c r="C480" t="s">
        <v>446</v>
      </c>
      <c r="D480" t="s">
        <v>446</v>
      </c>
      <c r="E480">
        <v>0</v>
      </c>
    </row>
    <row r="481" spans="1:5" x14ac:dyDescent="0.25">
      <c r="A481" t="s">
        <v>13</v>
      </c>
      <c r="B481" t="s">
        <v>234</v>
      </c>
      <c r="C481" t="s">
        <v>408</v>
      </c>
      <c r="D481" t="s">
        <v>408</v>
      </c>
      <c r="E481">
        <v>0</v>
      </c>
    </row>
    <row r="482" spans="1:5" x14ac:dyDescent="0.25">
      <c r="A482" t="s">
        <v>13</v>
      </c>
      <c r="B482" t="s">
        <v>24</v>
      </c>
      <c r="C482" t="s">
        <v>23</v>
      </c>
      <c r="D482" t="s">
        <v>23</v>
      </c>
      <c r="E482">
        <v>0</v>
      </c>
    </row>
    <row r="483" spans="1:5" x14ac:dyDescent="0.25">
      <c r="A483" t="s">
        <v>13</v>
      </c>
      <c r="B483" t="s">
        <v>97</v>
      </c>
      <c r="C483" t="s">
        <v>95</v>
      </c>
      <c r="D483" t="s">
        <v>95</v>
      </c>
      <c r="E483">
        <v>0</v>
      </c>
    </row>
    <row r="484" spans="1:5" x14ac:dyDescent="0.25">
      <c r="A484" t="s">
        <v>13</v>
      </c>
      <c r="B484" t="s">
        <v>25</v>
      </c>
      <c r="C484" t="s">
        <v>277</v>
      </c>
      <c r="D484" t="s">
        <v>277</v>
      </c>
      <c r="E484">
        <v>0</v>
      </c>
    </row>
    <row r="485" spans="1:5" x14ac:dyDescent="0.25">
      <c r="A485" t="s">
        <v>19</v>
      </c>
      <c r="B485" t="s">
        <v>190</v>
      </c>
      <c r="C485" t="s">
        <v>189</v>
      </c>
      <c r="D485" t="s">
        <v>189</v>
      </c>
      <c r="E485">
        <v>0</v>
      </c>
    </row>
    <row r="486" spans="1:5" x14ac:dyDescent="0.25">
      <c r="A486" t="s">
        <v>19</v>
      </c>
      <c r="B486" t="s">
        <v>171</v>
      </c>
      <c r="C486" t="s">
        <v>290</v>
      </c>
      <c r="D486" t="s">
        <v>290</v>
      </c>
      <c r="E486">
        <v>0</v>
      </c>
    </row>
    <row r="487" spans="1:5" x14ac:dyDescent="0.25">
      <c r="A487" t="s">
        <v>19</v>
      </c>
      <c r="B487" t="s">
        <v>72</v>
      </c>
      <c r="C487" t="s">
        <v>201</v>
      </c>
      <c r="D487" t="s">
        <v>201</v>
      </c>
      <c r="E487">
        <v>0</v>
      </c>
    </row>
    <row r="488" spans="1:5" x14ac:dyDescent="0.25">
      <c r="A488" t="s">
        <v>19</v>
      </c>
      <c r="B488" t="s">
        <v>151</v>
      </c>
      <c r="C488" t="s">
        <v>364</v>
      </c>
      <c r="D488" t="s">
        <v>364</v>
      </c>
      <c r="E488">
        <v>0</v>
      </c>
    </row>
    <row r="489" spans="1:5" x14ac:dyDescent="0.25">
      <c r="A489" t="s">
        <v>19</v>
      </c>
      <c r="B489" t="s">
        <v>57</v>
      </c>
      <c r="C489" t="s">
        <v>277</v>
      </c>
      <c r="D489" t="s">
        <v>277</v>
      </c>
      <c r="E489">
        <v>0</v>
      </c>
    </row>
    <row r="490" spans="1:5" x14ac:dyDescent="0.25">
      <c r="A490" t="s">
        <v>19</v>
      </c>
      <c r="B490" t="s">
        <v>187</v>
      </c>
      <c r="C490" t="s">
        <v>435</v>
      </c>
      <c r="D490" t="s">
        <v>435</v>
      </c>
      <c r="E490">
        <v>0</v>
      </c>
    </row>
    <row r="491" spans="1:5" x14ac:dyDescent="0.25">
      <c r="A491" t="s">
        <v>19</v>
      </c>
      <c r="B491" t="s">
        <v>42</v>
      </c>
      <c r="C491" t="s">
        <v>195</v>
      </c>
      <c r="D491" t="s">
        <v>195</v>
      </c>
      <c r="E491">
        <v>0</v>
      </c>
    </row>
    <row r="492" spans="1:5" x14ac:dyDescent="0.25">
      <c r="A492" t="s">
        <v>19</v>
      </c>
      <c r="B492" t="s">
        <v>54</v>
      </c>
      <c r="C492" t="s">
        <v>286</v>
      </c>
      <c r="D492" t="s">
        <v>286</v>
      </c>
      <c r="E492">
        <v>0</v>
      </c>
    </row>
    <row r="493" spans="1:5" x14ac:dyDescent="0.25">
      <c r="A493" t="s">
        <v>19</v>
      </c>
      <c r="B493" t="s">
        <v>159</v>
      </c>
      <c r="C493" t="s">
        <v>157</v>
      </c>
      <c r="D493" t="s">
        <v>157</v>
      </c>
      <c r="E493">
        <v>0</v>
      </c>
    </row>
    <row r="494" spans="1:5" x14ac:dyDescent="0.25">
      <c r="A494" t="s">
        <v>19</v>
      </c>
      <c r="B494" t="s">
        <v>64</v>
      </c>
      <c r="C494" t="s">
        <v>213</v>
      </c>
      <c r="D494" t="s">
        <v>213</v>
      </c>
      <c r="E494">
        <v>0</v>
      </c>
    </row>
    <row r="495" spans="1:5" x14ac:dyDescent="0.25">
      <c r="A495" t="s">
        <v>19</v>
      </c>
      <c r="B495" t="s">
        <v>186</v>
      </c>
      <c r="C495" t="s">
        <v>368</v>
      </c>
      <c r="D495" t="s">
        <v>368</v>
      </c>
      <c r="E495">
        <v>0</v>
      </c>
    </row>
    <row r="496" spans="1:5" x14ac:dyDescent="0.25">
      <c r="A496" t="s">
        <v>19</v>
      </c>
      <c r="B496" t="s">
        <v>121</v>
      </c>
      <c r="C496" t="s">
        <v>120</v>
      </c>
      <c r="D496" t="s">
        <v>120</v>
      </c>
      <c r="E496">
        <v>0</v>
      </c>
    </row>
    <row r="497" spans="1:5" x14ac:dyDescent="0.25">
      <c r="A497" t="s">
        <v>19</v>
      </c>
      <c r="B497" t="s">
        <v>264</v>
      </c>
      <c r="C497" t="s">
        <v>335</v>
      </c>
      <c r="D497" t="s">
        <v>335</v>
      </c>
      <c r="E497">
        <v>0</v>
      </c>
    </row>
    <row r="498" spans="1:5" x14ac:dyDescent="0.25">
      <c r="A498" t="s">
        <v>19</v>
      </c>
      <c r="B498" t="s">
        <v>149</v>
      </c>
      <c r="C498" t="s">
        <v>334</v>
      </c>
      <c r="D498" t="s">
        <v>334</v>
      </c>
      <c r="E498">
        <v>0</v>
      </c>
    </row>
    <row r="499" spans="1:5" x14ac:dyDescent="0.25">
      <c r="A499" t="s">
        <v>19</v>
      </c>
      <c r="B499" t="s">
        <v>164</v>
      </c>
      <c r="C499" t="s">
        <v>423</v>
      </c>
      <c r="D499" t="s">
        <v>423</v>
      </c>
      <c r="E499">
        <v>0</v>
      </c>
    </row>
    <row r="500" spans="1:5" x14ac:dyDescent="0.25">
      <c r="A500" t="s">
        <v>19</v>
      </c>
      <c r="B500" t="s">
        <v>91</v>
      </c>
      <c r="C500" t="s">
        <v>241</v>
      </c>
      <c r="D500" t="s">
        <v>241</v>
      </c>
      <c r="E500">
        <v>0</v>
      </c>
    </row>
    <row r="501" spans="1:5" x14ac:dyDescent="0.25">
      <c r="A501" t="s">
        <v>19</v>
      </c>
      <c r="B501" t="s">
        <v>161</v>
      </c>
      <c r="C501" t="s">
        <v>312</v>
      </c>
      <c r="D501" t="s">
        <v>312</v>
      </c>
      <c r="E501">
        <v>0</v>
      </c>
    </row>
    <row r="502" spans="1:5" x14ac:dyDescent="0.25">
      <c r="A502" t="s">
        <v>19</v>
      </c>
      <c r="B502" t="s">
        <v>34</v>
      </c>
      <c r="C502" t="s">
        <v>262</v>
      </c>
      <c r="D502" t="s">
        <v>262</v>
      </c>
      <c r="E502">
        <v>0</v>
      </c>
    </row>
    <row r="503" spans="1:5" x14ac:dyDescent="0.25">
      <c r="A503" t="s">
        <v>19</v>
      </c>
      <c r="B503" t="s">
        <v>78</v>
      </c>
      <c r="C503" t="s">
        <v>70</v>
      </c>
      <c r="D503" t="s">
        <v>70</v>
      </c>
      <c r="E503">
        <v>0</v>
      </c>
    </row>
    <row r="504" spans="1:5" x14ac:dyDescent="0.25">
      <c r="A504" t="s">
        <v>19</v>
      </c>
      <c r="B504" t="s">
        <v>265</v>
      </c>
      <c r="C504" t="s">
        <v>266</v>
      </c>
      <c r="D504" t="s">
        <v>266</v>
      </c>
      <c r="E504">
        <v>0</v>
      </c>
    </row>
    <row r="505" spans="1:5" x14ac:dyDescent="0.25">
      <c r="A505" t="s">
        <v>19</v>
      </c>
      <c r="B505" t="s">
        <v>167</v>
      </c>
      <c r="C505" t="s">
        <v>282</v>
      </c>
      <c r="D505" t="s">
        <v>282</v>
      </c>
      <c r="E505">
        <v>0</v>
      </c>
    </row>
    <row r="506" spans="1:5" x14ac:dyDescent="0.25">
      <c r="A506" t="s">
        <v>19</v>
      </c>
      <c r="B506" t="s">
        <v>77</v>
      </c>
      <c r="C506" t="s">
        <v>70</v>
      </c>
      <c r="D506" t="s">
        <v>70</v>
      </c>
      <c r="E506">
        <v>0</v>
      </c>
    </row>
    <row r="507" spans="1:5" x14ac:dyDescent="0.25">
      <c r="A507" t="s">
        <v>19</v>
      </c>
      <c r="B507" t="s">
        <v>278</v>
      </c>
      <c r="C507" t="s">
        <v>427</v>
      </c>
      <c r="D507" t="s">
        <v>427</v>
      </c>
      <c r="E507">
        <v>0</v>
      </c>
    </row>
    <row r="508" spans="1:5" x14ac:dyDescent="0.25">
      <c r="A508" t="s">
        <v>19</v>
      </c>
      <c r="B508" t="s">
        <v>257</v>
      </c>
      <c r="C508" t="s">
        <v>322</v>
      </c>
      <c r="D508" t="s">
        <v>322</v>
      </c>
      <c r="E508">
        <v>0</v>
      </c>
    </row>
    <row r="509" spans="1:5" x14ac:dyDescent="0.25">
      <c r="A509" t="s">
        <v>19</v>
      </c>
      <c r="B509" t="s">
        <v>442</v>
      </c>
      <c r="C509" t="s">
        <v>443</v>
      </c>
      <c r="D509" t="s">
        <v>443</v>
      </c>
      <c r="E509">
        <v>0</v>
      </c>
    </row>
    <row r="510" spans="1:5" x14ac:dyDescent="0.25">
      <c r="A510" t="s">
        <v>19</v>
      </c>
      <c r="B510" t="s">
        <v>89</v>
      </c>
      <c r="C510" t="s">
        <v>428</v>
      </c>
      <c r="D510" t="s">
        <v>428</v>
      </c>
      <c r="E510">
        <v>0</v>
      </c>
    </row>
    <row r="511" spans="1:5" x14ac:dyDescent="0.25">
      <c r="A511" t="s">
        <v>19</v>
      </c>
      <c r="B511" t="s">
        <v>123</v>
      </c>
      <c r="C511" t="s">
        <v>343</v>
      </c>
      <c r="D511" t="s">
        <v>343</v>
      </c>
      <c r="E511">
        <v>0</v>
      </c>
    </row>
    <row r="512" spans="1:5" x14ac:dyDescent="0.25">
      <c r="A512" t="s">
        <v>19</v>
      </c>
      <c r="B512" t="s">
        <v>129</v>
      </c>
      <c r="C512" t="s">
        <v>452</v>
      </c>
      <c r="D512" t="s">
        <v>452</v>
      </c>
      <c r="E512">
        <v>0</v>
      </c>
    </row>
    <row r="513" spans="1:5" x14ac:dyDescent="0.25">
      <c r="A513" t="s">
        <v>19</v>
      </c>
      <c r="B513" t="s">
        <v>145</v>
      </c>
      <c r="C513" t="s">
        <v>142</v>
      </c>
      <c r="D513" t="s">
        <v>142</v>
      </c>
      <c r="E513">
        <v>0</v>
      </c>
    </row>
    <row r="514" spans="1:5" x14ac:dyDescent="0.25">
      <c r="A514" t="s">
        <v>19</v>
      </c>
      <c r="B514" t="s">
        <v>47</v>
      </c>
      <c r="C514" t="s">
        <v>247</v>
      </c>
      <c r="D514" t="s">
        <v>247</v>
      </c>
      <c r="E514">
        <v>0</v>
      </c>
    </row>
    <row r="515" spans="1:5" x14ac:dyDescent="0.25">
      <c r="A515" t="s">
        <v>19</v>
      </c>
      <c r="B515" t="s">
        <v>105</v>
      </c>
      <c r="C515" t="s">
        <v>349</v>
      </c>
      <c r="D515" t="s">
        <v>349</v>
      </c>
      <c r="E515">
        <v>0</v>
      </c>
    </row>
    <row r="516" spans="1:5" x14ac:dyDescent="0.25">
      <c r="A516" t="s">
        <v>19</v>
      </c>
      <c r="B516" t="s">
        <v>199</v>
      </c>
      <c r="C516" t="s">
        <v>288</v>
      </c>
      <c r="D516" t="s">
        <v>288</v>
      </c>
      <c r="E516">
        <v>0</v>
      </c>
    </row>
    <row r="517" spans="1:5" x14ac:dyDescent="0.25">
      <c r="A517" t="s">
        <v>19</v>
      </c>
      <c r="B517" t="s">
        <v>39</v>
      </c>
      <c r="C517" t="s">
        <v>338</v>
      </c>
      <c r="D517" t="s">
        <v>338</v>
      </c>
      <c r="E517">
        <v>0</v>
      </c>
    </row>
    <row r="518" spans="1:5" x14ac:dyDescent="0.25">
      <c r="A518" t="s">
        <v>19</v>
      </c>
      <c r="B518" t="s">
        <v>144</v>
      </c>
      <c r="C518" t="s">
        <v>429</v>
      </c>
      <c r="D518" t="s">
        <v>429</v>
      </c>
      <c r="E518">
        <v>0</v>
      </c>
    </row>
    <row r="519" spans="1:5" x14ac:dyDescent="0.25">
      <c r="A519" t="s">
        <v>19</v>
      </c>
      <c r="B519" t="s">
        <v>136</v>
      </c>
      <c r="C519" t="s">
        <v>388</v>
      </c>
      <c r="D519" t="s">
        <v>388</v>
      </c>
      <c r="E519">
        <v>0</v>
      </c>
    </row>
    <row r="520" spans="1:5" x14ac:dyDescent="0.25">
      <c r="A520" t="s">
        <v>19</v>
      </c>
      <c r="B520" t="s">
        <v>206</v>
      </c>
      <c r="C520" t="s">
        <v>346</v>
      </c>
      <c r="D520" t="s">
        <v>346</v>
      </c>
      <c r="E520">
        <v>0</v>
      </c>
    </row>
    <row r="521" spans="1:5" x14ac:dyDescent="0.25">
      <c r="A521" t="s">
        <v>19</v>
      </c>
      <c r="B521" t="s">
        <v>184</v>
      </c>
      <c r="C521" t="s">
        <v>365</v>
      </c>
      <c r="D521" t="s">
        <v>365</v>
      </c>
      <c r="E521">
        <v>0</v>
      </c>
    </row>
    <row r="522" spans="1:5" x14ac:dyDescent="0.25">
      <c r="A522" t="s">
        <v>19</v>
      </c>
      <c r="B522" t="s">
        <v>61</v>
      </c>
      <c r="C522" t="s">
        <v>230</v>
      </c>
      <c r="D522" t="s">
        <v>230</v>
      </c>
      <c r="E522">
        <v>0</v>
      </c>
    </row>
    <row r="523" spans="1:5" x14ac:dyDescent="0.25">
      <c r="A523" t="s">
        <v>19</v>
      </c>
      <c r="B523" t="s">
        <v>138</v>
      </c>
      <c r="C523" t="s">
        <v>445</v>
      </c>
      <c r="D523" t="s">
        <v>445</v>
      </c>
      <c r="E523">
        <v>0</v>
      </c>
    </row>
    <row r="524" spans="1:5" x14ac:dyDescent="0.25">
      <c r="A524" t="s">
        <v>19</v>
      </c>
      <c r="B524" t="s">
        <v>165</v>
      </c>
      <c r="C524" t="s">
        <v>338</v>
      </c>
      <c r="D524" t="s">
        <v>338</v>
      </c>
      <c r="E524">
        <v>0</v>
      </c>
    </row>
    <row r="525" spans="1:5" x14ac:dyDescent="0.25">
      <c r="A525" t="s">
        <v>19</v>
      </c>
      <c r="B525" t="s">
        <v>88</v>
      </c>
      <c r="C525" t="s">
        <v>399</v>
      </c>
      <c r="D525" t="s">
        <v>399</v>
      </c>
      <c r="E525">
        <v>0</v>
      </c>
    </row>
    <row r="526" spans="1:5" x14ac:dyDescent="0.25">
      <c r="A526" t="s">
        <v>19</v>
      </c>
      <c r="B526" t="s">
        <v>160</v>
      </c>
      <c r="C526" t="s">
        <v>398</v>
      </c>
      <c r="D526" t="s">
        <v>398</v>
      </c>
      <c r="E526">
        <v>0</v>
      </c>
    </row>
    <row r="527" spans="1:5" x14ac:dyDescent="0.25">
      <c r="A527" t="s">
        <v>19</v>
      </c>
      <c r="B527" t="s">
        <v>18</v>
      </c>
      <c r="C527" t="s">
        <v>142</v>
      </c>
      <c r="D527" t="s">
        <v>142</v>
      </c>
      <c r="E527">
        <v>0</v>
      </c>
    </row>
    <row r="528" spans="1:5" x14ac:dyDescent="0.25">
      <c r="A528" t="s">
        <v>19</v>
      </c>
      <c r="B528" t="s">
        <v>295</v>
      </c>
      <c r="C528" t="s">
        <v>394</v>
      </c>
      <c r="D528" t="s">
        <v>394</v>
      </c>
      <c r="E528">
        <v>0</v>
      </c>
    </row>
    <row r="529" spans="1:5" x14ac:dyDescent="0.25">
      <c r="A529" t="s">
        <v>19</v>
      </c>
      <c r="B529" t="s">
        <v>20</v>
      </c>
      <c r="C529" t="s">
        <v>10</v>
      </c>
      <c r="D529" t="s">
        <v>10</v>
      </c>
      <c r="E529">
        <v>0</v>
      </c>
    </row>
    <row r="530" spans="1:5" x14ac:dyDescent="0.25">
      <c r="A530" t="s">
        <v>19</v>
      </c>
      <c r="B530" t="s">
        <v>73</v>
      </c>
      <c r="C530" t="s">
        <v>415</v>
      </c>
      <c r="D530" t="s">
        <v>415</v>
      </c>
      <c r="E530">
        <v>0</v>
      </c>
    </row>
    <row r="531" spans="1:5" x14ac:dyDescent="0.25">
      <c r="A531" t="s">
        <v>19</v>
      </c>
      <c r="B531" t="s">
        <v>173</v>
      </c>
      <c r="C531" t="s">
        <v>454</v>
      </c>
      <c r="D531" t="s">
        <v>454</v>
      </c>
      <c r="E531">
        <v>0</v>
      </c>
    </row>
    <row r="532" spans="1:5" x14ac:dyDescent="0.25">
      <c r="A532" t="s">
        <v>19</v>
      </c>
      <c r="B532" t="s">
        <v>59</v>
      </c>
      <c r="C532" t="s">
        <v>358</v>
      </c>
      <c r="D532" t="s">
        <v>358</v>
      </c>
      <c r="E532">
        <v>0</v>
      </c>
    </row>
    <row r="533" spans="1:5" x14ac:dyDescent="0.25">
      <c r="A533" t="s">
        <v>19</v>
      </c>
      <c r="B533" t="s">
        <v>45</v>
      </c>
      <c r="C533" t="s">
        <v>431</v>
      </c>
      <c r="D533" t="s">
        <v>431</v>
      </c>
      <c r="E533">
        <v>0</v>
      </c>
    </row>
    <row r="534" spans="1:5" x14ac:dyDescent="0.25">
      <c r="A534" t="s">
        <v>19</v>
      </c>
      <c r="B534" t="s">
        <v>12</v>
      </c>
      <c r="C534" t="s">
        <v>430</v>
      </c>
      <c r="D534" t="s">
        <v>430</v>
      </c>
      <c r="E534">
        <v>0</v>
      </c>
    </row>
    <row r="535" spans="1:5" x14ac:dyDescent="0.25">
      <c r="A535" t="s">
        <v>19</v>
      </c>
      <c r="B535" t="s">
        <v>169</v>
      </c>
      <c r="C535" t="s">
        <v>413</v>
      </c>
      <c r="D535" t="s">
        <v>413</v>
      </c>
      <c r="E535">
        <v>0</v>
      </c>
    </row>
    <row r="536" spans="1:5" x14ac:dyDescent="0.25">
      <c r="A536" t="s">
        <v>19</v>
      </c>
      <c r="B536" t="s">
        <v>196</v>
      </c>
      <c r="C536" t="s">
        <v>243</v>
      </c>
      <c r="D536" t="s">
        <v>243</v>
      </c>
      <c r="E536">
        <v>0</v>
      </c>
    </row>
    <row r="537" spans="1:5" x14ac:dyDescent="0.25">
      <c r="A537" t="s">
        <v>19</v>
      </c>
      <c r="B537" t="s">
        <v>46</v>
      </c>
      <c r="C537" t="s">
        <v>247</v>
      </c>
      <c r="D537" t="s">
        <v>247</v>
      </c>
      <c r="E537">
        <v>0</v>
      </c>
    </row>
    <row r="538" spans="1:5" x14ac:dyDescent="0.25">
      <c r="A538" t="s">
        <v>19</v>
      </c>
      <c r="B538" t="s">
        <v>234</v>
      </c>
      <c r="C538" t="s">
        <v>412</v>
      </c>
      <c r="D538" t="s">
        <v>412</v>
      </c>
      <c r="E538">
        <v>0</v>
      </c>
    </row>
    <row r="539" spans="1:5" x14ac:dyDescent="0.25">
      <c r="A539" t="s">
        <v>19</v>
      </c>
      <c r="B539" t="s">
        <v>433</v>
      </c>
      <c r="C539" t="s">
        <v>434</v>
      </c>
      <c r="D539" t="s">
        <v>434</v>
      </c>
      <c r="E539">
        <v>0</v>
      </c>
    </row>
    <row r="540" spans="1:5" x14ac:dyDescent="0.25">
      <c r="A540" t="s">
        <v>19</v>
      </c>
      <c r="B540" t="s">
        <v>97</v>
      </c>
      <c r="C540" t="s">
        <v>435</v>
      </c>
      <c r="D540" t="s">
        <v>435</v>
      </c>
      <c r="E540">
        <v>0</v>
      </c>
    </row>
    <row r="541" spans="1:5" x14ac:dyDescent="0.25">
      <c r="A541" t="s">
        <v>19</v>
      </c>
      <c r="B541" t="s">
        <v>25</v>
      </c>
      <c r="C541" t="s">
        <v>222</v>
      </c>
      <c r="D541" t="s">
        <v>222</v>
      </c>
      <c r="E541">
        <v>0</v>
      </c>
    </row>
    <row r="542" spans="1:5" x14ac:dyDescent="0.25">
      <c r="A542" t="s">
        <v>16</v>
      </c>
      <c r="B542" t="s">
        <v>193</v>
      </c>
      <c r="C542" t="s">
        <v>404</v>
      </c>
      <c r="D542" t="s">
        <v>404</v>
      </c>
      <c r="E542">
        <v>0</v>
      </c>
    </row>
    <row r="543" spans="1:5" x14ac:dyDescent="0.25">
      <c r="A543" t="s">
        <v>16</v>
      </c>
      <c r="B543" t="s">
        <v>171</v>
      </c>
      <c r="C543" t="s">
        <v>170</v>
      </c>
      <c r="D543" t="s">
        <v>170</v>
      </c>
      <c r="E543">
        <v>0</v>
      </c>
    </row>
    <row r="544" spans="1:5" x14ac:dyDescent="0.25">
      <c r="A544" t="s">
        <v>16</v>
      </c>
      <c r="B544" t="s">
        <v>98</v>
      </c>
      <c r="C544" t="s">
        <v>451</v>
      </c>
      <c r="D544" t="s">
        <v>451</v>
      </c>
      <c r="E544">
        <v>0</v>
      </c>
    </row>
    <row r="545" spans="1:5" x14ac:dyDescent="0.25">
      <c r="A545" t="s">
        <v>16</v>
      </c>
      <c r="B545" t="s">
        <v>232</v>
      </c>
      <c r="C545" t="s">
        <v>407</v>
      </c>
      <c r="D545" t="s">
        <v>407</v>
      </c>
      <c r="E545">
        <v>0</v>
      </c>
    </row>
    <row r="546" spans="1:5" x14ac:dyDescent="0.25">
      <c r="A546" t="s">
        <v>16</v>
      </c>
      <c r="B546" t="s">
        <v>274</v>
      </c>
      <c r="C546" t="s">
        <v>346</v>
      </c>
      <c r="D546" t="s">
        <v>346</v>
      </c>
      <c r="E546">
        <v>0</v>
      </c>
    </row>
    <row r="547" spans="1:5" x14ac:dyDescent="0.25">
      <c r="A547" t="s">
        <v>16</v>
      </c>
      <c r="B547" t="s">
        <v>27</v>
      </c>
      <c r="C547" t="s">
        <v>23</v>
      </c>
      <c r="D547" t="s">
        <v>23</v>
      </c>
      <c r="E547">
        <v>0</v>
      </c>
    </row>
    <row r="548" spans="1:5" x14ac:dyDescent="0.25">
      <c r="A548" t="s">
        <v>16</v>
      </c>
      <c r="B548" t="s">
        <v>74</v>
      </c>
      <c r="C548" t="s">
        <v>70</v>
      </c>
      <c r="D548" t="s">
        <v>70</v>
      </c>
      <c r="E548">
        <v>0</v>
      </c>
    </row>
    <row r="549" spans="1:5" x14ac:dyDescent="0.25">
      <c r="A549" t="s">
        <v>16</v>
      </c>
      <c r="B549" t="s">
        <v>139</v>
      </c>
      <c r="C549" t="s">
        <v>271</v>
      </c>
      <c r="D549" t="s">
        <v>271</v>
      </c>
      <c r="E549">
        <v>0</v>
      </c>
    </row>
    <row r="550" spans="1:5" x14ac:dyDescent="0.25">
      <c r="A550" t="s">
        <v>16</v>
      </c>
      <c r="B550" t="s">
        <v>112</v>
      </c>
      <c r="C550" t="s">
        <v>214</v>
      </c>
      <c r="D550" t="s">
        <v>214</v>
      </c>
      <c r="E550">
        <v>0</v>
      </c>
    </row>
    <row r="551" spans="1:5" x14ac:dyDescent="0.25">
      <c r="A551" t="s">
        <v>16</v>
      </c>
      <c r="B551" t="s">
        <v>107</v>
      </c>
      <c r="C551" t="s">
        <v>103</v>
      </c>
      <c r="D551" t="s">
        <v>103</v>
      </c>
      <c r="E551">
        <v>0</v>
      </c>
    </row>
    <row r="552" spans="1:5" x14ac:dyDescent="0.25">
      <c r="A552" t="s">
        <v>16</v>
      </c>
      <c r="B552" t="s">
        <v>221</v>
      </c>
      <c r="C552" t="s">
        <v>334</v>
      </c>
      <c r="D552" t="s">
        <v>334</v>
      </c>
      <c r="E552">
        <v>0</v>
      </c>
    </row>
    <row r="553" spans="1:5" x14ac:dyDescent="0.25">
      <c r="A553" t="s">
        <v>16</v>
      </c>
      <c r="B553" t="s">
        <v>149</v>
      </c>
      <c r="C553" t="s">
        <v>396</v>
      </c>
      <c r="D553" t="s">
        <v>396</v>
      </c>
      <c r="E553">
        <v>0</v>
      </c>
    </row>
    <row r="554" spans="1:5" x14ac:dyDescent="0.25">
      <c r="A554" t="s">
        <v>16</v>
      </c>
      <c r="B554" t="s">
        <v>17</v>
      </c>
      <c r="C554" t="s">
        <v>10</v>
      </c>
      <c r="D554" t="s">
        <v>10</v>
      </c>
      <c r="E554">
        <v>0</v>
      </c>
    </row>
    <row r="555" spans="1:5" x14ac:dyDescent="0.25">
      <c r="A555" t="s">
        <v>16</v>
      </c>
      <c r="B555" t="s">
        <v>131</v>
      </c>
      <c r="C555" t="s">
        <v>273</v>
      </c>
      <c r="D555" t="s">
        <v>273</v>
      </c>
      <c r="E555">
        <v>0</v>
      </c>
    </row>
    <row r="556" spans="1:5" x14ac:dyDescent="0.25">
      <c r="A556" t="s">
        <v>16</v>
      </c>
      <c r="B556" t="s">
        <v>153</v>
      </c>
      <c r="C556" t="s">
        <v>205</v>
      </c>
      <c r="D556" t="s">
        <v>205</v>
      </c>
      <c r="E556">
        <v>0</v>
      </c>
    </row>
    <row r="557" spans="1:5" x14ac:dyDescent="0.25">
      <c r="A557" t="s">
        <v>16</v>
      </c>
      <c r="B557" t="s">
        <v>326</v>
      </c>
      <c r="C557" t="s">
        <v>445</v>
      </c>
      <c r="D557" t="s">
        <v>445</v>
      </c>
      <c r="E557">
        <v>0</v>
      </c>
    </row>
    <row r="558" spans="1:5" x14ac:dyDescent="0.25">
      <c r="A558" t="s">
        <v>16</v>
      </c>
      <c r="B558" t="s">
        <v>78</v>
      </c>
      <c r="C558" t="s">
        <v>317</v>
      </c>
      <c r="D558" t="s">
        <v>317</v>
      </c>
      <c r="E558">
        <v>0</v>
      </c>
    </row>
    <row r="559" spans="1:5" x14ac:dyDescent="0.25">
      <c r="A559" t="s">
        <v>16</v>
      </c>
      <c r="B559" t="s">
        <v>30</v>
      </c>
      <c r="C559" t="s">
        <v>388</v>
      </c>
      <c r="D559" t="s">
        <v>388</v>
      </c>
      <c r="E559">
        <v>0</v>
      </c>
    </row>
    <row r="560" spans="1:5" x14ac:dyDescent="0.25">
      <c r="A560" t="s">
        <v>16</v>
      </c>
      <c r="B560" t="s">
        <v>92</v>
      </c>
      <c r="C560" t="s">
        <v>90</v>
      </c>
      <c r="D560" t="s">
        <v>90</v>
      </c>
      <c r="E560">
        <v>0</v>
      </c>
    </row>
    <row r="561" spans="1:5" x14ac:dyDescent="0.25">
      <c r="A561" t="s">
        <v>16</v>
      </c>
      <c r="B561" t="s">
        <v>299</v>
      </c>
      <c r="C561" t="s">
        <v>429</v>
      </c>
      <c r="D561" t="s">
        <v>429</v>
      </c>
      <c r="E561">
        <v>0</v>
      </c>
    </row>
    <row r="562" spans="1:5" x14ac:dyDescent="0.25">
      <c r="A562" t="s">
        <v>16</v>
      </c>
      <c r="B562" t="s">
        <v>239</v>
      </c>
      <c r="C562" t="s">
        <v>374</v>
      </c>
      <c r="D562" t="s">
        <v>374</v>
      </c>
      <c r="E562">
        <v>0</v>
      </c>
    </row>
    <row r="563" spans="1:5" x14ac:dyDescent="0.25">
      <c r="A563" t="s">
        <v>16</v>
      </c>
      <c r="B563" t="s">
        <v>177</v>
      </c>
      <c r="C563" t="s">
        <v>175</v>
      </c>
      <c r="D563" t="s">
        <v>175</v>
      </c>
      <c r="E563">
        <v>0</v>
      </c>
    </row>
    <row r="564" spans="1:5" x14ac:dyDescent="0.25">
      <c r="A564" t="s">
        <v>16</v>
      </c>
      <c r="B564" t="s">
        <v>114</v>
      </c>
      <c r="C564" t="s">
        <v>374</v>
      </c>
      <c r="D564" t="s">
        <v>374</v>
      </c>
      <c r="E564">
        <v>0</v>
      </c>
    </row>
    <row r="565" spans="1:5" x14ac:dyDescent="0.25">
      <c r="A565" t="s">
        <v>16</v>
      </c>
      <c r="B565" t="s">
        <v>253</v>
      </c>
      <c r="C565" t="s">
        <v>298</v>
      </c>
      <c r="D565" t="s">
        <v>298</v>
      </c>
      <c r="E565">
        <v>0</v>
      </c>
    </row>
    <row r="566" spans="1:5" x14ac:dyDescent="0.25">
      <c r="A566" t="s">
        <v>16</v>
      </c>
      <c r="B566" t="s">
        <v>67</v>
      </c>
      <c r="C566" t="s">
        <v>332</v>
      </c>
      <c r="D566" t="s">
        <v>332</v>
      </c>
      <c r="E566">
        <v>0</v>
      </c>
    </row>
    <row r="567" spans="1:5" x14ac:dyDescent="0.25">
      <c r="A567" t="s">
        <v>16</v>
      </c>
      <c r="B567" t="s">
        <v>123</v>
      </c>
      <c r="C567" t="s">
        <v>439</v>
      </c>
      <c r="D567" t="s">
        <v>439</v>
      </c>
      <c r="E567">
        <v>0</v>
      </c>
    </row>
    <row r="568" spans="1:5" x14ac:dyDescent="0.25">
      <c r="A568" t="s">
        <v>16</v>
      </c>
      <c r="B568" t="s">
        <v>129</v>
      </c>
      <c r="C568" t="s">
        <v>262</v>
      </c>
      <c r="D568" t="s">
        <v>262</v>
      </c>
      <c r="E568">
        <v>0</v>
      </c>
    </row>
    <row r="569" spans="1:5" x14ac:dyDescent="0.25">
      <c r="A569" t="s">
        <v>16</v>
      </c>
      <c r="B569" t="s">
        <v>6</v>
      </c>
      <c r="C569" t="s">
        <v>447</v>
      </c>
      <c r="D569" t="s">
        <v>447</v>
      </c>
      <c r="E569">
        <v>0</v>
      </c>
    </row>
    <row r="570" spans="1:5" x14ac:dyDescent="0.25">
      <c r="A570" t="s">
        <v>16</v>
      </c>
      <c r="B570" t="s">
        <v>33</v>
      </c>
      <c r="C570" t="s">
        <v>214</v>
      </c>
      <c r="D570" t="s">
        <v>214</v>
      </c>
      <c r="E570">
        <v>0</v>
      </c>
    </row>
    <row r="571" spans="1:5" x14ac:dyDescent="0.25">
      <c r="A571" t="s">
        <v>16</v>
      </c>
      <c r="B571" t="s">
        <v>197</v>
      </c>
      <c r="C571" t="s">
        <v>198</v>
      </c>
      <c r="D571" t="s">
        <v>198</v>
      </c>
      <c r="E571">
        <v>0</v>
      </c>
    </row>
    <row r="572" spans="1:5" x14ac:dyDescent="0.25">
      <c r="A572" t="s">
        <v>16</v>
      </c>
      <c r="B572" t="s">
        <v>130</v>
      </c>
      <c r="C572" t="s">
        <v>332</v>
      </c>
      <c r="D572" t="s">
        <v>332</v>
      </c>
      <c r="E572">
        <v>0</v>
      </c>
    </row>
    <row r="573" spans="1:5" x14ac:dyDescent="0.25">
      <c r="A573" t="s">
        <v>16</v>
      </c>
      <c r="B573" t="s">
        <v>84</v>
      </c>
      <c r="C573" t="s">
        <v>412</v>
      </c>
      <c r="D573" t="s">
        <v>412</v>
      </c>
      <c r="E573">
        <v>0</v>
      </c>
    </row>
    <row r="574" spans="1:5" x14ac:dyDescent="0.25">
      <c r="A574" t="s">
        <v>16</v>
      </c>
      <c r="B574" t="s">
        <v>102</v>
      </c>
      <c r="C574" t="s">
        <v>191</v>
      </c>
      <c r="D574" t="s">
        <v>191</v>
      </c>
      <c r="E574">
        <v>0</v>
      </c>
    </row>
    <row r="575" spans="1:5" x14ac:dyDescent="0.25">
      <c r="A575" t="s">
        <v>16</v>
      </c>
      <c r="B575" t="s">
        <v>109</v>
      </c>
      <c r="C575" t="s">
        <v>335</v>
      </c>
      <c r="D575" t="s">
        <v>335</v>
      </c>
      <c r="E575">
        <v>0</v>
      </c>
    </row>
    <row r="576" spans="1:5" x14ac:dyDescent="0.25">
      <c r="A576" t="s">
        <v>16</v>
      </c>
      <c r="B576" t="s">
        <v>71</v>
      </c>
      <c r="C576" t="s">
        <v>384</v>
      </c>
      <c r="D576" t="s">
        <v>384</v>
      </c>
      <c r="E576">
        <v>0</v>
      </c>
    </row>
    <row r="577" spans="1:5" x14ac:dyDescent="0.25">
      <c r="A577" t="s">
        <v>16</v>
      </c>
      <c r="B577" t="s">
        <v>148</v>
      </c>
      <c r="C577" t="s">
        <v>147</v>
      </c>
      <c r="D577" t="s">
        <v>147</v>
      </c>
      <c r="E577">
        <v>0</v>
      </c>
    </row>
    <row r="578" spans="1:5" x14ac:dyDescent="0.25">
      <c r="A578" t="s">
        <v>16</v>
      </c>
      <c r="B578" t="s">
        <v>158</v>
      </c>
      <c r="C578" t="s">
        <v>157</v>
      </c>
      <c r="D578" t="s">
        <v>157</v>
      </c>
      <c r="E578">
        <v>0</v>
      </c>
    </row>
    <row r="579" spans="1:5" x14ac:dyDescent="0.25">
      <c r="A579" t="s">
        <v>16</v>
      </c>
      <c r="B579" t="s">
        <v>88</v>
      </c>
      <c r="C579" t="s">
        <v>407</v>
      </c>
      <c r="D579" t="s">
        <v>407</v>
      </c>
      <c r="E579">
        <v>0</v>
      </c>
    </row>
    <row r="580" spans="1:5" x14ac:dyDescent="0.25">
      <c r="A580" t="s">
        <v>16</v>
      </c>
      <c r="B580" t="s">
        <v>160</v>
      </c>
      <c r="C580" t="s">
        <v>323</v>
      </c>
      <c r="D580" t="s">
        <v>323</v>
      </c>
      <c r="E580">
        <v>0</v>
      </c>
    </row>
    <row r="581" spans="1:5" x14ac:dyDescent="0.25">
      <c r="A581" t="s">
        <v>16</v>
      </c>
      <c r="B581" t="s">
        <v>143</v>
      </c>
      <c r="C581" t="s">
        <v>441</v>
      </c>
      <c r="D581" t="s">
        <v>441</v>
      </c>
      <c r="E581">
        <v>0</v>
      </c>
    </row>
    <row r="582" spans="1:5" x14ac:dyDescent="0.25">
      <c r="A582" t="s">
        <v>16</v>
      </c>
      <c r="B582" t="s">
        <v>73</v>
      </c>
      <c r="C582" t="s">
        <v>308</v>
      </c>
      <c r="D582" t="s">
        <v>308</v>
      </c>
      <c r="E582">
        <v>0</v>
      </c>
    </row>
    <row r="583" spans="1:5" x14ac:dyDescent="0.25">
      <c r="A583" t="s">
        <v>16</v>
      </c>
      <c r="B583" t="s">
        <v>194</v>
      </c>
      <c r="C583" t="s">
        <v>374</v>
      </c>
      <c r="D583" t="s">
        <v>374</v>
      </c>
      <c r="E583">
        <v>0</v>
      </c>
    </row>
    <row r="584" spans="1:5" x14ac:dyDescent="0.25">
      <c r="A584" t="s">
        <v>16</v>
      </c>
      <c r="B584" t="s">
        <v>50</v>
      </c>
      <c r="C584" t="s">
        <v>453</v>
      </c>
      <c r="D584" t="s">
        <v>453</v>
      </c>
      <c r="E584">
        <v>0</v>
      </c>
    </row>
    <row r="585" spans="1:5" x14ac:dyDescent="0.25">
      <c r="A585" t="s">
        <v>16</v>
      </c>
      <c r="B585" t="s">
        <v>169</v>
      </c>
      <c r="C585" t="s">
        <v>170</v>
      </c>
      <c r="D585" t="s">
        <v>170</v>
      </c>
      <c r="E585">
        <v>0</v>
      </c>
    </row>
    <row r="586" spans="1:5" x14ac:dyDescent="0.25">
      <c r="A586" t="s">
        <v>16</v>
      </c>
      <c r="B586" t="s">
        <v>22</v>
      </c>
      <c r="C586" t="s">
        <v>325</v>
      </c>
      <c r="D586" t="s">
        <v>325</v>
      </c>
      <c r="E586">
        <v>0</v>
      </c>
    </row>
    <row r="587" spans="1:5" x14ac:dyDescent="0.25">
      <c r="A587" t="s">
        <v>16</v>
      </c>
      <c r="B587" t="s">
        <v>200</v>
      </c>
      <c r="C587" t="s">
        <v>325</v>
      </c>
      <c r="D587" t="s">
        <v>325</v>
      </c>
      <c r="E587">
        <v>0</v>
      </c>
    </row>
    <row r="588" spans="1:5" x14ac:dyDescent="0.25">
      <c r="A588" t="s">
        <v>16</v>
      </c>
      <c r="B588" t="s">
        <v>293</v>
      </c>
      <c r="C588" t="s">
        <v>292</v>
      </c>
      <c r="D588" t="s">
        <v>292</v>
      </c>
      <c r="E588">
        <v>0</v>
      </c>
    </row>
    <row r="589" spans="1:5" x14ac:dyDescent="0.25">
      <c r="A589" t="s">
        <v>16</v>
      </c>
      <c r="B589" t="s">
        <v>46</v>
      </c>
      <c r="C589" t="s">
        <v>205</v>
      </c>
      <c r="D589" t="s">
        <v>205</v>
      </c>
      <c r="E589">
        <v>0</v>
      </c>
    </row>
    <row r="590" spans="1:5" x14ac:dyDescent="0.25">
      <c r="A590" t="s">
        <v>16</v>
      </c>
      <c r="B590" t="s">
        <v>234</v>
      </c>
      <c r="C590" t="s">
        <v>296</v>
      </c>
      <c r="D590" t="s">
        <v>296</v>
      </c>
      <c r="E590">
        <v>0</v>
      </c>
    </row>
    <row r="591" spans="1:5" x14ac:dyDescent="0.25">
      <c r="A591" t="s">
        <v>16</v>
      </c>
      <c r="B591" t="s">
        <v>79</v>
      </c>
      <c r="C591" t="s">
        <v>236</v>
      </c>
      <c r="D591" t="s">
        <v>236</v>
      </c>
      <c r="E591">
        <v>0</v>
      </c>
    </row>
    <row r="592" spans="1:5" x14ac:dyDescent="0.25">
      <c r="A592" t="s">
        <v>16</v>
      </c>
      <c r="B592" t="s">
        <v>217</v>
      </c>
      <c r="C592" t="s">
        <v>285</v>
      </c>
      <c r="D592" t="s">
        <v>285</v>
      </c>
      <c r="E592">
        <v>0</v>
      </c>
    </row>
    <row r="593" spans="1:5" x14ac:dyDescent="0.25">
      <c r="A593" t="s">
        <v>16</v>
      </c>
      <c r="B593" t="s">
        <v>97</v>
      </c>
      <c r="C593" t="s">
        <v>422</v>
      </c>
      <c r="D593" t="s">
        <v>422</v>
      </c>
      <c r="E593">
        <v>0</v>
      </c>
    </row>
    <row r="594" spans="1:5" x14ac:dyDescent="0.25">
      <c r="A594" t="s">
        <v>8</v>
      </c>
      <c r="B594" t="s">
        <v>85</v>
      </c>
      <c r="C594" t="s">
        <v>425</v>
      </c>
      <c r="D594" t="s">
        <v>425</v>
      </c>
      <c r="E594">
        <v>0</v>
      </c>
    </row>
    <row r="595" spans="1:5" x14ac:dyDescent="0.25">
      <c r="A595" t="s">
        <v>8</v>
      </c>
      <c r="B595" t="s">
        <v>96</v>
      </c>
      <c r="C595" t="s">
        <v>95</v>
      </c>
      <c r="D595" t="s">
        <v>95</v>
      </c>
      <c r="E595">
        <v>0</v>
      </c>
    </row>
    <row r="596" spans="1:5" x14ac:dyDescent="0.25">
      <c r="A596" t="s">
        <v>8</v>
      </c>
      <c r="B596" t="s">
        <v>289</v>
      </c>
      <c r="C596" t="s">
        <v>288</v>
      </c>
      <c r="D596" t="s">
        <v>288</v>
      </c>
      <c r="E596">
        <v>0</v>
      </c>
    </row>
    <row r="597" spans="1:5" x14ac:dyDescent="0.25">
      <c r="A597" t="s">
        <v>8</v>
      </c>
      <c r="B597" t="s">
        <v>14</v>
      </c>
      <c r="C597" t="s">
        <v>447</v>
      </c>
      <c r="D597" t="s">
        <v>447</v>
      </c>
      <c r="E597">
        <v>0</v>
      </c>
    </row>
    <row r="598" spans="1:5" x14ac:dyDescent="0.25">
      <c r="A598" t="s">
        <v>8</v>
      </c>
      <c r="B598" t="s">
        <v>172</v>
      </c>
      <c r="C598" t="s">
        <v>170</v>
      </c>
      <c r="D598" t="s">
        <v>170</v>
      </c>
      <c r="E598">
        <v>0</v>
      </c>
    </row>
    <row r="599" spans="1:5" x14ac:dyDescent="0.25">
      <c r="A599" t="s">
        <v>8</v>
      </c>
      <c r="B599" t="s">
        <v>151</v>
      </c>
      <c r="C599" t="s">
        <v>238</v>
      </c>
      <c r="D599" t="s">
        <v>238</v>
      </c>
      <c r="E599">
        <v>0</v>
      </c>
    </row>
    <row r="600" spans="1:5" x14ac:dyDescent="0.25">
      <c r="A600" t="s">
        <v>8</v>
      </c>
      <c r="B600" t="s">
        <v>27</v>
      </c>
      <c r="C600" t="s">
        <v>438</v>
      </c>
      <c r="D600" t="s">
        <v>438</v>
      </c>
      <c r="E600">
        <v>0</v>
      </c>
    </row>
    <row r="601" spans="1:5" x14ac:dyDescent="0.25">
      <c r="A601" t="s">
        <v>8</v>
      </c>
      <c r="B601" t="s">
        <v>9</v>
      </c>
      <c r="C601" t="s">
        <v>10</v>
      </c>
      <c r="D601" t="s">
        <v>10</v>
      </c>
      <c r="E601">
        <v>0</v>
      </c>
    </row>
    <row r="602" spans="1:5" x14ac:dyDescent="0.25">
      <c r="A602" t="s">
        <v>8</v>
      </c>
      <c r="B602" t="s">
        <v>74</v>
      </c>
      <c r="C602" t="s">
        <v>285</v>
      </c>
      <c r="D602" t="s">
        <v>285</v>
      </c>
      <c r="E602">
        <v>0</v>
      </c>
    </row>
    <row r="603" spans="1:5" x14ac:dyDescent="0.25">
      <c r="A603" t="s">
        <v>8</v>
      </c>
      <c r="B603" t="s">
        <v>294</v>
      </c>
      <c r="C603" t="s">
        <v>422</v>
      </c>
      <c r="D603" t="s">
        <v>422</v>
      </c>
      <c r="E603">
        <v>0</v>
      </c>
    </row>
    <row r="604" spans="1:5" x14ac:dyDescent="0.25">
      <c r="A604" t="s">
        <v>8</v>
      </c>
      <c r="B604" t="s">
        <v>58</v>
      </c>
      <c r="C604" t="s">
        <v>56</v>
      </c>
      <c r="D604" t="s">
        <v>56</v>
      </c>
      <c r="E604">
        <v>0</v>
      </c>
    </row>
    <row r="605" spans="1:5" x14ac:dyDescent="0.25">
      <c r="A605" t="s">
        <v>8</v>
      </c>
      <c r="B605" t="s">
        <v>263</v>
      </c>
      <c r="C605" t="s">
        <v>352</v>
      </c>
      <c r="D605" t="s">
        <v>352</v>
      </c>
      <c r="E605">
        <v>0</v>
      </c>
    </row>
    <row r="606" spans="1:5" x14ac:dyDescent="0.25">
      <c r="A606" t="s">
        <v>8</v>
      </c>
      <c r="B606" t="s">
        <v>64</v>
      </c>
      <c r="C606" t="s">
        <v>290</v>
      </c>
      <c r="D606" t="s">
        <v>290</v>
      </c>
      <c r="E606">
        <v>0</v>
      </c>
    </row>
    <row r="607" spans="1:5" x14ac:dyDescent="0.25">
      <c r="A607" t="s">
        <v>8</v>
      </c>
      <c r="B607" t="s">
        <v>107</v>
      </c>
      <c r="C607" t="s">
        <v>379</v>
      </c>
      <c r="D607" t="s">
        <v>379</v>
      </c>
      <c r="E607">
        <v>0</v>
      </c>
    </row>
    <row r="608" spans="1:5" x14ac:dyDescent="0.25">
      <c r="A608" t="s">
        <v>8</v>
      </c>
      <c r="B608" t="s">
        <v>186</v>
      </c>
      <c r="C608" t="s">
        <v>185</v>
      </c>
      <c r="D608" t="s">
        <v>185</v>
      </c>
      <c r="E608">
        <v>0</v>
      </c>
    </row>
    <row r="609" spans="1:5" x14ac:dyDescent="0.25">
      <c r="A609" t="s">
        <v>8</v>
      </c>
      <c r="B609" t="s">
        <v>49</v>
      </c>
      <c r="C609" t="s">
        <v>48</v>
      </c>
      <c r="D609" t="s">
        <v>48</v>
      </c>
      <c r="E609">
        <v>0</v>
      </c>
    </row>
    <row r="610" spans="1:5" x14ac:dyDescent="0.25">
      <c r="A610" t="s">
        <v>8</v>
      </c>
      <c r="B610" t="s">
        <v>149</v>
      </c>
      <c r="C610" t="s">
        <v>368</v>
      </c>
      <c r="D610" t="s">
        <v>368</v>
      </c>
      <c r="E610">
        <v>0</v>
      </c>
    </row>
    <row r="611" spans="1:5" x14ac:dyDescent="0.25">
      <c r="A611" t="s">
        <v>8</v>
      </c>
      <c r="B611" t="s">
        <v>131</v>
      </c>
      <c r="C611" t="s">
        <v>203</v>
      </c>
      <c r="D611" t="s">
        <v>203</v>
      </c>
      <c r="E611">
        <v>0</v>
      </c>
    </row>
    <row r="612" spans="1:5" x14ac:dyDescent="0.25">
      <c r="A612" t="s">
        <v>8</v>
      </c>
      <c r="B612" t="s">
        <v>91</v>
      </c>
      <c r="C612" t="s">
        <v>249</v>
      </c>
      <c r="D612" t="s">
        <v>249</v>
      </c>
      <c r="E612">
        <v>0</v>
      </c>
    </row>
    <row r="613" spans="1:5" x14ac:dyDescent="0.25">
      <c r="A613" t="s">
        <v>8</v>
      </c>
      <c r="B613" t="s">
        <v>161</v>
      </c>
      <c r="C613" t="s">
        <v>162</v>
      </c>
      <c r="D613" t="s">
        <v>162</v>
      </c>
      <c r="E613">
        <v>0</v>
      </c>
    </row>
    <row r="614" spans="1:5" x14ac:dyDescent="0.25">
      <c r="A614" t="s">
        <v>8</v>
      </c>
      <c r="B614" t="s">
        <v>153</v>
      </c>
      <c r="C614" t="s">
        <v>170</v>
      </c>
      <c r="D614" t="s">
        <v>170</v>
      </c>
      <c r="E614">
        <v>0</v>
      </c>
    </row>
    <row r="615" spans="1:5" x14ac:dyDescent="0.25">
      <c r="A615" t="s">
        <v>8</v>
      </c>
      <c r="B615" t="s">
        <v>411</v>
      </c>
      <c r="C615" t="s">
        <v>445</v>
      </c>
      <c r="D615" t="s">
        <v>445</v>
      </c>
      <c r="E615">
        <v>0</v>
      </c>
    </row>
    <row r="616" spans="1:5" x14ac:dyDescent="0.25">
      <c r="A616" t="s">
        <v>8</v>
      </c>
      <c r="B616" t="s">
        <v>278</v>
      </c>
      <c r="C616" t="s">
        <v>416</v>
      </c>
      <c r="D616" t="s">
        <v>416</v>
      </c>
      <c r="E616">
        <v>0</v>
      </c>
    </row>
    <row r="617" spans="1:5" x14ac:dyDescent="0.25">
      <c r="A617" t="s">
        <v>8</v>
      </c>
      <c r="B617" t="s">
        <v>129</v>
      </c>
      <c r="C617" t="s">
        <v>386</v>
      </c>
      <c r="D617" t="s">
        <v>386</v>
      </c>
      <c r="E617">
        <v>0</v>
      </c>
    </row>
    <row r="618" spans="1:5" x14ac:dyDescent="0.25">
      <c r="A618" t="s">
        <v>8</v>
      </c>
      <c r="B618" t="s">
        <v>36</v>
      </c>
      <c r="C618" t="s">
        <v>417</v>
      </c>
      <c r="D618" t="s">
        <v>417</v>
      </c>
      <c r="E618">
        <v>0</v>
      </c>
    </row>
    <row r="619" spans="1:5" x14ac:dyDescent="0.25">
      <c r="A619" t="s">
        <v>8</v>
      </c>
      <c r="B619" t="s">
        <v>106</v>
      </c>
      <c r="C619" t="s">
        <v>262</v>
      </c>
      <c r="D619" t="s">
        <v>262</v>
      </c>
      <c r="E619">
        <v>0</v>
      </c>
    </row>
    <row r="620" spans="1:5" x14ac:dyDescent="0.25">
      <c r="A620" t="s">
        <v>8</v>
      </c>
      <c r="B620" t="s">
        <v>32</v>
      </c>
      <c r="C620" t="s">
        <v>359</v>
      </c>
      <c r="D620" t="s">
        <v>359</v>
      </c>
      <c r="E620">
        <v>0</v>
      </c>
    </row>
    <row r="621" spans="1:5" x14ac:dyDescent="0.25">
      <c r="A621" t="s">
        <v>8</v>
      </c>
      <c r="B621" t="s">
        <v>37</v>
      </c>
      <c r="C621" t="s">
        <v>254</v>
      </c>
      <c r="D621" t="s">
        <v>254</v>
      </c>
      <c r="E621">
        <v>0</v>
      </c>
    </row>
    <row r="622" spans="1:5" x14ac:dyDescent="0.25">
      <c r="A622" t="s">
        <v>8</v>
      </c>
      <c r="B622" t="s">
        <v>130</v>
      </c>
      <c r="C622" t="s">
        <v>128</v>
      </c>
      <c r="D622" t="s">
        <v>128</v>
      </c>
      <c r="E622">
        <v>0</v>
      </c>
    </row>
    <row r="623" spans="1:5" x14ac:dyDescent="0.25">
      <c r="A623" t="s">
        <v>8</v>
      </c>
      <c r="B623" t="s">
        <v>206</v>
      </c>
      <c r="C623" t="s">
        <v>395</v>
      </c>
      <c r="D623" t="s">
        <v>395</v>
      </c>
      <c r="E623">
        <v>0</v>
      </c>
    </row>
    <row r="624" spans="1:5" x14ac:dyDescent="0.25">
      <c r="A624" t="s">
        <v>8</v>
      </c>
      <c r="B624" t="s">
        <v>109</v>
      </c>
      <c r="C624" t="s">
        <v>388</v>
      </c>
      <c r="D624" t="s">
        <v>388</v>
      </c>
      <c r="E624">
        <v>0</v>
      </c>
    </row>
    <row r="625" spans="1:5" x14ac:dyDescent="0.25">
      <c r="A625" t="s">
        <v>8</v>
      </c>
      <c r="B625" t="s">
        <v>71</v>
      </c>
      <c r="C625" t="s">
        <v>282</v>
      </c>
      <c r="D625" t="s">
        <v>282</v>
      </c>
      <c r="E625">
        <v>0</v>
      </c>
    </row>
    <row r="626" spans="1:5" x14ac:dyDescent="0.25">
      <c r="A626" t="s">
        <v>8</v>
      </c>
      <c r="B626" t="s">
        <v>333</v>
      </c>
      <c r="C626" t="s">
        <v>332</v>
      </c>
      <c r="D626" t="s">
        <v>332</v>
      </c>
      <c r="E626">
        <v>0</v>
      </c>
    </row>
    <row r="627" spans="1:5" x14ac:dyDescent="0.25">
      <c r="A627" t="s">
        <v>8</v>
      </c>
      <c r="B627" t="s">
        <v>184</v>
      </c>
      <c r="C627" t="s">
        <v>372</v>
      </c>
      <c r="D627" t="s">
        <v>372</v>
      </c>
      <c r="E627">
        <v>0</v>
      </c>
    </row>
    <row r="628" spans="1:5" x14ac:dyDescent="0.25">
      <c r="A628" t="s">
        <v>8</v>
      </c>
      <c r="B628" t="s">
        <v>61</v>
      </c>
      <c r="C628" t="s">
        <v>179</v>
      </c>
      <c r="D628" t="s">
        <v>179</v>
      </c>
      <c r="E628">
        <v>0</v>
      </c>
    </row>
    <row r="629" spans="1:5" x14ac:dyDescent="0.25">
      <c r="A629" t="s">
        <v>8</v>
      </c>
      <c r="B629" t="s">
        <v>138</v>
      </c>
      <c r="C629" t="s">
        <v>358</v>
      </c>
      <c r="D629" t="s">
        <v>358</v>
      </c>
      <c r="E629">
        <v>0</v>
      </c>
    </row>
    <row r="630" spans="1:5" x14ac:dyDescent="0.25">
      <c r="A630" t="s">
        <v>8</v>
      </c>
      <c r="B630" t="s">
        <v>88</v>
      </c>
      <c r="C630" t="s">
        <v>422</v>
      </c>
      <c r="D630" t="s">
        <v>422</v>
      </c>
      <c r="E630">
        <v>0</v>
      </c>
    </row>
    <row r="631" spans="1:5" x14ac:dyDescent="0.25">
      <c r="A631" t="s">
        <v>8</v>
      </c>
      <c r="B631" t="s">
        <v>18</v>
      </c>
      <c r="C631" t="s">
        <v>363</v>
      </c>
      <c r="D631" t="s">
        <v>363</v>
      </c>
      <c r="E631">
        <v>0</v>
      </c>
    </row>
    <row r="632" spans="1:5" x14ac:dyDescent="0.25">
      <c r="A632" t="s">
        <v>8</v>
      </c>
      <c r="B632" t="s">
        <v>255</v>
      </c>
      <c r="C632" t="s">
        <v>254</v>
      </c>
      <c r="D632" t="s">
        <v>254</v>
      </c>
      <c r="E632">
        <v>0</v>
      </c>
    </row>
    <row r="633" spans="1:5" x14ac:dyDescent="0.25">
      <c r="A633" t="s">
        <v>8</v>
      </c>
      <c r="B633" t="s">
        <v>173</v>
      </c>
      <c r="C633" t="s">
        <v>321</v>
      </c>
      <c r="D633" t="s">
        <v>321</v>
      </c>
      <c r="E633">
        <v>0</v>
      </c>
    </row>
    <row r="634" spans="1:5" x14ac:dyDescent="0.25">
      <c r="A634" t="s">
        <v>8</v>
      </c>
      <c r="B634" t="s">
        <v>45</v>
      </c>
      <c r="C634" t="s">
        <v>41</v>
      </c>
      <c r="D634" t="s">
        <v>41</v>
      </c>
      <c r="E634">
        <v>0</v>
      </c>
    </row>
    <row r="635" spans="1:5" x14ac:dyDescent="0.25">
      <c r="A635" t="s">
        <v>8</v>
      </c>
      <c r="B635" t="s">
        <v>156</v>
      </c>
      <c r="C635" t="s">
        <v>157</v>
      </c>
      <c r="D635" t="s">
        <v>157</v>
      </c>
      <c r="E635">
        <v>0</v>
      </c>
    </row>
    <row r="636" spans="1:5" x14ac:dyDescent="0.25">
      <c r="A636" t="s">
        <v>8</v>
      </c>
      <c r="B636" t="s">
        <v>272</v>
      </c>
      <c r="C636" t="s">
        <v>401</v>
      </c>
      <c r="D636" t="s">
        <v>401</v>
      </c>
      <c r="E636">
        <v>0</v>
      </c>
    </row>
    <row r="637" spans="1:5" x14ac:dyDescent="0.25">
      <c r="A637" t="s">
        <v>8</v>
      </c>
      <c r="B637" t="s">
        <v>125</v>
      </c>
      <c r="C637" t="s">
        <v>338</v>
      </c>
      <c r="D637" t="s">
        <v>338</v>
      </c>
      <c r="E637">
        <v>0</v>
      </c>
    </row>
    <row r="638" spans="1:5" x14ac:dyDescent="0.25">
      <c r="A638" t="s">
        <v>8</v>
      </c>
      <c r="B638" t="s">
        <v>28</v>
      </c>
      <c r="C638" t="s">
        <v>287</v>
      </c>
      <c r="D638" t="s">
        <v>287</v>
      </c>
      <c r="E638">
        <v>0</v>
      </c>
    </row>
    <row r="639" spans="1:5" x14ac:dyDescent="0.25">
      <c r="A639" t="s">
        <v>8</v>
      </c>
      <c r="B639" t="s">
        <v>79</v>
      </c>
      <c r="C639" t="s">
        <v>282</v>
      </c>
      <c r="D639" t="s">
        <v>282</v>
      </c>
      <c r="E639">
        <v>0</v>
      </c>
    </row>
    <row r="640" spans="1:5" x14ac:dyDescent="0.25">
      <c r="A640" t="s">
        <v>8</v>
      </c>
      <c r="B640" t="s">
        <v>97</v>
      </c>
      <c r="C640" t="s">
        <v>352</v>
      </c>
      <c r="D640" t="s">
        <v>352</v>
      </c>
      <c r="E640">
        <v>0</v>
      </c>
    </row>
    <row r="641" spans="1:5" x14ac:dyDescent="0.25">
      <c r="A641" t="s">
        <v>8</v>
      </c>
      <c r="B641" t="s">
        <v>25</v>
      </c>
      <c r="C641" t="s">
        <v>23</v>
      </c>
      <c r="D641" t="s">
        <v>23</v>
      </c>
      <c r="E641">
        <v>0</v>
      </c>
    </row>
    <row r="642" spans="1:5" x14ac:dyDescent="0.25">
      <c r="A642" t="s">
        <v>26</v>
      </c>
      <c r="B642" t="s">
        <v>190</v>
      </c>
      <c r="C642" t="s">
        <v>261</v>
      </c>
      <c r="D642" t="s">
        <v>261</v>
      </c>
      <c r="E642">
        <v>0</v>
      </c>
    </row>
    <row r="643" spans="1:5" x14ac:dyDescent="0.25">
      <c r="A643" t="s">
        <v>26</v>
      </c>
      <c r="B643" t="s">
        <v>171</v>
      </c>
      <c r="C643" t="s">
        <v>432</v>
      </c>
      <c r="D643" t="s">
        <v>432</v>
      </c>
      <c r="E643">
        <v>0</v>
      </c>
    </row>
    <row r="644" spans="1:5" x14ac:dyDescent="0.25">
      <c r="A644" t="s">
        <v>26</v>
      </c>
      <c r="B644" t="s">
        <v>72</v>
      </c>
      <c r="C644" t="s">
        <v>346</v>
      </c>
      <c r="D644" t="s">
        <v>346</v>
      </c>
      <c r="E644">
        <v>0</v>
      </c>
    </row>
    <row r="645" spans="1:5" x14ac:dyDescent="0.25">
      <c r="A645" t="s">
        <v>26</v>
      </c>
      <c r="B645" t="s">
        <v>289</v>
      </c>
      <c r="C645" t="s">
        <v>432</v>
      </c>
      <c r="D645" t="s">
        <v>432</v>
      </c>
      <c r="E645">
        <v>0</v>
      </c>
    </row>
    <row r="646" spans="1:5" x14ac:dyDescent="0.25">
      <c r="A646" t="s">
        <v>26</v>
      </c>
      <c r="B646" t="s">
        <v>232</v>
      </c>
      <c r="C646" t="s">
        <v>233</v>
      </c>
      <c r="D646" t="s">
        <v>233</v>
      </c>
      <c r="E646">
        <v>0</v>
      </c>
    </row>
    <row r="647" spans="1:5" x14ac:dyDescent="0.25">
      <c r="A647" t="s">
        <v>26</v>
      </c>
      <c r="B647" t="s">
        <v>274</v>
      </c>
      <c r="C647" t="s">
        <v>291</v>
      </c>
      <c r="D647" t="s">
        <v>291</v>
      </c>
      <c r="E647">
        <v>0</v>
      </c>
    </row>
    <row r="648" spans="1:5" x14ac:dyDescent="0.25">
      <c r="A648" t="s">
        <v>26</v>
      </c>
      <c r="B648" t="s">
        <v>57</v>
      </c>
      <c r="C648" t="s">
        <v>430</v>
      </c>
      <c r="D648" t="s">
        <v>430</v>
      </c>
      <c r="E648">
        <v>0</v>
      </c>
    </row>
    <row r="649" spans="1:5" x14ac:dyDescent="0.25">
      <c r="A649" t="s">
        <v>26</v>
      </c>
      <c r="B649" t="s">
        <v>51</v>
      </c>
      <c r="C649" t="s">
        <v>302</v>
      </c>
      <c r="D649" t="s">
        <v>302</v>
      </c>
      <c r="E649">
        <v>0</v>
      </c>
    </row>
    <row r="650" spans="1:5" x14ac:dyDescent="0.25">
      <c r="A650" t="s">
        <v>26</v>
      </c>
      <c r="B650" t="s">
        <v>187</v>
      </c>
      <c r="C650" t="s">
        <v>427</v>
      </c>
      <c r="D650" t="s">
        <v>427</v>
      </c>
      <c r="E650">
        <v>0</v>
      </c>
    </row>
    <row r="651" spans="1:5" x14ac:dyDescent="0.25">
      <c r="A651" t="s">
        <v>26</v>
      </c>
      <c r="B651" t="s">
        <v>74</v>
      </c>
      <c r="C651" t="s">
        <v>312</v>
      </c>
      <c r="D651" t="s">
        <v>312</v>
      </c>
      <c r="E651">
        <v>0</v>
      </c>
    </row>
    <row r="652" spans="1:5" x14ac:dyDescent="0.25">
      <c r="A652" t="s">
        <v>26</v>
      </c>
      <c r="B652" t="s">
        <v>42</v>
      </c>
      <c r="C652" t="s">
        <v>415</v>
      </c>
      <c r="D652" t="s">
        <v>415</v>
      </c>
      <c r="E652">
        <v>0</v>
      </c>
    </row>
    <row r="653" spans="1:5" x14ac:dyDescent="0.25">
      <c r="A653" t="s">
        <v>26</v>
      </c>
      <c r="B653" t="s">
        <v>49</v>
      </c>
      <c r="C653" t="s">
        <v>425</v>
      </c>
      <c r="D653" t="s">
        <v>425</v>
      </c>
      <c r="E653">
        <v>0</v>
      </c>
    </row>
    <row r="654" spans="1:5" x14ac:dyDescent="0.25">
      <c r="A654" t="s">
        <v>26</v>
      </c>
      <c r="B654" t="s">
        <v>328</v>
      </c>
      <c r="C654" t="s">
        <v>384</v>
      </c>
      <c r="D654" t="s">
        <v>384</v>
      </c>
      <c r="E654">
        <v>0</v>
      </c>
    </row>
    <row r="655" spans="1:5" x14ac:dyDescent="0.25">
      <c r="A655" t="s">
        <v>26</v>
      </c>
      <c r="B655" t="s">
        <v>149</v>
      </c>
      <c r="C655" t="s">
        <v>205</v>
      </c>
      <c r="D655" t="s">
        <v>205</v>
      </c>
      <c r="E655">
        <v>0</v>
      </c>
    </row>
    <row r="656" spans="1:5" x14ac:dyDescent="0.25">
      <c r="A656" t="s">
        <v>26</v>
      </c>
      <c r="B656" t="s">
        <v>91</v>
      </c>
      <c r="C656" t="s">
        <v>273</v>
      </c>
      <c r="D656" t="s">
        <v>273</v>
      </c>
      <c r="E656">
        <v>0</v>
      </c>
    </row>
    <row r="657" spans="1:5" x14ac:dyDescent="0.25">
      <c r="A657" t="s">
        <v>26</v>
      </c>
      <c r="B657" t="s">
        <v>60</v>
      </c>
      <c r="C657" t="s">
        <v>421</v>
      </c>
      <c r="D657" t="s">
        <v>421</v>
      </c>
      <c r="E657">
        <v>0</v>
      </c>
    </row>
    <row r="658" spans="1:5" x14ac:dyDescent="0.25">
      <c r="A658" t="s">
        <v>26</v>
      </c>
      <c r="B658" t="s">
        <v>153</v>
      </c>
      <c r="C658" t="s">
        <v>198</v>
      </c>
      <c r="D658" t="s">
        <v>198</v>
      </c>
      <c r="E658">
        <v>0</v>
      </c>
    </row>
    <row r="659" spans="1:5" x14ac:dyDescent="0.25">
      <c r="A659" t="s">
        <v>26</v>
      </c>
      <c r="B659" t="s">
        <v>265</v>
      </c>
      <c r="C659" t="s">
        <v>332</v>
      </c>
      <c r="D659" t="s">
        <v>332</v>
      </c>
      <c r="E659">
        <v>0</v>
      </c>
    </row>
    <row r="660" spans="1:5" x14ac:dyDescent="0.25">
      <c r="A660" t="s">
        <v>26</v>
      </c>
      <c r="B660" t="s">
        <v>30</v>
      </c>
      <c r="C660" t="s">
        <v>166</v>
      </c>
      <c r="D660" t="s">
        <v>166</v>
      </c>
      <c r="E660">
        <v>0</v>
      </c>
    </row>
    <row r="661" spans="1:5" x14ac:dyDescent="0.25">
      <c r="A661" t="s">
        <v>26</v>
      </c>
      <c r="B661" t="s">
        <v>92</v>
      </c>
      <c r="C661" t="s">
        <v>316</v>
      </c>
      <c r="D661" t="s">
        <v>316</v>
      </c>
      <c r="E661">
        <v>0</v>
      </c>
    </row>
    <row r="662" spans="1:5" x14ac:dyDescent="0.25">
      <c r="A662" t="s">
        <v>26</v>
      </c>
      <c r="B662" t="s">
        <v>81</v>
      </c>
      <c r="C662" t="s">
        <v>80</v>
      </c>
      <c r="D662" t="s">
        <v>80</v>
      </c>
      <c r="E662">
        <v>0</v>
      </c>
    </row>
    <row r="663" spans="1:5" x14ac:dyDescent="0.25">
      <c r="A663" t="s">
        <v>26</v>
      </c>
      <c r="B663" t="s">
        <v>155</v>
      </c>
      <c r="C663" t="s">
        <v>152</v>
      </c>
      <c r="D663" t="s">
        <v>152</v>
      </c>
      <c r="E663">
        <v>0</v>
      </c>
    </row>
    <row r="664" spans="1:5" x14ac:dyDescent="0.25">
      <c r="A664" t="s">
        <v>26</v>
      </c>
      <c r="B664" t="s">
        <v>177</v>
      </c>
      <c r="C664" t="s">
        <v>288</v>
      </c>
      <c r="D664" t="s">
        <v>288</v>
      </c>
      <c r="E664">
        <v>0</v>
      </c>
    </row>
    <row r="665" spans="1:5" x14ac:dyDescent="0.25">
      <c r="A665" t="s">
        <v>26</v>
      </c>
      <c r="B665" t="s">
        <v>176</v>
      </c>
      <c r="C665" t="s">
        <v>368</v>
      </c>
      <c r="D665" t="s">
        <v>368</v>
      </c>
      <c r="E665">
        <v>0</v>
      </c>
    </row>
    <row r="666" spans="1:5" x14ac:dyDescent="0.25">
      <c r="A666" t="s">
        <v>26</v>
      </c>
      <c r="B666" t="s">
        <v>141</v>
      </c>
      <c r="C666" t="s">
        <v>142</v>
      </c>
      <c r="D666" t="s">
        <v>142</v>
      </c>
      <c r="E666">
        <v>0</v>
      </c>
    </row>
    <row r="667" spans="1:5" x14ac:dyDescent="0.25">
      <c r="A667" t="s">
        <v>26</v>
      </c>
      <c r="B667" t="s">
        <v>257</v>
      </c>
      <c r="C667" t="s">
        <v>256</v>
      </c>
      <c r="D667" t="s">
        <v>256</v>
      </c>
      <c r="E667">
        <v>0</v>
      </c>
    </row>
    <row r="668" spans="1:5" x14ac:dyDescent="0.25">
      <c r="A668" t="s">
        <v>26</v>
      </c>
      <c r="B668" t="s">
        <v>63</v>
      </c>
      <c r="C668" t="s">
        <v>170</v>
      </c>
      <c r="D668" t="s">
        <v>170</v>
      </c>
      <c r="E668">
        <v>0</v>
      </c>
    </row>
    <row r="669" spans="1:5" x14ac:dyDescent="0.25">
      <c r="A669" t="s">
        <v>26</v>
      </c>
      <c r="B669" t="s">
        <v>67</v>
      </c>
      <c r="C669" t="s">
        <v>66</v>
      </c>
      <c r="D669" t="s">
        <v>66</v>
      </c>
      <c r="E669">
        <v>0</v>
      </c>
    </row>
    <row r="670" spans="1:5" x14ac:dyDescent="0.25">
      <c r="A670" t="s">
        <v>26</v>
      </c>
      <c r="B670" t="s">
        <v>123</v>
      </c>
      <c r="C670" t="s">
        <v>329</v>
      </c>
      <c r="D670" t="s">
        <v>329</v>
      </c>
      <c r="E670">
        <v>0</v>
      </c>
    </row>
    <row r="671" spans="1:5" x14ac:dyDescent="0.25">
      <c r="A671" t="s">
        <v>26</v>
      </c>
      <c r="B671" t="s">
        <v>36</v>
      </c>
      <c r="C671" t="s">
        <v>380</v>
      </c>
      <c r="D671" t="s">
        <v>380</v>
      </c>
      <c r="E671">
        <v>0</v>
      </c>
    </row>
    <row r="672" spans="1:5" x14ac:dyDescent="0.25">
      <c r="A672" t="s">
        <v>26</v>
      </c>
      <c r="B672" t="s">
        <v>33</v>
      </c>
      <c r="C672" t="s">
        <v>268</v>
      </c>
      <c r="D672" t="s">
        <v>268</v>
      </c>
      <c r="E672">
        <v>0</v>
      </c>
    </row>
    <row r="673" spans="1:5" x14ac:dyDescent="0.25">
      <c r="A673" t="s">
        <v>26</v>
      </c>
      <c r="B673" t="s">
        <v>209</v>
      </c>
      <c r="C673" t="s">
        <v>244</v>
      </c>
      <c r="D673" t="s">
        <v>244</v>
      </c>
      <c r="E673">
        <v>0</v>
      </c>
    </row>
    <row r="674" spans="1:5" x14ac:dyDescent="0.25">
      <c r="A674" t="s">
        <v>26</v>
      </c>
      <c r="B674" t="s">
        <v>267</v>
      </c>
      <c r="C674" t="s">
        <v>448</v>
      </c>
      <c r="D674" t="s">
        <v>448</v>
      </c>
      <c r="E674">
        <v>0</v>
      </c>
    </row>
    <row r="675" spans="1:5" x14ac:dyDescent="0.25">
      <c r="A675" t="s">
        <v>26</v>
      </c>
      <c r="B675" t="s">
        <v>126</v>
      </c>
      <c r="C675" t="s">
        <v>124</v>
      </c>
      <c r="D675" t="s">
        <v>124</v>
      </c>
      <c r="E675">
        <v>0</v>
      </c>
    </row>
    <row r="676" spans="1:5" x14ac:dyDescent="0.25">
      <c r="A676" t="s">
        <v>26</v>
      </c>
      <c r="B676" t="s">
        <v>102</v>
      </c>
      <c r="C676" t="s">
        <v>157</v>
      </c>
      <c r="D676" t="s">
        <v>157</v>
      </c>
      <c r="E676">
        <v>0</v>
      </c>
    </row>
    <row r="677" spans="1:5" x14ac:dyDescent="0.25">
      <c r="A677" t="s">
        <v>26</v>
      </c>
      <c r="B677" t="s">
        <v>148</v>
      </c>
      <c r="C677" t="s">
        <v>315</v>
      </c>
      <c r="D677" t="s">
        <v>315</v>
      </c>
      <c r="E677">
        <v>0</v>
      </c>
    </row>
    <row r="678" spans="1:5" x14ac:dyDescent="0.25">
      <c r="A678" t="s">
        <v>26</v>
      </c>
      <c r="B678" t="s">
        <v>18</v>
      </c>
      <c r="C678" t="s">
        <v>368</v>
      </c>
      <c r="D678" t="s">
        <v>368</v>
      </c>
      <c r="E678">
        <v>0</v>
      </c>
    </row>
    <row r="679" spans="1:5" x14ac:dyDescent="0.25">
      <c r="A679" t="s">
        <v>26</v>
      </c>
      <c r="B679" t="s">
        <v>295</v>
      </c>
      <c r="C679" t="s">
        <v>325</v>
      </c>
      <c r="D679" t="s">
        <v>325</v>
      </c>
      <c r="E679">
        <v>0</v>
      </c>
    </row>
    <row r="680" spans="1:5" x14ac:dyDescent="0.25">
      <c r="A680" t="s">
        <v>26</v>
      </c>
      <c r="B680" t="s">
        <v>311</v>
      </c>
      <c r="C680" t="s">
        <v>417</v>
      </c>
      <c r="D680" t="s">
        <v>417</v>
      </c>
      <c r="E680">
        <v>0</v>
      </c>
    </row>
    <row r="681" spans="1:5" x14ac:dyDescent="0.25">
      <c r="A681" t="s">
        <v>26</v>
      </c>
      <c r="B681" t="s">
        <v>20</v>
      </c>
      <c r="C681" t="s">
        <v>23</v>
      </c>
      <c r="D681" t="s">
        <v>23</v>
      </c>
      <c r="E681">
        <v>0</v>
      </c>
    </row>
    <row r="682" spans="1:5" x14ac:dyDescent="0.25">
      <c r="A682" t="s">
        <v>26</v>
      </c>
      <c r="B682" t="s">
        <v>339</v>
      </c>
      <c r="C682" t="s">
        <v>338</v>
      </c>
      <c r="D682" t="s">
        <v>338</v>
      </c>
      <c r="E682">
        <v>0</v>
      </c>
    </row>
    <row r="683" spans="1:5" x14ac:dyDescent="0.25">
      <c r="A683" t="s">
        <v>26</v>
      </c>
      <c r="B683" t="s">
        <v>183</v>
      </c>
      <c r="C683" t="s">
        <v>198</v>
      </c>
      <c r="D683" t="s">
        <v>198</v>
      </c>
      <c r="E683">
        <v>0</v>
      </c>
    </row>
    <row r="684" spans="1:5" x14ac:dyDescent="0.25">
      <c r="A684" t="s">
        <v>26</v>
      </c>
      <c r="B684" t="s">
        <v>227</v>
      </c>
      <c r="C684" t="s">
        <v>226</v>
      </c>
      <c r="D684" t="s">
        <v>226</v>
      </c>
      <c r="E684">
        <v>0</v>
      </c>
    </row>
    <row r="685" spans="1:5" x14ac:dyDescent="0.25">
      <c r="A685" t="s">
        <v>26</v>
      </c>
      <c r="B685" t="s">
        <v>255</v>
      </c>
      <c r="C685" t="s">
        <v>376</v>
      </c>
      <c r="D685" t="s">
        <v>376</v>
      </c>
      <c r="E685">
        <v>0</v>
      </c>
    </row>
    <row r="686" spans="1:5" x14ac:dyDescent="0.25">
      <c r="A686" t="s">
        <v>26</v>
      </c>
      <c r="B686" t="s">
        <v>118</v>
      </c>
      <c r="C686" t="s">
        <v>214</v>
      </c>
      <c r="D686" t="s">
        <v>214</v>
      </c>
      <c r="E686">
        <v>0</v>
      </c>
    </row>
    <row r="687" spans="1:5" x14ac:dyDescent="0.25">
      <c r="A687" t="s">
        <v>26</v>
      </c>
      <c r="B687" t="s">
        <v>250</v>
      </c>
      <c r="C687" t="s">
        <v>421</v>
      </c>
      <c r="D687" t="s">
        <v>421</v>
      </c>
      <c r="E687">
        <v>0</v>
      </c>
    </row>
    <row r="688" spans="1:5" x14ac:dyDescent="0.25">
      <c r="A688" t="s">
        <v>26</v>
      </c>
      <c r="B688" t="s">
        <v>28</v>
      </c>
      <c r="C688" t="s">
        <v>23</v>
      </c>
      <c r="D688" t="s">
        <v>23</v>
      </c>
      <c r="E688">
        <v>0</v>
      </c>
    </row>
    <row r="689" spans="1:5" x14ac:dyDescent="0.25">
      <c r="A689" t="s">
        <v>26</v>
      </c>
      <c r="B689" t="s">
        <v>22</v>
      </c>
      <c r="C689" t="s">
        <v>323</v>
      </c>
      <c r="D689" t="s">
        <v>323</v>
      </c>
      <c r="E689">
        <v>0</v>
      </c>
    </row>
    <row r="690" spans="1:5" x14ac:dyDescent="0.25">
      <c r="A690" t="s">
        <v>26</v>
      </c>
      <c r="B690" t="s">
        <v>293</v>
      </c>
      <c r="C690" t="s">
        <v>434</v>
      </c>
      <c r="D690" t="s">
        <v>434</v>
      </c>
      <c r="E690">
        <v>0</v>
      </c>
    </row>
    <row r="691" spans="1:5" x14ac:dyDescent="0.25">
      <c r="A691" t="s">
        <v>26</v>
      </c>
      <c r="B691" t="s">
        <v>79</v>
      </c>
      <c r="C691" t="s">
        <v>80</v>
      </c>
      <c r="D691" t="s">
        <v>80</v>
      </c>
      <c r="E691">
        <v>0</v>
      </c>
    </row>
    <row r="692" spans="1:5" x14ac:dyDescent="0.25">
      <c r="A692" t="s">
        <v>26</v>
      </c>
      <c r="B692" t="s">
        <v>217</v>
      </c>
      <c r="C692" t="s">
        <v>320</v>
      </c>
      <c r="D692" t="s">
        <v>320</v>
      </c>
      <c r="E692">
        <v>0</v>
      </c>
    </row>
    <row r="693" spans="1:5" x14ac:dyDescent="0.25">
      <c r="A693" t="s">
        <v>26</v>
      </c>
      <c r="B693" t="s">
        <v>25</v>
      </c>
      <c r="C693" t="s">
        <v>225</v>
      </c>
      <c r="D693" t="s">
        <v>225</v>
      </c>
      <c r="E693">
        <v>0</v>
      </c>
    </row>
    <row r="694" spans="1:5" x14ac:dyDescent="0.25">
      <c r="A694" t="s">
        <v>26</v>
      </c>
      <c r="B694" t="s">
        <v>305</v>
      </c>
      <c r="C694" t="s">
        <v>348</v>
      </c>
      <c r="D694" t="s">
        <v>348</v>
      </c>
      <c r="E694">
        <v>0</v>
      </c>
    </row>
    <row r="695" spans="1:5" x14ac:dyDescent="0.25">
      <c r="A695" t="s">
        <v>38</v>
      </c>
      <c r="B695" t="s">
        <v>190</v>
      </c>
      <c r="C695" t="s">
        <v>352</v>
      </c>
      <c r="D695" t="s">
        <v>352</v>
      </c>
      <c r="E695">
        <v>0</v>
      </c>
    </row>
    <row r="696" spans="1:5" x14ac:dyDescent="0.25">
      <c r="A696" t="s">
        <v>38</v>
      </c>
      <c r="B696" t="s">
        <v>96</v>
      </c>
      <c r="C696" t="s">
        <v>408</v>
      </c>
      <c r="D696" t="s">
        <v>408</v>
      </c>
      <c r="E696">
        <v>0</v>
      </c>
    </row>
    <row r="697" spans="1:5" x14ac:dyDescent="0.25">
      <c r="A697" t="s">
        <v>38</v>
      </c>
      <c r="B697" t="s">
        <v>93</v>
      </c>
      <c r="C697" t="s">
        <v>210</v>
      </c>
      <c r="D697" t="s">
        <v>210</v>
      </c>
      <c r="E697">
        <v>0</v>
      </c>
    </row>
    <row r="698" spans="1:5" x14ac:dyDescent="0.25">
      <c r="A698" t="s">
        <v>38</v>
      </c>
      <c r="B698" t="s">
        <v>68</v>
      </c>
      <c r="C698" t="s">
        <v>298</v>
      </c>
      <c r="D698" t="s">
        <v>298</v>
      </c>
      <c r="E698">
        <v>0</v>
      </c>
    </row>
    <row r="699" spans="1:5" x14ac:dyDescent="0.25">
      <c r="A699" t="s">
        <v>38</v>
      </c>
      <c r="B699" t="s">
        <v>65</v>
      </c>
      <c r="C699" t="s">
        <v>203</v>
      </c>
      <c r="D699" t="s">
        <v>203</v>
      </c>
      <c r="E699">
        <v>0</v>
      </c>
    </row>
    <row r="700" spans="1:5" x14ac:dyDescent="0.25">
      <c r="A700" t="s">
        <v>38</v>
      </c>
      <c r="B700" t="s">
        <v>27</v>
      </c>
      <c r="C700" t="s">
        <v>349</v>
      </c>
      <c r="D700" t="s">
        <v>349</v>
      </c>
      <c r="E700">
        <v>0</v>
      </c>
    </row>
    <row r="701" spans="1:5" x14ac:dyDescent="0.25">
      <c r="A701" t="s">
        <v>38</v>
      </c>
      <c r="B701" t="s">
        <v>187</v>
      </c>
      <c r="C701" t="s">
        <v>439</v>
      </c>
      <c r="D701" t="s">
        <v>439</v>
      </c>
      <c r="E701">
        <v>0</v>
      </c>
    </row>
    <row r="702" spans="1:5" x14ac:dyDescent="0.25">
      <c r="A702" t="s">
        <v>38</v>
      </c>
      <c r="B702" t="s">
        <v>54</v>
      </c>
      <c r="C702" t="s">
        <v>412</v>
      </c>
      <c r="D702" t="s">
        <v>412</v>
      </c>
      <c r="E702">
        <v>0</v>
      </c>
    </row>
    <row r="703" spans="1:5" x14ac:dyDescent="0.25">
      <c r="A703" t="s">
        <v>38</v>
      </c>
      <c r="B703" t="s">
        <v>64</v>
      </c>
      <c r="C703" t="s">
        <v>242</v>
      </c>
      <c r="D703" t="s">
        <v>242</v>
      </c>
      <c r="E703">
        <v>0</v>
      </c>
    </row>
    <row r="704" spans="1:5" x14ac:dyDescent="0.25">
      <c r="A704" t="s">
        <v>38</v>
      </c>
      <c r="B704" t="s">
        <v>400</v>
      </c>
      <c r="C704" t="s">
        <v>399</v>
      </c>
      <c r="D704" t="s">
        <v>399</v>
      </c>
      <c r="E704">
        <v>0</v>
      </c>
    </row>
    <row r="705" spans="1:5" x14ac:dyDescent="0.25">
      <c r="A705" t="s">
        <v>38</v>
      </c>
      <c r="B705" t="s">
        <v>328</v>
      </c>
      <c r="C705" t="s">
        <v>329</v>
      </c>
      <c r="D705" t="s">
        <v>329</v>
      </c>
      <c r="E705">
        <v>0</v>
      </c>
    </row>
    <row r="706" spans="1:5" x14ac:dyDescent="0.25">
      <c r="A706" t="s">
        <v>38</v>
      </c>
      <c r="B706" t="s">
        <v>146</v>
      </c>
      <c r="C706" t="s">
        <v>454</v>
      </c>
      <c r="D706" t="s">
        <v>454</v>
      </c>
      <c r="E706">
        <v>0</v>
      </c>
    </row>
    <row r="707" spans="1:5" x14ac:dyDescent="0.25">
      <c r="A707" t="s">
        <v>38</v>
      </c>
      <c r="B707" t="s">
        <v>127</v>
      </c>
      <c r="C707" t="s">
        <v>271</v>
      </c>
      <c r="D707" t="s">
        <v>271</v>
      </c>
      <c r="E707">
        <v>0</v>
      </c>
    </row>
    <row r="708" spans="1:5" x14ac:dyDescent="0.25">
      <c r="A708" t="s">
        <v>38</v>
      </c>
      <c r="B708" t="s">
        <v>215</v>
      </c>
      <c r="C708" t="s">
        <v>273</v>
      </c>
      <c r="D708" t="s">
        <v>273</v>
      </c>
      <c r="E708">
        <v>0</v>
      </c>
    </row>
    <row r="709" spans="1:5" x14ac:dyDescent="0.25">
      <c r="A709" t="s">
        <v>38</v>
      </c>
      <c r="B709" t="s">
        <v>153</v>
      </c>
      <c r="C709" t="s">
        <v>273</v>
      </c>
      <c r="D709" t="s">
        <v>273</v>
      </c>
      <c r="E709">
        <v>0</v>
      </c>
    </row>
    <row r="710" spans="1:5" x14ac:dyDescent="0.25">
      <c r="A710" t="s">
        <v>38</v>
      </c>
      <c r="B710" t="s">
        <v>34</v>
      </c>
      <c r="C710" t="s">
        <v>298</v>
      </c>
      <c r="D710" t="s">
        <v>298</v>
      </c>
      <c r="E710">
        <v>0</v>
      </c>
    </row>
    <row r="711" spans="1:5" x14ac:dyDescent="0.25">
      <c r="A711" t="s">
        <v>38</v>
      </c>
      <c r="B711" t="s">
        <v>342</v>
      </c>
      <c r="C711" t="s">
        <v>374</v>
      </c>
      <c r="D711" t="s">
        <v>374</v>
      </c>
      <c r="E711">
        <v>0</v>
      </c>
    </row>
    <row r="712" spans="1:5" x14ac:dyDescent="0.25">
      <c r="A712" t="s">
        <v>38</v>
      </c>
      <c r="B712" t="s">
        <v>87</v>
      </c>
      <c r="C712" t="s">
        <v>416</v>
      </c>
      <c r="D712" t="s">
        <v>416</v>
      </c>
      <c r="E712">
        <v>0</v>
      </c>
    </row>
    <row r="713" spans="1:5" x14ac:dyDescent="0.25">
      <c r="A713" t="s">
        <v>38</v>
      </c>
      <c r="B713" t="s">
        <v>92</v>
      </c>
      <c r="C713" t="s">
        <v>205</v>
      </c>
      <c r="D713" t="s">
        <v>205</v>
      </c>
      <c r="E713">
        <v>0</v>
      </c>
    </row>
    <row r="714" spans="1:5" x14ac:dyDescent="0.25">
      <c r="A714" t="s">
        <v>38</v>
      </c>
      <c r="B714" t="s">
        <v>207</v>
      </c>
      <c r="C714" t="s">
        <v>385</v>
      </c>
      <c r="D714" t="s">
        <v>385</v>
      </c>
      <c r="E714">
        <v>0</v>
      </c>
    </row>
    <row r="715" spans="1:5" x14ac:dyDescent="0.25">
      <c r="A715" t="s">
        <v>38</v>
      </c>
      <c r="B715" t="s">
        <v>115</v>
      </c>
      <c r="C715" t="s">
        <v>124</v>
      </c>
      <c r="D715" t="s">
        <v>124</v>
      </c>
      <c r="E715">
        <v>0</v>
      </c>
    </row>
    <row r="716" spans="1:5" x14ac:dyDescent="0.25">
      <c r="A716" t="s">
        <v>38</v>
      </c>
      <c r="B716" t="s">
        <v>239</v>
      </c>
      <c r="C716" t="s">
        <v>247</v>
      </c>
      <c r="D716" t="s">
        <v>247</v>
      </c>
      <c r="E716">
        <v>0</v>
      </c>
    </row>
    <row r="717" spans="1:5" x14ac:dyDescent="0.25">
      <c r="A717" t="s">
        <v>38</v>
      </c>
      <c r="B717" t="s">
        <v>340</v>
      </c>
      <c r="C717" t="s">
        <v>437</v>
      </c>
      <c r="D717" t="s">
        <v>437</v>
      </c>
      <c r="E717">
        <v>0</v>
      </c>
    </row>
    <row r="718" spans="1:5" x14ac:dyDescent="0.25">
      <c r="A718" t="s">
        <v>38</v>
      </c>
      <c r="B718" t="s">
        <v>253</v>
      </c>
      <c r="C718" t="s">
        <v>409</v>
      </c>
      <c r="D718" t="s">
        <v>409</v>
      </c>
      <c r="E718">
        <v>0</v>
      </c>
    </row>
    <row r="719" spans="1:5" x14ac:dyDescent="0.25">
      <c r="A719" t="s">
        <v>38</v>
      </c>
      <c r="B719" t="s">
        <v>76</v>
      </c>
      <c r="C719" t="s">
        <v>292</v>
      </c>
      <c r="D719" t="s">
        <v>292</v>
      </c>
      <c r="E719">
        <v>0</v>
      </c>
    </row>
    <row r="720" spans="1:5" x14ac:dyDescent="0.25">
      <c r="A720" t="s">
        <v>38</v>
      </c>
      <c r="B720" t="s">
        <v>33</v>
      </c>
      <c r="C720" t="s">
        <v>128</v>
      </c>
      <c r="D720" t="s">
        <v>128</v>
      </c>
      <c r="E720">
        <v>0</v>
      </c>
    </row>
    <row r="721" spans="1:5" x14ac:dyDescent="0.25">
      <c r="A721" t="s">
        <v>38</v>
      </c>
      <c r="B721" t="s">
        <v>283</v>
      </c>
      <c r="C721" t="s">
        <v>421</v>
      </c>
      <c r="D721" t="s">
        <v>421</v>
      </c>
      <c r="E721">
        <v>0</v>
      </c>
    </row>
    <row r="722" spans="1:5" x14ac:dyDescent="0.25">
      <c r="A722" t="s">
        <v>38</v>
      </c>
      <c r="B722" t="s">
        <v>209</v>
      </c>
      <c r="C722" t="s">
        <v>374</v>
      </c>
      <c r="D722" t="s">
        <v>374</v>
      </c>
      <c r="E722">
        <v>0</v>
      </c>
    </row>
    <row r="723" spans="1:5" x14ac:dyDescent="0.25">
      <c r="A723" t="s">
        <v>38</v>
      </c>
      <c r="B723" t="s">
        <v>75</v>
      </c>
      <c r="C723" t="s">
        <v>454</v>
      </c>
      <c r="D723" t="s">
        <v>454</v>
      </c>
      <c r="E723">
        <v>0</v>
      </c>
    </row>
    <row r="724" spans="1:5" x14ac:dyDescent="0.25">
      <c r="A724" t="s">
        <v>38</v>
      </c>
      <c r="B724" t="s">
        <v>246</v>
      </c>
      <c r="C724" t="s">
        <v>245</v>
      </c>
      <c r="D724" t="s">
        <v>245</v>
      </c>
      <c r="E724">
        <v>0</v>
      </c>
    </row>
    <row r="725" spans="1:5" x14ac:dyDescent="0.25">
      <c r="A725" t="s">
        <v>38</v>
      </c>
      <c r="B725" t="s">
        <v>61</v>
      </c>
      <c r="C725" t="s">
        <v>62</v>
      </c>
      <c r="D725" t="s">
        <v>62</v>
      </c>
      <c r="E725">
        <v>0</v>
      </c>
    </row>
    <row r="726" spans="1:5" x14ac:dyDescent="0.25">
      <c r="A726" t="s">
        <v>38</v>
      </c>
      <c r="B726" t="s">
        <v>82</v>
      </c>
      <c r="C726" t="s">
        <v>454</v>
      </c>
      <c r="D726" t="s">
        <v>454</v>
      </c>
      <c r="E726">
        <v>0</v>
      </c>
    </row>
    <row r="727" spans="1:5" x14ac:dyDescent="0.25">
      <c r="A727" t="s">
        <v>38</v>
      </c>
      <c r="B727" t="s">
        <v>88</v>
      </c>
      <c r="C727" t="s">
        <v>449</v>
      </c>
      <c r="D727" t="s">
        <v>449</v>
      </c>
      <c r="E727">
        <v>0</v>
      </c>
    </row>
    <row r="728" spans="1:5" x14ac:dyDescent="0.25">
      <c r="A728" t="s">
        <v>38</v>
      </c>
      <c r="B728" t="s">
        <v>178</v>
      </c>
      <c r="C728" t="s">
        <v>214</v>
      </c>
      <c r="D728" t="s">
        <v>214</v>
      </c>
      <c r="E728">
        <v>0</v>
      </c>
    </row>
    <row r="729" spans="1:5" x14ac:dyDescent="0.25">
      <c r="A729" t="s">
        <v>38</v>
      </c>
      <c r="B729" t="s">
        <v>20</v>
      </c>
      <c r="C729" t="s">
        <v>110</v>
      </c>
      <c r="D729" t="s">
        <v>110</v>
      </c>
      <c r="E729">
        <v>0</v>
      </c>
    </row>
    <row r="730" spans="1:5" x14ac:dyDescent="0.25">
      <c r="A730" t="s">
        <v>38</v>
      </c>
      <c r="B730" t="s">
        <v>73</v>
      </c>
      <c r="C730" t="s">
        <v>322</v>
      </c>
      <c r="D730" t="s">
        <v>322</v>
      </c>
      <c r="E730">
        <v>0</v>
      </c>
    </row>
    <row r="731" spans="1:5" x14ac:dyDescent="0.25">
      <c r="A731" t="s">
        <v>38</v>
      </c>
      <c r="B731" t="s">
        <v>183</v>
      </c>
      <c r="C731" t="s">
        <v>422</v>
      </c>
      <c r="D731" t="s">
        <v>422</v>
      </c>
      <c r="E731">
        <v>0</v>
      </c>
    </row>
    <row r="732" spans="1:5" x14ac:dyDescent="0.25">
      <c r="A732" t="s">
        <v>38</v>
      </c>
      <c r="B732" t="s">
        <v>59</v>
      </c>
      <c r="C732" t="s">
        <v>341</v>
      </c>
      <c r="D732" t="s">
        <v>341</v>
      </c>
      <c r="E732">
        <v>0</v>
      </c>
    </row>
    <row r="733" spans="1:5" x14ac:dyDescent="0.25">
      <c r="A733" t="s">
        <v>38</v>
      </c>
      <c r="B733" t="s">
        <v>45</v>
      </c>
      <c r="C733" t="s">
        <v>219</v>
      </c>
      <c r="D733" t="s">
        <v>219</v>
      </c>
      <c r="E733">
        <v>0</v>
      </c>
    </row>
    <row r="734" spans="1:5" x14ac:dyDescent="0.25">
      <c r="A734" t="s">
        <v>38</v>
      </c>
      <c r="B734" t="s">
        <v>125</v>
      </c>
      <c r="C734" t="s">
        <v>140</v>
      </c>
      <c r="D734" t="s">
        <v>140</v>
      </c>
      <c r="E734">
        <v>0</v>
      </c>
    </row>
    <row r="735" spans="1:5" x14ac:dyDescent="0.25">
      <c r="A735" t="s">
        <v>38</v>
      </c>
      <c r="B735" t="s">
        <v>303</v>
      </c>
      <c r="C735" t="s">
        <v>426</v>
      </c>
      <c r="D735" t="s">
        <v>426</v>
      </c>
      <c r="E735">
        <v>0</v>
      </c>
    </row>
    <row r="736" spans="1:5" x14ac:dyDescent="0.25">
      <c r="A736" t="s">
        <v>38</v>
      </c>
      <c r="B736" t="s">
        <v>237</v>
      </c>
      <c r="C736" t="s">
        <v>241</v>
      </c>
      <c r="D736" t="s">
        <v>241</v>
      </c>
      <c r="E736">
        <v>0</v>
      </c>
    </row>
    <row r="737" spans="1:5" x14ac:dyDescent="0.25">
      <c r="A737" t="s">
        <v>38</v>
      </c>
      <c r="B737" t="s">
        <v>79</v>
      </c>
      <c r="C737" t="s">
        <v>262</v>
      </c>
      <c r="D737" t="s">
        <v>262</v>
      </c>
      <c r="E737">
        <v>0</v>
      </c>
    </row>
    <row r="738" spans="1:5" x14ac:dyDescent="0.25">
      <c r="A738" t="s">
        <v>21</v>
      </c>
      <c r="B738" t="s">
        <v>190</v>
      </c>
      <c r="C738" t="s">
        <v>429</v>
      </c>
      <c r="D738" t="s">
        <v>429</v>
      </c>
      <c r="E738">
        <v>0</v>
      </c>
    </row>
    <row r="739" spans="1:5" x14ac:dyDescent="0.25">
      <c r="A739" t="s">
        <v>21</v>
      </c>
      <c r="B739" t="s">
        <v>193</v>
      </c>
      <c r="C739" t="s">
        <v>242</v>
      </c>
      <c r="D739" t="s">
        <v>242</v>
      </c>
      <c r="E739">
        <v>0</v>
      </c>
    </row>
    <row r="740" spans="1:5" x14ac:dyDescent="0.25">
      <c r="A740" t="s">
        <v>21</v>
      </c>
      <c r="B740" t="s">
        <v>72</v>
      </c>
      <c r="C740" t="s">
        <v>451</v>
      </c>
      <c r="D740" t="s">
        <v>451</v>
      </c>
      <c r="E740">
        <v>0</v>
      </c>
    </row>
    <row r="741" spans="1:5" x14ac:dyDescent="0.25">
      <c r="A741" t="s">
        <v>21</v>
      </c>
      <c r="B741" t="s">
        <v>274</v>
      </c>
      <c r="C741" t="s">
        <v>438</v>
      </c>
      <c r="D741" t="s">
        <v>438</v>
      </c>
      <c r="E741">
        <v>0</v>
      </c>
    </row>
    <row r="742" spans="1:5" x14ac:dyDescent="0.25">
      <c r="A742" t="s">
        <v>21</v>
      </c>
      <c r="B742" t="s">
        <v>57</v>
      </c>
      <c r="C742" t="s">
        <v>310</v>
      </c>
      <c r="D742" t="s">
        <v>310</v>
      </c>
      <c r="E742">
        <v>0</v>
      </c>
    </row>
    <row r="743" spans="1:5" x14ac:dyDescent="0.25">
      <c r="A743" t="s">
        <v>21</v>
      </c>
      <c r="B743" t="s">
        <v>27</v>
      </c>
      <c r="C743" t="s">
        <v>191</v>
      </c>
      <c r="D743" t="s">
        <v>191</v>
      </c>
      <c r="E743">
        <v>0</v>
      </c>
    </row>
    <row r="744" spans="1:5" x14ac:dyDescent="0.25">
      <c r="A744" t="s">
        <v>21</v>
      </c>
      <c r="B744" t="s">
        <v>42</v>
      </c>
      <c r="C744" t="s">
        <v>317</v>
      </c>
      <c r="D744" t="s">
        <v>317</v>
      </c>
      <c r="E744">
        <v>0</v>
      </c>
    </row>
    <row r="745" spans="1:5" x14ac:dyDescent="0.25">
      <c r="A745" t="s">
        <v>21</v>
      </c>
      <c r="B745" t="s">
        <v>54</v>
      </c>
      <c r="C745" t="s">
        <v>48</v>
      </c>
      <c r="D745" t="s">
        <v>48</v>
      </c>
      <c r="E745">
        <v>0</v>
      </c>
    </row>
    <row r="746" spans="1:5" x14ac:dyDescent="0.25">
      <c r="A746" t="s">
        <v>21</v>
      </c>
      <c r="B746" t="s">
        <v>159</v>
      </c>
      <c r="C746" t="s">
        <v>367</v>
      </c>
      <c r="D746" t="s">
        <v>367</v>
      </c>
      <c r="E746">
        <v>0</v>
      </c>
    </row>
    <row r="747" spans="1:5" x14ac:dyDescent="0.25">
      <c r="A747" t="s">
        <v>21</v>
      </c>
      <c r="B747" t="s">
        <v>112</v>
      </c>
      <c r="C747" t="s">
        <v>110</v>
      </c>
      <c r="D747" t="s">
        <v>110</v>
      </c>
      <c r="E747">
        <v>0</v>
      </c>
    </row>
    <row r="748" spans="1:5" x14ac:dyDescent="0.25">
      <c r="A748" t="s">
        <v>21</v>
      </c>
      <c r="B748" t="s">
        <v>370</v>
      </c>
      <c r="C748" t="s">
        <v>452</v>
      </c>
      <c r="D748" t="s">
        <v>452</v>
      </c>
      <c r="E748">
        <v>0</v>
      </c>
    </row>
    <row r="749" spans="1:5" x14ac:dyDescent="0.25">
      <c r="A749" t="s">
        <v>21</v>
      </c>
      <c r="B749" t="s">
        <v>400</v>
      </c>
      <c r="C749" t="s">
        <v>403</v>
      </c>
      <c r="D749" t="s">
        <v>403</v>
      </c>
      <c r="E749">
        <v>0</v>
      </c>
    </row>
    <row r="750" spans="1:5" x14ac:dyDescent="0.25">
      <c r="A750" t="s">
        <v>21</v>
      </c>
      <c r="B750" t="s">
        <v>264</v>
      </c>
      <c r="C750" t="s">
        <v>306</v>
      </c>
      <c r="D750" t="s">
        <v>306</v>
      </c>
      <c r="E750">
        <v>0</v>
      </c>
    </row>
    <row r="751" spans="1:5" x14ac:dyDescent="0.25">
      <c r="A751" t="s">
        <v>21</v>
      </c>
      <c r="B751" t="s">
        <v>91</v>
      </c>
      <c r="C751" t="s">
        <v>261</v>
      </c>
      <c r="D751" t="s">
        <v>261</v>
      </c>
      <c r="E751">
        <v>0</v>
      </c>
    </row>
    <row r="752" spans="1:5" x14ac:dyDescent="0.25">
      <c r="A752" t="s">
        <v>21</v>
      </c>
      <c r="B752" t="s">
        <v>127</v>
      </c>
      <c r="C752" t="s">
        <v>128</v>
      </c>
      <c r="D752" t="s">
        <v>128</v>
      </c>
      <c r="E752">
        <v>0</v>
      </c>
    </row>
    <row r="753" spans="1:5" x14ac:dyDescent="0.25">
      <c r="A753" t="s">
        <v>21</v>
      </c>
      <c r="B753" t="s">
        <v>52</v>
      </c>
      <c r="C753" t="s">
        <v>48</v>
      </c>
      <c r="D753" t="s">
        <v>48</v>
      </c>
      <c r="E753">
        <v>0</v>
      </c>
    </row>
    <row r="754" spans="1:5" x14ac:dyDescent="0.25">
      <c r="A754" t="s">
        <v>21</v>
      </c>
      <c r="B754" t="s">
        <v>34</v>
      </c>
      <c r="C754" t="s">
        <v>358</v>
      </c>
      <c r="D754" t="s">
        <v>358</v>
      </c>
      <c r="E754">
        <v>0</v>
      </c>
    </row>
    <row r="755" spans="1:5" x14ac:dyDescent="0.25">
      <c r="A755" t="s">
        <v>21</v>
      </c>
      <c r="B755" t="s">
        <v>167</v>
      </c>
      <c r="C755" t="s">
        <v>389</v>
      </c>
      <c r="D755" t="s">
        <v>389</v>
      </c>
      <c r="E755">
        <v>0</v>
      </c>
    </row>
    <row r="756" spans="1:5" x14ac:dyDescent="0.25">
      <c r="A756" t="s">
        <v>21</v>
      </c>
      <c r="B756" t="s">
        <v>115</v>
      </c>
      <c r="C756" t="s">
        <v>316</v>
      </c>
      <c r="D756" t="s">
        <v>316</v>
      </c>
      <c r="E756">
        <v>0</v>
      </c>
    </row>
    <row r="757" spans="1:5" x14ac:dyDescent="0.25">
      <c r="A757" t="s">
        <v>21</v>
      </c>
      <c r="B757" t="s">
        <v>176</v>
      </c>
      <c r="C757" t="s">
        <v>238</v>
      </c>
      <c r="D757" t="s">
        <v>238</v>
      </c>
      <c r="E757">
        <v>0</v>
      </c>
    </row>
    <row r="758" spans="1:5" x14ac:dyDescent="0.25">
      <c r="A758" t="s">
        <v>21</v>
      </c>
      <c r="B758" t="s">
        <v>114</v>
      </c>
      <c r="C758" t="s">
        <v>273</v>
      </c>
      <c r="D758" t="s">
        <v>273</v>
      </c>
      <c r="E758">
        <v>0</v>
      </c>
    </row>
    <row r="759" spans="1:5" x14ac:dyDescent="0.25">
      <c r="A759" t="s">
        <v>21</v>
      </c>
      <c r="B759" t="s">
        <v>129</v>
      </c>
      <c r="C759" t="s">
        <v>434</v>
      </c>
      <c r="D759" t="s">
        <v>434</v>
      </c>
      <c r="E759">
        <v>0</v>
      </c>
    </row>
    <row r="760" spans="1:5" x14ac:dyDescent="0.25">
      <c r="A760" t="s">
        <v>21</v>
      </c>
      <c r="B760" t="s">
        <v>76</v>
      </c>
      <c r="C760" t="s">
        <v>345</v>
      </c>
      <c r="D760" t="s">
        <v>345</v>
      </c>
      <c r="E760">
        <v>0</v>
      </c>
    </row>
    <row r="761" spans="1:5" x14ac:dyDescent="0.25">
      <c r="A761" t="s">
        <v>21</v>
      </c>
      <c r="B761" t="s">
        <v>111</v>
      </c>
      <c r="C761" t="s">
        <v>229</v>
      </c>
      <c r="D761" t="s">
        <v>229</v>
      </c>
      <c r="E761">
        <v>0</v>
      </c>
    </row>
    <row r="762" spans="1:5" x14ac:dyDescent="0.25">
      <c r="A762" t="s">
        <v>21</v>
      </c>
      <c r="B762" t="s">
        <v>199</v>
      </c>
      <c r="C762" t="s">
        <v>198</v>
      </c>
      <c r="D762" t="s">
        <v>198</v>
      </c>
      <c r="E762">
        <v>0</v>
      </c>
    </row>
    <row r="763" spans="1:5" x14ac:dyDescent="0.25">
      <c r="A763" t="s">
        <v>21</v>
      </c>
      <c r="B763" t="s">
        <v>209</v>
      </c>
      <c r="C763" t="s">
        <v>409</v>
      </c>
      <c r="D763" t="s">
        <v>409</v>
      </c>
      <c r="E763">
        <v>0</v>
      </c>
    </row>
    <row r="764" spans="1:5" x14ac:dyDescent="0.25">
      <c r="A764" t="s">
        <v>21</v>
      </c>
      <c r="B764" t="s">
        <v>319</v>
      </c>
      <c r="C764" t="s">
        <v>320</v>
      </c>
      <c r="D764" t="s">
        <v>320</v>
      </c>
      <c r="E764">
        <v>0</v>
      </c>
    </row>
    <row r="765" spans="1:5" x14ac:dyDescent="0.25">
      <c r="A765" t="s">
        <v>21</v>
      </c>
      <c r="B765" t="s">
        <v>144</v>
      </c>
      <c r="C765" t="s">
        <v>422</v>
      </c>
      <c r="D765" t="s">
        <v>422</v>
      </c>
      <c r="E765">
        <v>0</v>
      </c>
    </row>
    <row r="766" spans="1:5" x14ac:dyDescent="0.25">
      <c r="A766" t="s">
        <v>21</v>
      </c>
      <c r="B766" t="s">
        <v>419</v>
      </c>
      <c r="C766" t="s">
        <v>420</v>
      </c>
      <c r="D766" t="s">
        <v>420</v>
      </c>
      <c r="E766">
        <v>0</v>
      </c>
    </row>
    <row r="767" spans="1:5" x14ac:dyDescent="0.25">
      <c r="A767" t="s">
        <v>21</v>
      </c>
      <c r="B767" t="s">
        <v>126</v>
      </c>
      <c r="C767" t="s">
        <v>409</v>
      </c>
      <c r="D767" t="s">
        <v>409</v>
      </c>
      <c r="E767">
        <v>0</v>
      </c>
    </row>
    <row r="768" spans="1:5" x14ac:dyDescent="0.25">
      <c r="A768" t="s">
        <v>21</v>
      </c>
      <c r="B768" t="s">
        <v>102</v>
      </c>
      <c r="C768" t="s">
        <v>324</v>
      </c>
      <c r="D768" t="s">
        <v>324</v>
      </c>
      <c r="E768">
        <v>0</v>
      </c>
    </row>
    <row r="769" spans="1:5" x14ac:dyDescent="0.25">
      <c r="A769" t="s">
        <v>21</v>
      </c>
      <c r="B769" t="s">
        <v>15</v>
      </c>
      <c r="C769" t="s">
        <v>226</v>
      </c>
      <c r="D769" t="s">
        <v>226</v>
      </c>
      <c r="E769">
        <v>0</v>
      </c>
    </row>
    <row r="770" spans="1:5" x14ac:dyDescent="0.25">
      <c r="A770" t="s">
        <v>21</v>
      </c>
      <c r="B770" t="s">
        <v>75</v>
      </c>
      <c r="C770" t="s">
        <v>70</v>
      </c>
      <c r="D770" t="s">
        <v>70</v>
      </c>
      <c r="E770">
        <v>0</v>
      </c>
    </row>
    <row r="771" spans="1:5" x14ac:dyDescent="0.25">
      <c r="A771" t="s">
        <v>21</v>
      </c>
      <c r="B771" t="s">
        <v>109</v>
      </c>
      <c r="C771" t="s">
        <v>108</v>
      </c>
      <c r="D771" t="s">
        <v>108</v>
      </c>
      <c r="E771">
        <v>0</v>
      </c>
    </row>
    <row r="772" spans="1:5" x14ac:dyDescent="0.25">
      <c r="A772" t="s">
        <v>21</v>
      </c>
      <c r="B772" t="s">
        <v>61</v>
      </c>
      <c r="C772" t="s">
        <v>381</v>
      </c>
      <c r="D772" t="s">
        <v>381</v>
      </c>
      <c r="E772">
        <v>0</v>
      </c>
    </row>
    <row r="773" spans="1:5" x14ac:dyDescent="0.25">
      <c r="A773" t="s">
        <v>21</v>
      </c>
      <c r="B773" t="s">
        <v>148</v>
      </c>
      <c r="C773" t="s">
        <v>350</v>
      </c>
      <c r="D773" t="s">
        <v>350</v>
      </c>
      <c r="E773">
        <v>0</v>
      </c>
    </row>
    <row r="774" spans="1:5" x14ac:dyDescent="0.25">
      <c r="A774" t="s">
        <v>21</v>
      </c>
      <c r="B774" t="s">
        <v>158</v>
      </c>
      <c r="C774" t="s">
        <v>346</v>
      </c>
      <c r="D774" t="s">
        <v>346</v>
      </c>
      <c r="E774">
        <v>0</v>
      </c>
    </row>
    <row r="775" spans="1:5" x14ac:dyDescent="0.25">
      <c r="A775" t="s">
        <v>21</v>
      </c>
      <c r="B775" t="s">
        <v>174</v>
      </c>
      <c r="C775" t="s">
        <v>357</v>
      </c>
      <c r="D775" t="s">
        <v>357</v>
      </c>
      <c r="E775">
        <v>0</v>
      </c>
    </row>
    <row r="776" spans="1:5" x14ac:dyDescent="0.25">
      <c r="A776" t="s">
        <v>21</v>
      </c>
      <c r="B776" t="s">
        <v>178</v>
      </c>
      <c r="C776" t="s">
        <v>179</v>
      </c>
      <c r="D776" t="s">
        <v>179</v>
      </c>
      <c r="E776">
        <v>0</v>
      </c>
    </row>
    <row r="777" spans="1:5" x14ac:dyDescent="0.25">
      <c r="A777" t="s">
        <v>21</v>
      </c>
      <c r="B777" t="s">
        <v>160</v>
      </c>
      <c r="C777" t="s">
        <v>436</v>
      </c>
      <c r="D777" t="s">
        <v>436</v>
      </c>
      <c r="E777">
        <v>0</v>
      </c>
    </row>
    <row r="778" spans="1:5" x14ac:dyDescent="0.25">
      <c r="A778" t="s">
        <v>21</v>
      </c>
      <c r="B778" t="s">
        <v>295</v>
      </c>
      <c r="C778" t="s">
        <v>338</v>
      </c>
      <c r="D778" t="s">
        <v>338</v>
      </c>
      <c r="E778">
        <v>0</v>
      </c>
    </row>
    <row r="779" spans="1:5" x14ac:dyDescent="0.25">
      <c r="A779" t="s">
        <v>21</v>
      </c>
      <c r="B779" t="s">
        <v>20</v>
      </c>
      <c r="C779" t="s">
        <v>310</v>
      </c>
      <c r="D779" t="s">
        <v>310</v>
      </c>
      <c r="E779">
        <v>0</v>
      </c>
    </row>
    <row r="780" spans="1:5" x14ac:dyDescent="0.25">
      <c r="A780" t="s">
        <v>21</v>
      </c>
      <c r="B780" t="s">
        <v>173</v>
      </c>
      <c r="C780" t="s">
        <v>367</v>
      </c>
      <c r="D780" t="s">
        <v>367</v>
      </c>
      <c r="E780">
        <v>0</v>
      </c>
    </row>
    <row r="781" spans="1:5" x14ac:dyDescent="0.25">
      <c r="A781" t="s">
        <v>21</v>
      </c>
      <c r="B781" t="s">
        <v>59</v>
      </c>
      <c r="C781" t="s">
        <v>336</v>
      </c>
      <c r="D781" t="s">
        <v>336</v>
      </c>
      <c r="E781">
        <v>0</v>
      </c>
    </row>
    <row r="782" spans="1:5" x14ac:dyDescent="0.25">
      <c r="A782" t="s">
        <v>21</v>
      </c>
      <c r="B782" t="s">
        <v>50</v>
      </c>
      <c r="C782" t="s">
        <v>316</v>
      </c>
      <c r="D782" t="s">
        <v>316</v>
      </c>
      <c r="E782">
        <v>0</v>
      </c>
    </row>
    <row r="783" spans="1:5" x14ac:dyDescent="0.25">
      <c r="A783" t="s">
        <v>21</v>
      </c>
      <c r="B783" t="s">
        <v>258</v>
      </c>
      <c r="C783" t="s">
        <v>282</v>
      </c>
      <c r="D783" t="s">
        <v>282</v>
      </c>
      <c r="E783">
        <v>0</v>
      </c>
    </row>
    <row r="784" spans="1:5" x14ac:dyDescent="0.25">
      <c r="A784" t="s">
        <v>21</v>
      </c>
      <c r="B784" t="s">
        <v>125</v>
      </c>
      <c r="C784" t="s">
        <v>124</v>
      </c>
      <c r="D784" t="s">
        <v>124</v>
      </c>
      <c r="E784">
        <v>0</v>
      </c>
    </row>
    <row r="785" spans="1:5" x14ac:dyDescent="0.25">
      <c r="A785" t="s">
        <v>21</v>
      </c>
      <c r="B785" t="s">
        <v>12</v>
      </c>
      <c r="C785" t="s">
        <v>282</v>
      </c>
      <c r="D785" t="s">
        <v>282</v>
      </c>
      <c r="E785">
        <v>0</v>
      </c>
    </row>
    <row r="786" spans="1:5" x14ac:dyDescent="0.25">
      <c r="A786" t="s">
        <v>21</v>
      </c>
      <c r="B786" t="s">
        <v>200</v>
      </c>
      <c r="C786" t="s">
        <v>348</v>
      </c>
      <c r="D786" t="s">
        <v>348</v>
      </c>
      <c r="E786">
        <v>0</v>
      </c>
    </row>
    <row r="787" spans="1:5" x14ac:dyDescent="0.25">
      <c r="A787" t="s">
        <v>21</v>
      </c>
      <c r="B787" t="s">
        <v>46</v>
      </c>
      <c r="C787" t="s">
        <v>245</v>
      </c>
      <c r="D787" t="s">
        <v>245</v>
      </c>
      <c r="E787">
        <v>0</v>
      </c>
    </row>
    <row r="788" spans="1:5" x14ac:dyDescent="0.25">
      <c r="A788" t="s">
        <v>21</v>
      </c>
      <c r="B788" t="s">
        <v>234</v>
      </c>
      <c r="C788" t="s">
        <v>422</v>
      </c>
      <c r="D788" t="s">
        <v>422</v>
      </c>
      <c r="E788">
        <v>0</v>
      </c>
    </row>
    <row r="789" spans="1:5" x14ac:dyDescent="0.25">
      <c r="A789" t="s">
        <v>21</v>
      </c>
      <c r="B789" t="s">
        <v>24</v>
      </c>
      <c r="C789" t="s">
        <v>412</v>
      </c>
      <c r="D789" t="s">
        <v>412</v>
      </c>
      <c r="E789">
        <v>0</v>
      </c>
    </row>
    <row r="790" spans="1:5" x14ac:dyDescent="0.25">
      <c r="A790" t="s">
        <v>21</v>
      </c>
      <c r="B790" t="s">
        <v>25</v>
      </c>
      <c r="C790" t="s">
        <v>445</v>
      </c>
      <c r="D790" t="s">
        <v>445</v>
      </c>
      <c r="E790">
        <v>0</v>
      </c>
    </row>
  </sheetData>
  <sortState xmlns:xlrd2="http://schemas.microsoft.com/office/spreadsheetml/2017/richdata2" ref="A2:E1005">
    <sortCondition descending="1" ref="E1:E100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CC964-0514-49B8-B1BB-FF43F9EE7625}">
  <sheetPr filterMode="1"/>
  <dimension ref="A1:D198"/>
  <sheetViews>
    <sheetView workbookViewId="0">
      <selection activeCell="E16" sqref="E16"/>
    </sheetView>
  </sheetViews>
  <sheetFormatPr defaultRowHeight="15" x14ac:dyDescent="0.25"/>
  <cols>
    <col min="1" max="1" width="31.85546875" customWidth="1"/>
    <col min="4" max="4" width="12.42578125" bestFit="1" customWidth="1"/>
  </cols>
  <sheetData>
    <row r="1" spans="1:4" x14ac:dyDescent="0.25">
      <c r="A1" t="s">
        <v>513</v>
      </c>
      <c r="B1" t="s">
        <v>514</v>
      </c>
      <c r="C1" t="s">
        <v>515</v>
      </c>
      <c r="D1" t="s">
        <v>512</v>
      </c>
    </row>
    <row r="2" spans="1:4" hidden="1" x14ac:dyDescent="0.25">
      <c r="A2" t="s">
        <v>190</v>
      </c>
      <c r="B2">
        <f>COUNTIF(Данные!B:B,'2'!A129)</f>
        <v>3</v>
      </c>
      <c r="C2">
        <f>SUMIF(Данные!B:B,'2'!A129,Данные!D:D)</f>
        <v>81678</v>
      </c>
      <c r="D2">
        <f>COUNTIF('1'!E:E,'2'!A129)</f>
        <v>3</v>
      </c>
    </row>
    <row r="3" spans="1:4" hidden="1" x14ac:dyDescent="0.25">
      <c r="A3" t="s">
        <v>193</v>
      </c>
      <c r="B3">
        <f>COUNTIF(Данные!B:B,'2'!A130)</f>
        <v>2</v>
      </c>
      <c r="C3">
        <f>SUMIF(Данные!B:B,'2'!A130,Данные!D:D)</f>
        <v>166501</v>
      </c>
      <c r="D3">
        <f>COUNTIF('1'!E:E,'2'!A130)</f>
        <v>2</v>
      </c>
    </row>
    <row r="4" spans="1:4" hidden="1" x14ac:dyDescent="0.25">
      <c r="A4" t="s">
        <v>85</v>
      </c>
      <c r="B4">
        <f>COUNTIF(Данные!B:B,'2'!A56)</f>
        <v>3</v>
      </c>
      <c r="C4">
        <f>SUMIF(Данные!B:B,'2'!A56,Данные!D:D)</f>
        <v>168111</v>
      </c>
      <c r="D4">
        <f>COUNTIF('1'!E:E,'2'!A56)</f>
        <v>3</v>
      </c>
    </row>
    <row r="5" spans="1:4" hidden="1" x14ac:dyDescent="0.25">
      <c r="A5" t="s">
        <v>171</v>
      </c>
      <c r="B5">
        <f>COUNTIF(Данные!B:B,'2'!A116)</f>
        <v>3</v>
      </c>
      <c r="C5">
        <f>SUMIF(Данные!B:B,'2'!A116,Данные!D:D)</f>
        <v>194688</v>
      </c>
      <c r="D5">
        <f>COUNTIF('1'!E:E,'2'!A116)</f>
        <v>2</v>
      </c>
    </row>
    <row r="6" spans="1:4" hidden="1" x14ac:dyDescent="0.25">
      <c r="A6" t="s">
        <v>96</v>
      </c>
      <c r="B6">
        <f>COUNTIF(Данные!B:B,'2'!A64)</f>
        <v>7</v>
      </c>
      <c r="C6">
        <f>SUMIF(Данные!B:B,'2'!A64,Данные!D:D)</f>
        <v>319100</v>
      </c>
      <c r="D6">
        <f>COUNTIF('1'!E:E,'2'!A64)</f>
        <v>6</v>
      </c>
    </row>
    <row r="7" spans="1:4" hidden="1" x14ac:dyDescent="0.25">
      <c r="A7" t="s">
        <v>72</v>
      </c>
      <c r="B7">
        <f>COUNTIF(Данные!B:B,'2'!A45)</f>
        <v>2</v>
      </c>
      <c r="C7">
        <f>SUMIF(Данные!B:B,'2'!A45,Данные!D:D)</f>
        <v>129384</v>
      </c>
      <c r="D7">
        <f>COUNTIF('1'!E:E,'2'!A45)</f>
        <v>2</v>
      </c>
    </row>
    <row r="8" spans="1:4" hidden="1" x14ac:dyDescent="0.25">
      <c r="A8" t="s">
        <v>289</v>
      </c>
      <c r="B8">
        <f>COUNTIF(Данные!B:B,'2'!A169)</f>
        <v>5</v>
      </c>
      <c r="C8">
        <f>SUMIF(Данные!B:B,'2'!A169,Данные!D:D)</f>
        <v>377895</v>
      </c>
      <c r="D8">
        <f>COUNTIF('1'!E:E,'2'!A169)</f>
        <v>4</v>
      </c>
    </row>
    <row r="9" spans="1:4" hidden="1" x14ac:dyDescent="0.25">
      <c r="A9" t="s">
        <v>14</v>
      </c>
      <c r="B9">
        <f>COUNTIF(Данные!B:B,'2'!A5)</f>
        <v>7</v>
      </c>
      <c r="C9">
        <f>SUMIF(Данные!B:B,'2'!A5,Данные!D:D)</f>
        <v>153508</v>
      </c>
      <c r="D9">
        <f>COUNTIF('1'!E:E,'2'!A5)</f>
        <v>6</v>
      </c>
    </row>
    <row r="10" spans="1:4" hidden="1" x14ac:dyDescent="0.25">
      <c r="A10" t="s">
        <v>353</v>
      </c>
      <c r="B10">
        <f>COUNTIF(Данные!B:B,'2'!A185)</f>
        <v>3</v>
      </c>
      <c r="C10">
        <f>SUMIF(Данные!B:B,'2'!A185,Данные!D:D)</f>
        <v>169307</v>
      </c>
      <c r="D10">
        <f>COUNTIF('1'!E:E,'2'!A185)</f>
        <v>3</v>
      </c>
    </row>
    <row r="11" spans="1:4" hidden="1" x14ac:dyDescent="0.25">
      <c r="A11" t="s">
        <v>98</v>
      </c>
      <c r="B11">
        <f>COUNTIF(Данные!B:B,'2'!A66)</f>
        <v>4</v>
      </c>
      <c r="C11">
        <f>SUMIF(Данные!B:B,'2'!A66,Данные!D:D)</f>
        <v>204579</v>
      </c>
      <c r="D11">
        <f>COUNTIF('1'!E:E,'2'!A66)</f>
        <v>3</v>
      </c>
    </row>
    <row r="12" spans="1:4" x14ac:dyDescent="0.25">
      <c r="A12" t="s">
        <v>93</v>
      </c>
      <c r="B12">
        <f>COUNTIF(Данные!B:B,'2'!A62)</f>
        <v>2</v>
      </c>
      <c r="C12">
        <f>SUMIF(Данные!B:B,'2'!A62,Данные!D:D)</f>
        <v>110354</v>
      </c>
      <c r="D12">
        <f>COUNTIF('1'!E:E,'2'!A62)</f>
        <v>1</v>
      </c>
    </row>
    <row r="13" spans="1:4" hidden="1" x14ac:dyDescent="0.25">
      <c r="A13" t="s">
        <v>172</v>
      </c>
      <c r="B13">
        <f>COUNTIF(Данные!B:B,'2'!A117)</f>
        <v>3</v>
      </c>
      <c r="C13">
        <f>SUMIF(Данные!B:B,'2'!A117,Данные!D:D)</f>
        <v>193948</v>
      </c>
      <c r="D13">
        <f>COUNTIF('1'!E:E,'2'!A117)</f>
        <v>3</v>
      </c>
    </row>
    <row r="14" spans="1:4" hidden="1" x14ac:dyDescent="0.25">
      <c r="A14" t="s">
        <v>151</v>
      </c>
      <c r="B14">
        <f>COUNTIF(Данные!B:B,'2'!A102)</f>
        <v>6</v>
      </c>
      <c r="C14">
        <f>SUMIF(Данные!B:B,'2'!A102,Данные!D:D)</f>
        <v>286452</v>
      </c>
      <c r="D14">
        <f>COUNTIF('1'!E:E,'2'!A102)</f>
        <v>6</v>
      </c>
    </row>
    <row r="15" spans="1:4" hidden="1" x14ac:dyDescent="0.25">
      <c r="A15" t="s">
        <v>68</v>
      </c>
      <c r="B15">
        <f>COUNTIF(Данные!B:B,'2'!A43)</f>
        <v>8</v>
      </c>
      <c r="C15">
        <f>SUMIF(Данные!B:B,'2'!A43,Данные!D:D)</f>
        <v>531961</v>
      </c>
      <c r="D15">
        <f>COUNTIF('1'!E:E,'2'!A43)</f>
        <v>6</v>
      </c>
    </row>
    <row r="16" spans="1:4" x14ac:dyDescent="0.25">
      <c r="A16" t="s">
        <v>65</v>
      </c>
      <c r="B16">
        <f>COUNTIF(Данные!B:B,'2'!A41)</f>
        <v>3</v>
      </c>
      <c r="C16">
        <f>SUMIF(Данные!B:B,'2'!A41,Данные!D:D)</f>
        <v>81576</v>
      </c>
      <c r="D16">
        <f>COUNTIF('1'!E:E,'2'!A41)</f>
        <v>1</v>
      </c>
    </row>
    <row r="17" spans="1:4" hidden="1" x14ac:dyDescent="0.25">
      <c r="A17" t="s">
        <v>232</v>
      </c>
      <c r="B17">
        <f>COUNTIF(Данные!B:B,'2'!A147)</f>
        <v>9</v>
      </c>
      <c r="C17">
        <f>SUMIF(Данные!B:B,'2'!A147,Данные!D:D)</f>
        <v>553605</v>
      </c>
      <c r="D17">
        <f>COUNTIF('1'!E:E,'2'!A147)</f>
        <v>6</v>
      </c>
    </row>
    <row r="18" spans="1:4" x14ac:dyDescent="0.25">
      <c r="A18" t="s">
        <v>269</v>
      </c>
      <c r="B18">
        <f>COUNTIF(Данные!B:B,'2'!A162)</f>
        <v>1</v>
      </c>
      <c r="C18">
        <f>SUMIF(Данные!B:B,'2'!A162,Данные!D:D)</f>
        <v>41661</v>
      </c>
      <c r="D18">
        <f>COUNTIF('1'!E:E,'2'!A162)</f>
        <v>1</v>
      </c>
    </row>
    <row r="19" spans="1:4" hidden="1" x14ac:dyDescent="0.25">
      <c r="A19" t="s">
        <v>274</v>
      </c>
      <c r="B19">
        <f>COUNTIF(Данные!B:B,'2'!A164)</f>
        <v>6</v>
      </c>
      <c r="C19">
        <f>SUMIF(Данные!B:B,'2'!A164,Данные!D:D)</f>
        <v>286243</v>
      </c>
      <c r="D19">
        <f>COUNTIF('1'!E:E,'2'!A164)</f>
        <v>4</v>
      </c>
    </row>
    <row r="20" spans="1:4" hidden="1" x14ac:dyDescent="0.25">
      <c r="A20" t="s">
        <v>57</v>
      </c>
      <c r="B20">
        <f>COUNTIF(Данные!B:B,'2'!A34)</f>
        <v>4</v>
      </c>
      <c r="C20">
        <f>SUMIF(Данные!B:B,'2'!A34,Данные!D:D)</f>
        <v>196778</v>
      </c>
      <c r="D20">
        <f>COUNTIF('1'!E:E,'2'!A34)</f>
        <v>3</v>
      </c>
    </row>
    <row r="21" spans="1:4" hidden="1" x14ac:dyDescent="0.25">
      <c r="A21" t="s">
        <v>27</v>
      </c>
      <c r="B21">
        <f>COUNTIF(Данные!B:B,'2'!A13)</f>
        <v>10</v>
      </c>
      <c r="C21">
        <f>SUMIF(Данные!B:B,'2'!A13,Данные!D:D)</f>
        <v>585025</v>
      </c>
      <c r="D21">
        <f>COUNTIF('1'!E:E,'2'!A13)</f>
        <v>5</v>
      </c>
    </row>
    <row r="22" spans="1:4" hidden="1" x14ac:dyDescent="0.25">
      <c r="A22" t="s">
        <v>220</v>
      </c>
      <c r="B22">
        <f>COUNTIF(Данные!B:B,'2'!A144)</f>
        <v>5</v>
      </c>
      <c r="C22">
        <f>SUMIF(Данные!B:B,'2'!A144,Данные!D:D)</f>
        <v>319058</v>
      </c>
      <c r="D22">
        <f>COUNTIF('1'!E:E,'2'!A144)</f>
        <v>4</v>
      </c>
    </row>
    <row r="23" spans="1:4" hidden="1" x14ac:dyDescent="0.25">
      <c r="A23" t="s">
        <v>51</v>
      </c>
      <c r="B23">
        <f>COUNTIF(Данные!B:B,'2'!A30)</f>
        <v>3</v>
      </c>
      <c r="C23">
        <f>SUMIF(Данные!B:B,'2'!A30,Данные!D:D)</f>
        <v>83517</v>
      </c>
      <c r="D23">
        <f>COUNTIF('1'!E:E,'2'!A30)</f>
        <v>3</v>
      </c>
    </row>
    <row r="24" spans="1:4" hidden="1" x14ac:dyDescent="0.25">
      <c r="A24" t="s">
        <v>187</v>
      </c>
      <c r="B24">
        <f>COUNTIF(Данные!B:B,'2'!A127)</f>
        <v>6</v>
      </c>
      <c r="C24">
        <f>SUMIF(Данные!B:B,'2'!A127,Данные!D:D)</f>
        <v>251010</v>
      </c>
      <c r="D24">
        <f>COUNTIF('1'!E:E,'2'!A127)</f>
        <v>5</v>
      </c>
    </row>
    <row r="25" spans="1:4" hidden="1" x14ac:dyDescent="0.25">
      <c r="A25" t="s">
        <v>9</v>
      </c>
      <c r="B25">
        <f>COUNTIF(Данные!B:B,'2'!A3)</f>
        <v>10</v>
      </c>
      <c r="C25">
        <f>SUMIF(Данные!B:B,'2'!A3,Данные!D:D)</f>
        <v>531637</v>
      </c>
      <c r="D25">
        <f>COUNTIF('1'!E:E,'2'!A3)</f>
        <v>7</v>
      </c>
    </row>
    <row r="26" spans="1:4" hidden="1" x14ac:dyDescent="0.25">
      <c r="A26" t="s">
        <v>74</v>
      </c>
      <c r="B26">
        <f>COUNTIF(Данные!B:B,'2'!A47)</f>
        <v>8</v>
      </c>
      <c r="C26">
        <f>SUMIF(Данные!B:B,'2'!A47,Данные!D:D)</f>
        <v>468679</v>
      </c>
      <c r="D26">
        <f>COUNTIF('1'!E:E,'2'!A47)</f>
        <v>6</v>
      </c>
    </row>
    <row r="27" spans="1:4" hidden="1" x14ac:dyDescent="0.25">
      <c r="A27" t="s">
        <v>42</v>
      </c>
      <c r="B27">
        <f>COUNTIF(Данные!B:B,'2'!A23)</f>
        <v>4</v>
      </c>
      <c r="C27">
        <f>SUMIF(Данные!B:B,'2'!A23,Данные!D:D)</f>
        <v>163291</v>
      </c>
      <c r="D27">
        <f>COUNTIF('1'!E:E,'2'!A23)</f>
        <v>3</v>
      </c>
    </row>
    <row r="28" spans="1:4" hidden="1" x14ac:dyDescent="0.25">
      <c r="A28" t="s">
        <v>54</v>
      </c>
      <c r="B28">
        <f>COUNTIF(Данные!B:B,'2'!A33)</f>
        <v>5</v>
      </c>
      <c r="C28">
        <f>SUMIF(Данные!B:B,'2'!A33,Данные!D:D)</f>
        <v>246935</v>
      </c>
      <c r="D28">
        <f>COUNTIF('1'!E:E,'2'!A33)</f>
        <v>4</v>
      </c>
    </row>
    <row r="29" spans="1:4" x14ac:dyDescent="0.25">
      <c r="A29" t="s">
        <v>159</v>
      </c>
      <c r="B29">
        <f>COUNTIF(Данные!B:B,'2'!A108)</f>
        <v>1</v>
      </c>
      <c r="C29">
        <f>SUMIF(Данные!B:B,'2'!A108,Данные!D:D)</f>
        <v>66499</v>
      </c>
      <c r="D29">
        <f>COUNTIF('1'!E:E,'2'!A108)</f>
        <v>1</v>
      </c>
    </row>
    <row r="30" spans="1:4" hidden="1" x14ac:dyDescent="0.25">
      <c r="A30" t="s">
        <v>294</v>
      </c>
      <c r="B30">
        <f>COUNTIF(Данные!B:B,'2'!A171)</f>
        <v>5</v>
      </c>
      <c r="C30">
        <f>SUMIF(Данные!B:B,'2'!A171,Данные!D:D)</f>
        <v>237057</v>
      </c>
      <c r="D30">
        <f>COUNTIF('1'!E:E,'2'!A171)</f>
        <v>5</v>
      </c>
    </row>
    <row r="31" spans="1:4" hidden="1" x14ac:dyDescent="0.25">
      <c r="A31" t="s">
        <v>113</v>
      </c>
      <c r="B31">
        <f>COUNTIF(Данные!B:B,'2'!A76)</f>
        <v>3</v>
      </c>
      <c r="C31">
        <f>SUMIF(Данные!B:B,'2'!A76,Данные!D:D)</f>
        <v>226438</v>
      </c>
      <c r="D31">
        <f>COUNTIF('1'!E:E,'2'!A76)</f>
        <v>2</v>
      </c>
    </row>
    <row r="32" spans="1:4" hidden="1" x14ac:dyDescent="0.25">
      <c r="A32" t="s">
        <v>58</v>
      </c>
      <c r="B32">
        <f>COUNTIF(Данные!B:B,'2'!A35)</f>
        <v>8</v>
      </c>
      <c r="C32">
        <f>SUMIF(Данные!B:B,'2'!A35,Данные!D:D)</f>
        <v>453025</v>
      </c>
      <c r="D32">
        <f>COUNTIF('1'!E:E,'2'!A35)</f>
        <v>6</v>
      </c>
    </row>
    <row r="33" spans="1:4" hidden="1" x14ac:dyDescent="0.25">
      <c r="A33" t="s">
        <v>139</v>
      </c>
      <c r="B33">
        <f>COUNTIF(Данные!B:B,'2'!A94)</f>
        <v>7</v>
      </c>
      <c r="C33">
        <f>SUMIF(Данные!B:B,'2'!A94,Данные!D:D)</f>
        <v>423478</v>
      </c>
      <c r="D33">
        <f>COUNTIF('1'!E:E,'2'!A94)</f>
        <v>5</v>
      </c>
    </row>
    <row r="34" spans="1:4" hidden="1" x14ac:dyDescent="0.25">
      <c r="A34" t="s">
        <v>263</v>
      </c>
      <c r="B34">
        <f>COUNTIF(Данные!B:B,'2'!A158)</f>
        <v>5</v>
      </c>
      <c r="C34">
        <f>SUMIF(Данные!B:B,'2'!A158,Данные!D:D)</f>
        <v>286001</v>
      </c>
      <c r="D34">
        <f>COUNTIF('1'!E:E,'2'!A158)</f>
        <v>5</v>
      </c>
    </row>
    <row r="35" spans="1:4" hidden="1" x14ac:dyDescent="0.25">
      <c r="A35" t="s">
        <v>64</v>
      </c>
      <c r="B35">
        <f>COUNTIF(Данные!B:B,'2'!A40)</f>
        <v>4</v>
      </c>
      <c r="C35">
        <f>SUMIF(Данные!B:B,'2'!A40,Данные!D:D)</f>
        <v>203817</v>
      </c>
      <c r="D35">
        <f>COUNTIF('1'!E:E,'2'!A40)</f>
        <v>3</v>
      </c>
    </row>
    <row r="36" spans="1:4" hidden="1" x14ac:dyDescent="0.25">
      <c r="A36" t="s">
        <v>112</v>
      </c>
      <c r="B36">
        <f>COUNTIF(Данные!B:B,'2'!A75)</f>
        <v>4</v>
      </c>
      <c r="C36">
        <f>SUMIF(Данные!B:B,'2'!A75,Данные!D:D)</f>
        <v>236139</v>
      </c>
      <c r="D36">
        <f>COUNTIF('1'!E:E,'2'!A75)</f>
        <v>4</v>
      </c>
    </row>
    <row r="37" spans="1:4" hidden="1" x14ac:dyDescent="0.25">
      <c r="A37" t="s">
        <v>107</v>
      </c>
      <c r="B37">
        <f>COUNTIF(Данные!B:B,'2'!A72)</f>
        <v>11</v>
      </c>
      <c r="C37">
        <f>SUMIF(Данные!B:B,'2'!A72,Данные!D:D)</f>
        <v>650682</v>
      </c>
      <c r="D37">
        <f>COUNTIF('1'!E:E,'2'!A72)</f>
        <v>7</v>
      </c>
    </row>
    <row r="38" spans="1:4" hidden="1" x14ac:dyDescent="0.25">
      <c r="A38" t="s">
        <v>181</v>
      </c>
      <c r="B38">
        <f>COUNTIF(Данные!B:B,'2'!A123)</f>
        <v>3</v>
      </c>
      <c r="C38">
        <f>SUMIF(Данные!B:B,'2'!A123,Данные!D:D)</f>
        <v>188512</v>
      </c>
      <c r="D38">
        <f>COUNTIF('1'!E:E,'2'!A123)</f>
        <v>3</v>
      </c>
    </row>
    <row r="39" spans="1:4" x14ac:dyDescent="0.25">
      <c r="A39" t="s">
        <v>186</v>
      </c>
      <c r="B39">
        <f>COUNTIF(Данные!B:B,'2'!A126)</f>
        <v>1</v>
      </c>
      <c r="C39">
        <f>SUMIF(Данные!B:B,'2'!A126,Данные!D:D)</f>
        <v>49077</v>
      </c>
      <c r="D39">
        <f>COUNTIF('1'!E:E,'2'!A126)</f>
        <v>1</v>
      </c>
    </row>
    <row r="40" spans="1:4" hidden="1" x14ac:dyDescent="0.25">
      <c r="A40" t="s">
        <v>221</v>
      </c>
      <c r="B40">
        <f>COUNTIF(Данные!B:B,'2'!A145)</f>
        <v>7</v>
      </c>
      <c r="C40">
        <f>SUMIF(Данные!B:B,'2'!A145,Данные!D:D)</f>
        <v>287789</v>
      </c>
      <c r="D40">
        <f>COUNTIF('1'!E:E,'2'!A145)</f>
        <v>4</v>
      </c>
    </row>
    <row r="41" spans="1:4" hidden="1" x14ac:dyDescent="0.25">
      <c r="A41" t="s">
        <v>53</v>
      </c>
      <c r="B41">
        <f>COUNTIF(Данные!B:B,'2'!A32)</f>
        <v>7</v>
      </c>
      <c r="C41">
        <f>SUMIF(Данные!B:B,'2'!A32,Данные!D:D)</f>
        <v>319403</v>
      </c>
      <c r="D41">
        <f>COUNTIF('1'!E:E,'2'!A32)</f>
        <v>5</v>
      </c>
    </row>
    <row r="42" spans="1:4" hidden="1" x14ac:dyDescent="0.25">
      <c r="A42" t="s">
        <v>121</v>
      </c>
      <c r="B42">
        <f>COUNTIF(Данные!B:B,'2'!A82)</f>
        <v>5</v>
      </c>
      <c r="C42">
        <f>SUMIF(Данные!B:B,'2'!A82,Данные!D:D)</f>
        <v>307946</v>
      </c>
      <c r="D42">
        <f>COUNTIF('1'!E:E,'2'!A82)</f>
        <v>4</v>
      </c>
    </row>
    <row r="43" spans="1:4" hidden="1" x14ac:dyDescent="0.25">
      <c r="A43" t="s">
        <v>49</v>
      </c>
      <c r="B43">
        <f>COUNTIF(Данные!B:B,'2'!A28)</f>
        <v>6</v>
      </c>
      <c r="C43">
        <f>SUMIF(Данные!B:B,'2'!A28,Данные!D:D)</f>
        <v>336065</v>
      </c>
      <c r="D43">
        <f>COUNTIF('1'!E:E,'2'!A28)</f>
        <v>5</v>
      </c>
    </row>
    <row r="44" spans="1:4" hidden="1" x14ac:dyDescent="0.25">
      <c r="A44" t="s">
        <v>370</v>
      </c>
      <c r="B44">
        <f>COUNTIF(Данные!B:B,'2'!A188)</f>
        <v>2</v>
      </c>
      <c r="C44">
        <f>SUMIF(Данные!B:B,'2'!A188,Данные!D:D)</f>
        <v>56258</v>
      </c>
      <c r="D44">
        <f>COUNTIF('1'!E:E,'2'!A188)</f>
        <v>2</v>
      </c>
    </row>
    <row r="45" spans="1:4" hidden="1" x14ac:dyDescent="0.25">
      <c r="A45" t="s">
        <v>400</v>
      </c>
      <c r="B45">
        <f>COUNTIF(Данные!B:B,'2'!A191)</f>
        <v>2</v>
      </c>
      <c r="C45">
        <f>SUMIF(Данные!B:B,'2'!A191,Данные!D:D)</f>
        <v>133615</v>
      </c>
      <c r="D45">
        <f>COUNTIF('1'!E:E,'2'!A191)</f>
        <v>2</v>
      </c>
    </row>
    <row r="46" spans="1:4" x14ac:dyDescent="0.25">
      <c r="A46" t="s">
        <v>188</v>
      </c>
      <c r="B46">
        <f>COUNTIF(Данные!B:B,'2'!A128)</f>
        <v>1</v>
      </c>
      <c r="C46">
        <f>SUMIF(Данные!B:B,'2'!A128,Данные!D:D)</f>
        <v>94842</v>
      </c>
      <c r="D46">
        <f>COUNTIF('1'!E:E,'2'!A128)</f>
        <v>1</v>
      </c>
    </row>
    <row r="47" spans="1:4" hidden="1" x14ac:dyDescent="0.25">
      <c r="A47" t="s">
        <v>264</v>
      </c>
      <c r="B47">
        <f>COUNTIF(Данные!B:B,'2'!A159)</f>
        <v>9</v>
      </c>
      <c r="C47">
        <f>SUMIF(Данные!B:B,'2'!A159,Данные!D:D)</f>
        <v>548964</v>
      </c>
      <c r="D47">
        <f>COUNTIF('1'!E:E,'2'!A159)</f>
        <v>7</v>
      </c>
    </row>
    <row r="48" spans="1:4" hidden="1" x14ac:dyDescent="0.25">
      <c r="A48" t="s">
        <v>328</v>
      </c>
      <c r="B48">
        <f>COUNTIF(Данные!B:B,'2'!A179)</f>
        <v>15</v>
      </c>
      <c r="C48">
        <f>SUMIF(Данные!B:B,'2'!A179,Данные!D:D)</f>
        <v>836623</v>
      </c>
      <c r="D48">
        <f>COUNTIF('1'!E:E,'2'!A179)</f>
        <v>8</v>
      </c>
    </row>
    <row r="49" spans="1:4" hidden="1" x14ac:dyDescent="0.25">
      <c r="A49" t="s">
        <v>146</v>
      </c>
      <c r="B49">
        <f>COUNTIF(Данные!B:B,'2'!A99)</f>
        <v>4</v>
      </c>
      <c r="C49">
        <f>SUMIF(Данные!B:B,'2'!A99,Данные!D:D)</f>
        <v>230538</v>
      </c>
      <c r="D49">
        <f>COUNTIF('1'!E:E,'2'!A99)</f>
        <v>4</v>
      </c>
    </row>
    <row r="50" spans="1:4" hidden="1" x14ac:dyDescent="0.25">
      <c r="A50" t="s">
        <v>149</v>
      </c>
      <c r="B50">
        <f>COUNTIF(Данные!B:B,'2'!A101)</f>
        <v>6</v>
      </c>
      <c r="C50">
        <f>SUMIF(Данные!B:B,'2'!A101,Данные!D:D)</f>
        <v>300657</v>
      </c>
      <c r="D50">
        <f>COUNTIF('1'!E:E,'2'!A101)</f>
        <v>6</v>
      </c>
    </row>
    <row r="51" spans="1:4" x14ac:dyDescent="0.25">
      <c r="A51" t="s">
        <v>154</v>
      </c>
      <c r="B51">
        <f>COUNTIF(Данные!B:B,'2'!A104)</f>
        <v>1</v>
      </c>
      <c r="C51">
        <f>SUMIF(Данные!B:B,'2'!A104,Данные!D:D)</f>
        <v>26488</v>
      </c>
      <c r="D51">
        <f>COUNTIF('1'!E:E,'2'!A104)</f>
        <v>1</v>
      </c>
    </row>
    <row r="52" spans="1:4" hidden="1" x14ac:dyDescent="0.25">
      <c r="A52" t="s">
        <v>17</v>
      </c>
      <c r="B52">
        <f>COUNTIF(Данные!B:B,'2'!A7)</f>
        <v>6</v>
      </c>
      <c r="C52">
        <f>SUMIF(Данные!B:B,'2'!A7,Данные!D:D)</f>
        <v>372745</v>
      </c>
      <c r="D52">
        <f>COUNTIF('1'!E:E,'2'!A7)</f>
        <v>5</v>
      </c>
    </row>
    <row r="53" spans="1:4" hidden="1" x14ac:dyDescent="0.25">
      <c r="A53" t="s">
        <v>164</v>
      </c>
      <c r="B53">
        <f>COUNTIF(Данные!B:B,'2'!A111)</f>
        <v>20</v>
      </c>
      <c r="C53">
        <f>SUMIF(Данные!B:B,'2'!A111,Данные!D:D)</f>
        <v>1074602</v>
      </c>
      <c r="D53">
        <f>COUNTIF('1'!E:E,'2'!A111)</f>
        <v>12</v>
      </c>
    </row>
    <row r="54" spans="1:4" hidden="1" x14ac:dyDescent="0.25">
      <c r="A54" t="s">
        <v>131</v>
      </c>
      <c r="B54">
        <f>COUNTIF(Данные!B:B,'2'!A89)</f>
        <v>4</v>
      </c>
      <c r="C54">
        <f>SUMIF(Данные!B:B,'2'!A89,Данные!D:D)</f>
        <v>252527</v>
      </c>
      <c r="D54">
        <f>COUNTIF('1'!E:E,'2'!A89)</f>
        <v>4</v>
      </c>
    </row>
    <row r="55" spans="1:4" hidden="1" x14ac:dyDescent="0.25">
      <c r="A55" t="s">
        <v>91</v>
      </c>
      <c r="B55">
        <f>COUNTIF(Данные!B:B,'2'!A60)</f>
        <v>8</v>
      </c>
      <c r="C55">
        <f>SUMIF(Данные!B:B,'2'!A60,Данные!D:D)</f>
        <v>360886</v>
      </c>
      <c r="D55">
        <f>COUNTIF('1'!E:E,'2'!A60)</f>
        <v>7</v>
      </c>
    </row>
    <row r="56" spans="1:4" hidden="1" x14ac:dyDescent="0.25">
      <c r="A56" t="s">
        <v>127</v>
      </c>
      <c r="B56">
        <f>COUNTIF(Данные!B:B,'2'!A86)</f>
        <v>3</v>
      </c>
      <c r="C56">
        <f>SUMIF(Данные!B:B,'2'!A86,Данные!D:D)</f>
        <v>159169</v>
      </c>
      <c r="D56">
        <f>COUNTIF('1'!E:E,'2'!A86)</f>
        <v>3</v>
      </c>
    </row>
    <row r="57" spans="1:4" hidden="1" x14ac:dyDescent="0.25">
      <c r="A57" t="s">
        <v>161</v>
      </c>
      <c r="B57">
        <f>COUNTIF(Данные!B:B,'2'!A110)</f>
        <v>7</v>
      </c>
      <c r="C57">
        <f>SUMIF(Данные!B:B,'2'!A110,Данные!D:D)</f>
        <v>391620</v>
      </c>
      <c r="D57">
        <f>COUNTIF('1'!E:E,'2'!A110)</f>
        <v>5</v>
      </c>
    </row>
    <row r="58" spans="1:4" hidden="1" x14ac:dyDescent="0.25">
      <c r="A58" t="s">
        <v>60</v>
      </c>
      <c r="B58">
        <f>COUNTIF(Данные!B:B,'2'!A37)</f>
        <v>2</v>
      </c>
      <c r="C58">
        <f>SUMIF(Данные!B:B,'2'!A37,Данные!D:D)</f>
        <v>140475</v>
      </c>
      <c r="D58">
        <f>COUNTIF('1'!E:E,'2'!A37)</f>
        <v>2</v>
      </c>
    </row>
    <row r="59" spans="1:4" hidden="1" x14ac:dyDescent="0.25">
      <c r="A59" t="s">
        <v>215</v>
      </c>
      <c r="B59">
        <f>COUNTIF(Данные!B:B,'2'!A141)</f>
        <v>7</v>
      </c>
      <c r="C59">
        <f>SUMIF(Данные!B:B,'2'!A141,Данные!D:D)</f>
        <v>491611</v>
      </c>
      <c r="D59">
        <f>COUNTIF('1'!E:E,'2'!A141)</f>
        <v>5</v>
      </c>
    </row>
    <row r="60" spans="1:4" hidden="1" x14ac:dyDescent="0.25">
      <c r="A60" t="s">
        <v>153</v>
      </c>
      <c r="B60">
        <f>COUNTIF(Данные!B:B,'2'!A103)</f>
        <v>5</v>
      </c>
      <c r="C60">
        <f>SUMIF(Данные!B:B,'2'!A103,Данные!D:D)</f>
        <v>156684</v>
      </c>
      <c r="D60">
        <f>COUNTIF('1'!E:E,'2'!A103)</f>
        <v>4</v>
      </c>
    </row>
    <row r="61" spans="1:4" x14ac:dyDescent="0.25">
      <c r="A61" t="s">
        <v>52</v>
      </c>
      <c r="B61">
        <f>COUNTIF(Данные!B:B,'2'!A31)</f>
        <v>1</v>
      </c>
      <c r="C61">
        <f>SUMIF(Данные!B:B,'2'!A31,Данные!D:D)</f>
        <v>68538</v>
      </c>
      <c r="D61">
        <f>COUNTIF('1'!E:E,'2'!A31)</f>
        <v>1</v>
      </c>
    </row>
    <row r="62" spans="1:4" hidden="1" x14ac:dyDescent="0.25">
      <c r="A62" t="s">
        <v>354</v>
      </c>
      <c r="B62">
        <f>COUNTIF(Данные!B:B,'2'!A186)</f>
        <v>6</v>
      </c>
      <c r="C62">
        <f>SUMIF(Данные!B:B,'2'!A186,Данные!D:D)</f>
        <v>439147</v>
      </c>
      <c r="D62">
        <f>COUNTIF('1'!E:E,'2'!A186)</f>
        <v>5</v>
      </c>
    </row>
    <row r="63" spans="1:4" hidden="1" x14ac:dyDescent="0.25">
      <c r="A63" t="s">
        <v>134</v>
      </c>
      <c r="B63">
        <f>COUNTIF(Данные!B:B,'2'!A90)</f>
        <v>2</v>
      </c>
      <c r="C63">
        <f>SUMIF(Данные!B:B,'2'!A90,Данные!D:D)</f>
        <v>53864</v>
      </c>
      <c r="D63">
        <f>COUNTIF('1'!E:E,'2'!A90)</f>
        <v>2</v>
      </c>
    </row>
    <row r="64" spans="1:4" hidden="1" x14ac:dyDescent="0.25">
      <c r="A64" t="s">
        <v>34</v>
      </c>
      <c r="B64">
        <f>COUNTIF(Данные!B:B,'2'!A18)</f>
        <v>5</v>
      </c>
      <c r="C64">
        <f>SUMIF(Данные!B:B,'2'!A18,Данные!D:D)</f>
        <v>288693</v>
      </c>
      <c r="D64">
        <f>COUNTIF('1'!E:E,'2'!A18)</f>
        <v>4</v>
      </c>
    </row>
    <row r="65" spans="1:4" hidden="1" x14ac:dyDescent="0.25">
      <c r="A65" t="s">
        <v>326</v>
      </c>
      <c r="B65">
        <f>COUNTIF(Данные!B:B,'2'!A178)</f>
        <v>10</v>
      </c>
      <c r="C65">
        <f>SUMIF(Данные!B:B,'2'!A178,Данные!D:D)</f>
        <v>472649</v>
      </c>
      <c r="D65">
        <f>COUNTIF('1'!E:E,'2'!A178)</f>
        <v>6</v>
      </c>
    </row>
    <row r="66" spans="1:4" hidden="1" x14ac:dyDescent="0.25">
      <c r="A66" t="s">
        <v>202</v>
      </c>
      <c r="B66">
        <f>COUNTIF(Данные!B:B,'2'!A136)</f>
        <v>4</v>
      </c>
      <c r="C66">
        <f>SUMIF(Данные!B:B,'2'!A136,Данные!D:D)</f>
        <v>257989</v>
      </c>
      <c r="D66">
        <f>COUNTIF('1'!E:E,'2'!A136)</f>
        <v>4</v>
      </c>
    </row>
    <row r="67" spans="1:4" hidden="1" x14ac:dyDescent="0.25">
      <c r="A67" t="s">
        <v>342</v>
      </c>
      <c r="B67">
        <f>COUNTIF(Данные!B:B,'2'!A183)</f>
        <v>5</v>
      </c>
      <c r="C67">
        <f>SUMIF(Данные!B:B,'2'!A183,Данные!D:D)</f>
        <v>315775</v>
      </c>
      <c r="D67">
        <f>COUNTIF('1'!E:E,'2'!A183)</f>
        <v>5</v>
      </c>
    </row>
    <row r="68" spans="1:4" hidden="1" x14ac:dyDescent="0.25">
      <c r="A68" t="s">
        <v>87</v>
      </c>
      <c r="B68">
        <f>COUNTIF(Данные!B:B,'2'!A57)</f>
        <v>3</v>
      </c>
      <c r="C68">
        <f>SUMIF(Данные!B:B,'2'!A57,Данные!D:D)</f>
        <v>41514</v>
      </c>
      <c r="D68">
        <f>COUNTIF('1'!E:E,'2'!A57)</f>
        <v>3</v>
      </c>
    </row>
    <row r="69" spans="1:4" hidden="1" x14ac:dyDescent="0.25">
      <c r="A69" t="s">
        <v>78</v>
      </c>
      <c r="B69">
        <f>COUNTIF(Данные!B:B,'2'!A51)</f>
        <v>2</v>
      </c>
      <c r="C69">
        <f>SUMIF(Данные!B:B,'2'!A51,Данные!D:D)</f>
        <v>153985</v>
      </c>
      <c r="D69">
        <f>COUNTIF('1'!E:E,'2'!A51)</f>
        <v>2</v>
      </c>
    </row>
    <row r="70" spans="1:4" hidden="1" x14ac:dyDescent="0.25">
      <c r="A70" t="s">
        <v>216</v>
      </c>
      <c r="B70">
        <f>COUNTIF(Данные!B:B,'2'!A142)</f>
        <v>9</v>
      </c>
      <c r="C70">
        <f>SUMIF(Данные!B:B,'2'!A142,Данные!D:D)</f>
        <v>568425</v>
      </c>
      <c r="D70">
        <f>COUNTIF('1'!E:E,'2'!A142)</f>
        <v>6</v>
      </c>
    </row>
    <row r="71" spans="1:4" hidden="1" x14ac:dyDescent="0.25">
      <c r="A71" t="s">
        <v>265</v>
      </c>
      <c r="B71">
        <f>COUNTIF(Данные!B:B,'2'!A160)</f>
        <v>6</v>
      </c>
      <c r="C71">
        <f>SUMIF(Данные!B:B,'2'!A160,Данные!D:D)</f>
        <v>269342</v>
      </c>
      <c r="D71">
        <f>COUNTIF('1'!E:E,'2'!A160)</f>
        <v>5</v>
      </c>
    </row>
    <row r="72" spans="1:4" hidden="1" x14ac:dyDescent="0.25">
      <c r="A72" t="s">
        <v>30</v>
      </c>
      <c r="B72">
        <f>COUNTIF(Данные!B:B,'2'!A15)</f>
        <v>3</v>
      </c>
      <c r="C72">
        <f>SUMIF(Данные!B:B,'2'!A15,Данные!D:D)</f>
        <v>121712</v>
      </c>
      <c r="D72">
        <f>COUNTIF('1'!E:E,'2'!A15)</f>
        <v>3</v>
      </c>
    </row>
    <row r="73" spans="1:4" x14ac:dyDescent="0.25">
      <c r="A73" t="s">
        <v>410</v>
      </c>
      <c r="B73">
        <f>COUNTIF(Данные!B:B,'2'!A193)</f>
        <v>1</v>
      </c>
      <c r="C73">
        <f>SUMIF(Данные!B:B,'2'!A193,Данные!D:D)</f>
        <v>89042</v>
      </c>
      <c r="D73">
        <f>COUNTIF('1'!E:E,'2'!A193)</f>
        <v>1</v>
      </c>
    </row>
    <row r="74" spans="1:4" hidden="1" x14ac:dyDescent="0.25">
      <c r="A74" t="s">
        <v>92</v>
      </c>
      <c r="B74">
        <f>COUNTIF(Данные!B:B,'2'!A61)</f>
        <v>3</v>
      </c>
      <c r="C74">
        <f>SUMIF(Данные!B:B,'2'!A61,Данные!D:D)</f>
        <v>131927</v>
      </c>
      <c r="D74">
        <f>COUNTIF('1'!E:E,'2'!A61)</f>
        <v>3</v>
      </c>
    </row>
    <row r="75" spans="1:4" hidden="1" x14ac:dyDescent="0.25">
      <c r="A75" t="s">
        <v>167</v>
      </c>
      <c r="B75">
        <f>COUNTIF(Данные!B:B,'2'!A113)</f>
        <v>9</v>
      </c>
      <c r="C75">
        <f>SUMIF(Данные!B:B,'2'!A113,Данные!D:D)</f>
        <v>442873</v>
      </c>
      <c r="D75">
        <f>COUNTIF('1'!E:E,'2'!A113)</f>
        <v>6</v>
      </c>
    </row>
    <row r="76" spans="1:4" hidden="1" x14ac:dyDescent="0.25">
      <c r="A76" t="s">
        <v>207</v>
      </c>
      <c r="B76">
        <f>COUNTIF(Данные!B:B,'2'!A138)</f>
        <v>7</v>
      </c>
      <c r="C76">
        <f>SUMIF(Данные!B:B,'2'!A138,Данные!D:D)</f>
        <v>149760</v>
      </c>
      <c r="D76">
        <f>COUNTIF('1'!E:E,'2'!A138)</f>
        <v>5</v>
      </c>
    </row>
    <row r="77" spans="1:4" hidden="1" x14ac:dyDescent="0.25">
      <c r="A77" t="s">
        <v>299</v>
      </c>
      <c r="B77">
        <f>COUNTIF(Данные!B:B,'2'!A173)</f>
        <v>5</v>
      </c>
      <c r="C77">
        <f>SUMIF(Данные!B:B,'2'!A173,Данные!D:D)</f>
        <v>294173</v>
      </c>
      <c r="D77">
        <f>COUNTIF('1'!E:E,'2'!A173)</f>
        <v>4</v>
      </c>
    </row>
    <row r="78" spans="1:4" hidden="1" x14ac:dyDescent="0.25">
      <c r="A78" t="s">
        <v>116</v>
      </c>
      <c r="B78">
        <f>COUNTIF(Данные!B:B,'2'!A79)</f>
        <v>2</v>
      </c>
      <c r="C78">
        <f>SUMIF(Данные!B:B,'2'!A79,Данные!D:D)</f>
        <v>88760</v>
      </c>
      <c r="D78">
        <f>COUNTIF('1'!E:E,'2'!A79)</f>
        <v>2</v>
      </c>
    </row>
    <row r="79" spans="1:4" hidden="1" x14ac:dyDescent="0.25">
      <c r="A79" t="s">
        <v>168</v>
      </c>
      <c r="B79">
        <f>COUNTIF(Данные!B:B,'2'!A114)</f>
        <v>4</v>
      </c>
      <c r="C79">
        <f>SUMIF(Данные!B:B,'2'!A114,Данные!D:D)</f>
        <v>167933</v>
      </c>
      <c r="D79">
        <f>COUNTIF('1'!E:E,'2'!A114)</f>
        <v>3</v>
      </c>
    </row>
    <row r="80" spans="1:4" hidden="1" x14ac:dyDescent="0.25">
      <c r="A80" t="s">
        <v>81</v>
      </c>
      <c r="B80">
        <f>COUNTIF(Данные!B:B,'2'!A53)</f>
        <v>3</v>
      </c>
      <c r="C80">
        <f>SUMIF(Данные!B:B,'2'!A53,Данные!D:D)</f>
        <v>222780</v>
      </c>
      <c r="D80">
        <f>COUNTIF('1'!E:E,'2'!A53)</f>
        <v>3</v>
      </c>
    </row>
    <row r="81" spans="1:4" x14ac:dyDescent="0.25">
      <c r="A81" t="s">
        <v>392</v>
      </c>
      <c r="B81">
        <f>COUNTIF(Данные!B:B,'2'!A190)</f>
        <v>1</v>
      </c>
      <c r="C81">
        <f>SUMIF(Данные!B:B,'2'!A190,Данные!D:D)</f>
        <v>17306</v>
      </c>
      <c r="D81">
        <f>COUNTIF('1'!E:E,'2'!A190)</f>
        <v>1</v>
      </c>
    </row>
    <row r="82" spans="1:4" hidden="1" x14ac:dyDescent="0.25">
      <c r="A82" t="s">
        <v>115</v>
      </c>
      <c r="B82">
        <f>COUNTIF(Данные!B:B,'2'!A78)</f>
        <v>6</v>
      </c>
      <c r="C82">
        <f>SUMIF(Данные!B:B,'2'!A78,Данные!D:D)</f>
        <v>368022</v>
      </c>
      <c r="D82">
        <f>COUNTIF('1'!E:E,'2'!A78)</f>
        <v>5</v>
      </c>
    </row>
    <row r="83" spans="1:4" hidden="1" x14ac:dyDescent="0.25">
      <c r="A83" t="s">
        <v>155</v>
      </c>
      <c r="B83">
        <f>COUNTIF(Данные!B:B,'2'!A105)</f>
        <v>3</v>
      </c>
      <c r="C83">
        <f>SUMIF(Данные!B:B,'2'!A105,Данные!D:D)</f>
        <v>228134</v>
      </c>
      <c r="D83">
        <f>COUNTIF('1'!E:E,'2'!A105)</f>
        <v>3</v>
      </c>
    </row>
    <row r="84" spans="1:4" hidden="1" x14ac:dyDescent="0.25">
      <c r="A84" t="s">
        <v>40</v>
      </c>
      <c r="B84">
        <f>COUNTIF(Данные!B:B,'2'!A22)</f>
        <v>5</v>
      </c>
      <c r="C84">
        <f>SUMIF(Данные!B:B,'2'!A22,Данные!D:D)</f>
        <v>209318</v>
      </c>
      <c r="D84">
        <f>COUNTIF('1'!E:E,'2'!A22)</f>
        <v>3</v>
      </c>
    </row>
    <row r="85" spans="1:4" hidden="1" x14ac:dyDescent="0.25">
      <c r="A85" t="s">
        <v>239</v>
      </c>
      <c r="B85">
        <f>COUNTIF(Данные!B:B,'2'!A150)</f>
        <v>5</v>
      </c>
      <c r="C85">
        <f>SUMIF(Данные!B:B,'2'!A150,Данные!D:D)</f>
        <v>345035</v>
      </c>
      <c r="D85">
        <f>COUNTIF('1'!E:E,'2'!A150)</f>
        <v>5</v>
      </c>
    </row>
    <row r="86" spans="1:4" hidden="1" x14ac:dyDescent="0.25">
      <c r="A86" t="s">
        <v>362</v>
      </c>
      <c r="B86">
        <f>COUNTIF(Данные!B:B,'2'!A187)</f>
        <v>7</v>
      </c>
      <c r="C86">
        <f>SUMIF(Данные!B:B,'2'!A187,Данные!D:D)</f>
        <v>399910</v>
      </c>
      <c r="D86">
        <f>COUNTIF('1'!E:E,'2'!A187)</f>
        <v>5</v>
      </c>
    </row>
    <row r="87" spans="1:4" hidden="1" x14ac:dyDescent="0.25">
      <c r="A87" t="s">
        <v>177</v>
      </c>
      <c r="B87">
        <f>COUNTIF(Данные!B:B,'2'!A121)</f>
        <v>4</v>
      </c>
      <c r="C87">
        <f>SUMIF(Данные!B:B,'2'!A121,Данные!D:D)</f>
        <v>303697</v>
      </c>
      <c r="D87">
        <f>COUNTIF('1'!E:E,'2'!A121)</f>
        <v>2</v>
      </c>
    </row>
    <row r="88" spans="1:4" hidden="1" x14ac:dyDescent="0.25">
      <c r="A88" t="s">
        <v>77</v>
      </c>
      <c r="B88">
        <f>COUNTIF(Данные!B:B,'2'!A50)</f>
        <v>7</v>
      </c>
      <c r="C88">
        <f>SUMIF(Данные!B:B,'2'!A50,Данные!D:D)</f>
        <v>330527</v>
      </c>
      <c r="D88">
        <f>COUNTIF('1'!E:E,'2'!A50)</f>
        <v>6</v>
      </c>
    </row>
    <row r="89" spans="1:4" hidden="1" x14ac:dyDescent="0.25">
      <c r="A89" t="s">
        <v>176</v>
      </c>
      <c r="B89">
        <f>COUNTIF(Данные!B:B,'2'!A120)</f>
        <v>6</v>
      </c>
      <c r="C89">
        <f>SUMIF(Данные!B:B,'2'!A120,Данные!D:D)</f>
        <v>259275</v>
      </c>
      <c r="D89">
        <f>COUNTIF('1'!E:E,'2'!A120)</f>
        <v>4</v>
      </c>
    </row>
    <row r="90" spans="1:4" hidden="1" x14ac:dyDescent="0.25">
      <c r="A90" t="s">
        <v>340</v>
      </c>
      <c r="B90">
        <f>COUNTIF(Данные!B:B,'2'!A182)</f>
        <v>2</v>
      </c>
      <c r="C90">
        <f>SUMIF(Данные!B:B,'2'!A182,Данные!D:D)</f>
        <v>136014</v>
      </c>
      <c r="D90">
        <f>COUNTIF('1'!E:E,'2'!A182)</f>
        <v>2</v>
      </c>
    </row>
    <row r="91" spans="1:4" hidden="1" x14ac:dyDescent="0.25">
      <c r="A91" t="s">
        <v>411</v>
      </c>
      <c r="B91">
        <f>COUNTIF(Данные!B:B,'2'!A194)</f>
        <v>9</v>
      </c>
      <c r="C91">
        <f>SUMIF(Данные!B:B,'2'!A194,Данные!D:D)</f>
        <v>432365</v>
      </c>
      <c r="D91">
        <f>COUNTIF('1'!E:E,'2'!A194)</f>
        <v>6</v>
      </c>
    </row>
    <row r="92" spans="1:4" hidden="1" x14ac:dyDescent="0.25">
      <c r="A92" t="s">
        <v>278</v>
      </c>
      <c r="B92">
        <f>COUNTIF(Данные!B:B,'2'!A167)</f>
        <v>9</v>
      </c>
      <c r="C92">
        <f>SUMIF(Данные!B:B,'2'!A167,Данные!D:D)</f>
        <v>565257</v>
      </c>
      <c r="D92">
        <f>COUNTIF('1'!E:E,'2'!A167)</f>
        <v>6</v>
      </c>
    </row>
    <row r="93" spans="1:4" hidden="1" x14ac:dyDescent="0.25">
      <c r="A93" t="s">
        <v>141</v>
      </c>
      <c r="B93">
        <f>COUNTIF(Данные!B:B,'2'!A95)</f>
        <v>6</v>
      </c>
      <c r="C93">
        <f>SUMIF(Данные!B:B,'2'!A95,Данные!D:D)</f>
        <v>346784</v>
      </c>
      <c r="D93">
        <f>COUNTIF('1'!E:E,'2'!A95)</f>
        <v>5</v>
      </c>
    </row>
    <row r="94" spans="1:4" hidden="1" x14ac:dyDescent="0.25">
      <c r="A94" t="s">
        <v>257</v>
      </c>
      <c r="B94">
        <f>COUNTIF(Данные!B:B,'2'!A156)</f>
        <v>6</v>
      </c>
      <c r="C94">
        <f>SUMIF(Данные!B:B,'2'!A156,Данные!D:D)</f>
        <v>329417</v>
      </c>
      <c r="D94">
        <f>COUNTIF('1'!E:E,'2'!A156)</f>
        <v>5</v>
      </c>
    </row>
    <row r="95" spans="1:4" hidden="1" x14ac:dyDescent="0.25">
      <c r="A95" t="s">
        <v>114</v>
      </c>
      <c r="B95">
        <f>COUNTIF(Данные!B:B,'2'!A77)</f>
        <v>3</v>
      </c>
      <c r="C95">
        <f>SUMIF(Данные!B:B,'2'!A77,Данные!D:D)</f>
        <v>112775</v>
      </c>
      <c r="D95">
        <f>COUNTIF('1'!E:E,'2'!A77)</f>
        <v>3</v>
      </c>
    </row>
    <row r="96" spans="1:4" hidden="1" x14ac:dyDescent="0.25">
      <c r="A96" t="s">
        <v>442</v>
      </c>
      <c r="B96">
        <f>COUNTIF(Данные!B:B,'2'!A198)</f>
        <v>7</v>
      </c>
      <c r="C96">
        <f>SUMIF(Данные!B:B,'2'!A198,Данные!D:D)</f>
        <v>309150</v>
      </c>
      <c r="D96">
        <f>COUNTIF('1'!E:E,'2'!A198)</f>
        <v>4</v>
      </c>
    </row>
    <row r="97" spans="1:4" hidden="1" x14ac:dyDescent="0.25">
      <c r="A97" t="s">
        <v>89</v>
      </c>
      <c r="B97">
        <f>COUNTIF(Данные!B:B,'2'!A59)</f>
        <v>5</v>
      </c>
      <c r="C97">
        <f>SUMIF(Данные!B:B,'2'!A59,Данные!D:D)</f>
        <v>273001</v>
      </c>
      <c r="D97">
        <f>COUNTIF('1'!E:E,'2'!A59)</f>
        <v>4</v>
      </c>
    </row>
    <row r="98" spans="1:4" hidden="1" x14ac:dyDescent="0.25">
      <c r="A98" t="s">
        <v>63</v>
      </c>
      <c r="B98">
        <f>COUNTIF(Данные!B:B,'2'!A39)</f>
        <v>5</v>
      </c>
      <c r="C98">
        <f>SUMIF(Данные!B:B,'2'!A39,Данные!D:D)</f>
        <v>202074</v>
      </c>
      <c r="D98">
        <f>COUNTIF('1'!E:E,'2'!A39)</f>
        <v>4</v>
      </c>
    </row>
    <row r="99" spans="1:4" hidden="1" x14ac:dyDescent="0.25">
      <c r="A99" t="s">
        <v>253</v>
      </c>
      <c r="B99">
        <f>COUNTIF(Данные!B:B,'2'!A154)</f>
        <v>8</v>
      </c>
      <c r="C99">
        <f>SUMIF(Данные!B:B,'2'!A154,Данные!D:D)</f>
        <v>462646</v>
      </c>
      <c r="D99">
        <f>COUNTIF('1'!E:E,'2'!A154)</f>
        <v>6</v>
      </c>
    </row>
    <row r="100" spans="1:4" hidden="1" x14ac:dyDescent="0.25">
      <c r="A100" t="s">
        <v>67</v>
      </c>
      <c r="B100">
        <f>COUNTIF(Данные!B:B,'2'!A42)</f>
        <v>9</v>
      </c>
      <c r="C100">
        <f>SUMIF(Данные!B:B,'2'!A42,Данные!D:D)</f>
        <v>520106</v>
      </c>
      <c r="D100">
        <f>COUNTIF('1'!E:E,'2'!A42)</f>
        <v>5</v>
      </c>
    </row>
    <row r="101" spans="1:4" x14ac:dyDescent="0.25">
      <c r="A101" t="s">
        <v>123</v>
      </c>
      <c r="B101">
        <f>COUNTIF(Данные!B:B,'2'!A83)</f>
        <v>1</v>
      </c>
      <c r="C101">
        <f>SUMIF(Данные!B:B,'2'!A83,Данные!D:D)</f>
        <v>23259</v>
      </c>
      <c r="D101">
        <f>COUNTIF('1'!E:E,'2'!A83)</f>
        <v>1</v>
      </c>
    </row>
    <row r="102" spans="1:4" hidden="1" x14ac:dyDescent="0.25">
      <c r="A102" t="s">
        <v>129</v>
      </c>
      <c r="B102">
        <f>COUNTIF(Данные!B:B,'2'!A87)</f>
        <v>6</v>
      </c>
      <c r="C102">
        <f>SUMIF(Данные!B:B,'2'!A87,Данные!D:D)</f>
        <v>405573</v>
      </c>
      <c r="D102">
        <f>COUNTIF('1'!E:E,'2'!A87)</f>
        <v>6</v>
      </c>
    </row>
    <row r="103" spans="1:4" hidden="1" x14ac:dyDescent="0.25">
      <c r="A103" t="s">
        <v>211</v>
      </c>
      <c r="B103">
        <f>COUNTIF(Данные!B:B,'2'!A140)</f>
        <v>2</v>
      </c>
      <c r="C103">
        <f>SUMIF(Данные!B:B,'2'!A140,Данные!D:D)</f>
        <v>171060</v>
      </c>
      <c r="D103">
        <f>COUNTIF('1'!E:E,'2'!A140)</f>
        <v>2</v>
      </c>
    </row>
    <row r="104" spans="1:4" hidden="1" x14ac:dyDescent="0.25">
      <c r="A104" t="s">
        <v>375</v>
      </c>
      <c r="B104">
        <f>COUNTIF(Данные!B:B,'2'!A189)</f>
        <v>6</v>
      </c>
      <c r="C104">
        <f>SUMIF(Данные!B:B,'2'!A189,Данные!D:D)</f>
        <v>371485</v>
      </c>
      <c r="D104">
        <f>COUNTIF('1'!E:E,'2'!A189)</f>
        <v>5</v>
      </c>
    </row>
    <row r="105" spans="1:4" hidden="1" x14ac:dyDescent="0.25">
      <c r="A105" t="s">
        <v>36</v>
      </c>
      <c r="B105">
        <f>COUNTIF(Данные!B:B,'2'!A19)</f>
        <v>7</v>
      </c>
      <c r="C105">
        <f>SUMIF(Данные!B:B,'2'!A19,Данные!D:D)</f>
        <v>516462</v>
      </c>
      <c r="D105">
        <f>COUNTIF('1'!E:E,'2'!A19)</f>
        <v>6</v>
      </c>
    </row>
    <row r="106" spans="1:4" hidden="1" x14ac:dyDescent="0.25">
      <c r="A106" t="s">
        <v>145</v>
      </c>
      <c r="B106">
        <f>COUNTIF(Данные!B:B,'2'!A98)</f>
        <v>9</v>
      </c>
      <c r="C106">
        <f>SUMIF(Данные!B:B,'2'!A98,Данные!D:D)</f>
        <v>411811</v>
      </c>
      <c r="D106">
        <f>COUNTIF('1'!E:E,'2'!A98)</f>
        <v>6</v>
      </c>
    </row>
    <row r="107" spans="1:4" hidden="1" x14ac:dyDescent="0.25">
      <c r="A107" t="s">
        <v>76</v>
      </c>
      <c r="B107">
        <f>COUNTIF(Данные!B:B,'2'!A49)</f>
        <v>3</v>
      </c>
      <c r="C107">
        <f>SUMIF(Данные!B:B,'2'!A49,Данные!D:D)</f>
        <v>169858</v>
      </c>
      <c r="D107">
        <f>COUNTIF('1'!E:E,'2'!A49)</f>
        <v>3</v>
      </c>
    </row>
    <row r="108" spans="1:4" hidden="1" x14ac:dyDescent="0.25">
      <c r="A108" t="s">
        <v>424</v>
      </c>
      <c r="B108">
        <f>COUNTIF(Данные!B:B,'2'!A196)</f>
        <v>7</v>
      </c>
      <c r="C108">
        <f>SUMIF(Данные!B:B,'2'!A196,Данные!D:D)</f>
        <v>410325</v>
      </c>
      <c r="D108">
        <f>COUNTIF('1'!E:E,'2'!A196)</f>
        <v>7</v>
      </c>
    </row>
    <row r="109" spans="1:4" hidden="1" x14ac:dyDescent="0.25">
      <c r="A109" t="s">
        <v>6</v>
      </c>
      <c r="B109">
        <f>COUNTIF(Данные!B:B,'2'!A2)</f>
        <v>6</v>
      </c>
      <c r="C109">
        <f>SUMIF(Данные!B:B,'2'!A2,Данные!D:D)</f>
        <v>283867</v>
      </c>
      <c r="D109">
        <f>COUNTIF('1'!E:E,'2'!A2)</f>
        <v>6</v>
      </c>
    </row>
    <row r="110" spans="1:4" hidden="1" x14ac:dyDescent="0.25">
      <c r="A110" t="s">
        <v>47</v>
      </c>
      <c r="B110">
        <f>COUNTIF(Данные!B:B,'2'!A27)</f>
        <v>7</v>
      </c>
      <c r="C110">
        <f>SUMIF(Данные!B:B,'2'!A27,Данные!D:D)</f>
        <v>540596</v>
      </c>
      <c r="D110">
        <f>COUNTIF('1'!E:E,'2'!A27)</f>
        <v>6</v>
      </c>
    </row>
    <row r="111" spans="1:4" hidden="1" x14ac:dyDescent="0.25">
      <c r="A111" t="s">
        <v>33</v>
      </c>
      <c r="B111">
        <f>COUNTIF(Данные!B:B,'2'!A17)</f>
        <v>5</v>
      </c>
      <c r="C111">
        <f>SUMIF(Данные!B:B,'2'!A17,Данные!D:D)</f>
        <v>336047</v>
      </c>
      <c r="D111">
        <f>COUNTIF('1'!E:E,'2'!A17)</f>
        <v>4</v>
      </c>
    </row>
    <row r="112" spans="1:4" hidden="1" x14ac:dyDescent="0.25">
      <c r="A112" t="s">
        <v>283</v>
      </c>
      <c r="B112">
        <f>COUNTIF(Данные!B:B,'2'!A168)</f>
        <v>3</v>
      </c>
      <c r="C112">
        <f>SUMIF(Данные!B:B,'2'!A168,Данные!D:D)</f>
        <v>221539</v>
      </c>
      <c r="D112">
        <f>COUNTIF('1'!E:E,'2'!A168)</f>
        <v>3</v>
      </c>
    </row>
    <row r="113" spans="1:4" hidden="1" x14ac:dyDescent="0.25">
      <c r="A113" t="s">
        <v>111</v>
      </c>
      <c r="B113">
        <f>COUNTIF(Данные!B:B,'2'!A74)</f>
        <v>11</v>
      </c>
      <c r="C113">
        <f>SUMIF(Данные!B:B,'2'!A74,Данные!D:D)</f>
        <v>636319</v>
      </c>
      <c r="D113">
        <f>COUNTIF('1'!E:E,'2'!A74)</f>
        <v>7</v>
      </c>
    </row>
    <row r="114" spans="1:4" hidden="1" x14ac:dyDescent="0.25">
      <c r="A114" t="s">
        <v>106</v>
      </c>
      <c r="B114">
        <f>COUNTIF(Данные!B:B,'2'!A71)</f>
        <v>2</v>
      </c>
      <c r="C114">
        <f>SUMIF(Данные!B:B,'2'!A71,Данные!D:D)</f>
        <v>107937</v>
      </c>
      <c r="D114">
        <f>COUNTIF('1'!E:E,'2'!A71)</f>
        <v>2</v>
      </c>
    </row>
    <row r="115" spans="1:4" hidden="1" x14ac:dyDescent="0.25">
      <c r="A115" t="s">
        <v>32</v>
      </c>
      <c r="B115">
        <f>COUNTIF(Данные!B:B,'2'!A16)</f>
        <v>6</v>
      </c>
      <c r="C115">
        <f>SUMIF(Данные!B:B,'2'!A16,Данные!D:D)</f>
        <v>320743</v>
      </c>
      <c r="D115">
        <f>COUNTIF('1'!E:E,'2'!A16)</f>
        <v>4</v>
      </c>
    </row>
    <row r="116" spans="1:4" hidden="1" x14ac:dyDescent="0.25">
      <c r="A116" t="s">
        <v>37</v>
      </c>
      <c r="B116">
        <f>COUNTIF(Данные!B:B,'2'!A20)</f>
        <v>5</v>
      </c>
      <c r="C116">
        <f>SUMIF(Данные!B:B,'2'!A20,Данные!D:D)</f>
        <v>288002</v>
      </c>
      <c r="D116">
        <f>COUNTIF('1'!E:E,'2'!A20)</f>
        <v>4</v>
      </c>
    </row>
    <row r="117" spans="1:4" hidden="1" x14ac:dyDescent="0.25">
      <c r="A117" t="s">
        <v>197</v>
      </c>
      <c r="B117">
        <f>COUNTIF(Данные!B:B,'2'!A133)</f>
        <v>5</v>
      </c>
      <c r="C117">
        <f>SUMIF(Данные!B:B,'2'!A133,Данные!D:D)</f>
        <v>261766</v>
      </c>
      <c r="D117">
        <f>COUNTIF('1'!E:E,'2'!A133)</f>
        <v>5</v>
      </c>
    </row>
    <row r="118" spans="1:4" hidden="1" x14ac:dyDescent="0.25">
      <c r="A118" t="s">
        <v>100</v>
      </c>
      <c r="B118">
        <f>COUNTIF(Данные!B:B,'2'!A67)</f>
        <v>3</v>
      </c>
      <c r="C118">
        <f>SUMIF(Данные!B:B,'2'!A67,Данные!D:D)</f>
        <v>211548</v>
      </c>
      <c r="D118">
        <f>COUNTIF('1'!E:E,'2'!A67)</f>
        <v>3</v>
      </c>
    </row>
    <row r="119" spans="1:4" hidden="1" x14ac:dyDescent="0.25">
      <c r="A119" t="s">
        <v>105</v>
      </c>
      <c r="B119">
        <f>COUNTIF(Данные!B:B,'2'!A70)</f>
        <v>4</v>
      </c>
      <c r="C119">
        <f>SUMIF(Данные!B:B,'2'!A70,Данные!D:D)</f>
        <v>201454</v>
      </c>
      <c r="D119">
        <f>COUNTIF('1'!E:E,'2'!A70)</f>
        <v>3</v>
      </c>
    </row>
    <row r="120" spans="1:4" hidden="1" x14ac:dyDescent="0.25">
      <c r="A120" t="s">
        <v>199</v>
      </c>
      <c r="B120">
        <f>COUNTIF(Данные!B:B,'2'!A134)</f>
        <v>5</v>
      </c>
      <c r="C120">
        <f>SUMIF(Данные!B:B,'2'!A134,Данные!D:D)</f>
        <v>314608</v>
      </c>
      <c r="D120">
        <f>COUNTIF('1'!E:E,'2'!A134)</f>
        <v>4</v>
      </c>
    </row>
    <row r="121" spans="1:4" hidden="1" x14ac:dyDescent="0.25">
      <c r="A121" t="s">
        <v>39</v>
      </c>
      <c r="B121">
        <f>COUNTIF(Данные!B:B,'2'!A21)</f>
        <v>7</v>
      </c>
      <c r="C121">
        <f>SUMIF(Данные!B:B,'2'!A21,Данные!D:D)</f>
        <v>403669</v>
      </c>
      <c r="D121">
        <f>COUNTIF('1'!E:E,'2'!A21)</f>
        <v>6</v>
      </c>
    </row>
    <row r="122" spans="1:4" hidden="1" x14ac:dyDescent="0.25">
      <c r="A122" t="s">
        <v>209</v>
      </c>
      <c r="B122">
        <f>COUNTIF(Данные!B:B,'2'!A139)</f>
        <v>2</v>
      </c>
      <c r="C122">
        <f>SUMIF(Данные!B:B,'2'!A139,Данные!D:D)</f>
        <v>121571</v>
      </c>
      <c r="D122">
        <f>COUNTIF('1'!E:E,'2'!A139)</f>
        <v>2</v>
      </c>
    </row>
    <row r="123" spans="1:4" hidden="1" x14ac:dyDescent="0.25">
      <c r="A123" t="s">
        <v>319</v>
      </c>
      <c r="B123">
        <f>COUNTIF(Данные!B:B,'2'!A177)</f>
        <v>7</v>
      </c>
      <c r="C123">
        <f>SUMIF(Данные!B:B,'2'!A177,Данные!D:D)</f>
        <v>404571</v>
      </c>
      <c r="D123">
        <f>COUNTIF('1'!E:E,'2'!A177)</f>
        <v>6</v>
      </c>
    </row>
    <row r="124" spans="1:4" hidden="1" x14ac:dyDescent="0.25">
      <c r="A124" t="s">
        <v>267</v>
      </c>
      <c r="B124">
        <f>COUNTIF(Данные!B:B,'2'!A161)</f>
        <v>2</v>
      </c>
      <c r="C124">
        <f>SUMIF(Данные!B:B,'2'!A161,Данные!D:D)</f>
        <v>62424</v>
      </c>
      <c r="D124">
        <f>COUNTIF('1'!E:E,'2'!A161)</f>
        <v>2</v>
      </c>
    </row>
    <row r="125" spans="1:4" hidden="1" x14ac:dyDescent="0.25">
      <c r="A125" t="s">
        <v>144</v>
      </c>
      <c r="B125">
        <f>COUNTIF(Данные!B:B,'2'!A97)</f>
        <v>4</v>
      </c>
      <c r="C125">
        <f>SUMIF(Данные!B:B,'2'!A97,Данные!D:D)</f>
        <v>229092</v>
      </c>
      <c r="D125">
        <f>COUNTIF('1'!E:E,'2'!A97)</f>
        <v>3</v>
      </c>
    </row>
    <row r="126" spans="1:4" hidden="1" x14ac:dyDescent="0.25">
      <c r="A126" t="s">
        <v>419</v>
      </c>
      <c r="B126">
        <f>COUNTIF(Данные!B:B,'2'!A195)</f>
        <v>11</v>
      </c>
      <c r="C126">
        <f>SUMIF(Данные!B:B,'2'!A195,Данные!D:D)</f>
        <v>645037</v>
      </c>
      <c r="D126">
        <f>COUNTIF('1'!E:E,'2'!A195)</f>
        <v>8</v>
      </c>
    </row>
    <row r="127" spans="1:4" hidden="1" x14ac:dyDescent="0.25">
      <c r="A127" t="s">
        <v>126</v>
      </c>
      <c r="B127">
        <f>COUNTIF(Данные!B:B,'2'!A85)</f>
        <v>3</v>
      </c>
      <c r="C127">
        <f>SUMIF(Данные!B:B,'2'!A85,Данные!D:D)</f>
        <v>129470</v>
      </c>
      <c r="D127">
        <f>COUNTIF('1'!E:E,'2'!A85)</f>
        <v>3</v>
      </c>
    </row>
    <row r="128" spans="1:4" hidden="1" x14ac:dyDescent="0.25">
      <c r="A128" t="s">
        <v>405</v>
      </c>
      <c r="B128">
        <f>COUNTIF(Данные!B:B,'2'!A192)</f>
        <v>7</v>
      </c>
      <c r="C128">
        <f>SUMIF(Данные!B:B,'2'!A192,Данные!D:D)</f>
        <v>379457</v>
      </c>
      <c r="D128">
        <f>COUNTIF('1'!E:E,'2'!A192)</f>
        <v>6</v>
      </c>
    </row>
    <row r="129" spans="1:4" hidden="1" x14ac:dyDescent="0.25">
      <c r="A129" t="s">
        <v>136</v>
      </c>
      <c r="B129">
        <f>COUNTIF(Данные!B:B,'2'!A92)</f>
        <v>3</v>
      </c>
      <c r="C129">
        <f>SUMIF(Данные!B:B,'2'!A92,Данные!D:D)</f>
        <v>165392</v>
      </c>
      <c r="D129">
        <f>COUNTIF('1'!E:E,'2'!A92)</f>
        <v>3</v>
      </c>
    </row>
    <row r="130" spans="1:4" x14ac:dyDescent="0.25">
      <c r="A130" t="s">
        <v>130</v>
      </c>
      <c r="B130">
        <f>COUNTIF(Данные!B:B,'2'!A88)</f>
        <v>1</v>
      </c>
      <c r="C130">
        <f>SUMIF(Данные!B:B,'2'!A88,Данные!D:D)</f>
        <v>84729</v>
      </c>
      <c r="D130">
        <f>COUNTIF('1'!E:E,'2'!A88)</f>
        <v>1</v>
      </c>
    </row>
    <row r="131" spans="1:4" hidden="1" x14ac:dyDescent="0.25">
      <c r="A131" t="s">
        <v>84</v>
      </c>
      <c r="B131">
        <f>COUNTIF(Данные!B:B,'2'!A55)</f>
        <v>8</v>
      </c>
      <c r="C131">
        <f>SUMIF(Данные!B:B,'2'!A55,Данные!D:D)</f>
        <v>403129</v>
      </c>
      <c r="D131">
        <f>COUNTIF('1'!E:E,'2'!A55)</f>
        <v>7</v>
      </c>
    </row>
    <row r="132" spans="1:4" hidden="1" x14ac:dyDescent="0.25">
      <c r="A132" t="s">
        <v>102</v>
      </c>
      <c r="B132">
        <f>COUNTIF(Данные!B:B,'2'!A68)</f>
        <v>3</v>
      </c>
      <c r="C132">
        <f>SUMIF(Данные!B:B,'2'!A68,Данные!D:D)</f>
        <v>248037</v>
      </c>
      <c r="D132">
        <f>COUNTIF('1'!E:E,'2'!A68)</f>
        <v>3</v>
      </c>
    </row>
    <row r="133" spans="1:4" hidden="1" x14ac:dyDescent="0.25">
      <c r="A133" t="s">
        <v>15</v>
      </c>
      <c r="B133">
        <f>COUNTIF(Данные!B:B,'2'!A6)</f>
        <v>5</v>
      </c>
      <c r="C133">
        <f>SUMIF(Данные!B:B,'2'!A6,Данные!D:D)</f>
        <v>185825</v>
      </c>
      <c r="D133">
        <f>COUNTIF('1'!E:E,'2'!A6)</f>
        <v>4</v>
      </c>
    </row>
    <row r="134" spans="1:4" hidden="1" x14ac:dyDescent="0.25">
      <c r="A134" t="s">
        <v>75</v>
      </c>
      <c r="B134">
        <f>COUNTIF(Данные!B:B,'2'!A48)</f>
        <v>4</v>
      </c>
      <c r="C134">
        <f>SUMIF(Данные!B:B,'2'!A48,Данные!D:D)</f>
        <v>186077</v>
      </c>
      <c r="D134">
        <f>COUNTIF('1'!E:E,'2'!A48)</f>
        <v>4</v>
      </c>
    </row>
    <row r="135" spans="1:4" hidden="1" x14ac:dyDescent="0.25">
      <c r="A135" t="s">
        <v>206</v>
      </c>
      <c r="B135">
        <f>COUNTIF(Данные!B:B,'2'!A137)</f>
        <v>6</v>
      </c>
      <c r="C135">
        <f>SUMIF(Данные!B:B,'2'!A137,Данные!D:D)</f>
        <v>286710</v>
      </c>
      <c r="D135">
        <f>COUNTIF('1'!E:E,'2'!A137)</f>
        <v>3</v>
      </c>
    </row>
    <row r="136" spans="1:4" hidden="1" x14ac:dyDescent="0.25">
      <c r="A136" t="s">
        <v>109</v>
      </c>
      <c r="B136">
        <f>COUNTIF(Данные!B:B,'2'!A73)</f>
        <v>2</v>
      </c>
      <c r="C136">
        <f>SUMIF(Данные!B:B,'2'!A73,Данные!D:D)</f>
        <v>71379</v>
      </c>
      <c r="D136">
        <f>COUNTIF('1'!E:E,'2'!A73)</f>
        <v>2</v>
      </c>
    </row>
    <row r="137" spans="1:4" hidden="1" x14ac:dyDescent="0.25">
      <c r="A137" t="s">
        <v>275</v>
      </c>
      <c r="B137">
        <f>COUNTIF(Данные!B:B,'2'!A165)</f>
        <v>4</v>
      </c>
      <c r="C137">
        <f>SUMIF(Данные!B:B,'2'!A165,Данные!D:D)</f>
        <v>202392</v>
      </c>
      <c r="D137">
        <f>COUNTIF('1'!E:E,'2'!A165)</f>
        <v>4</v>
      </c>
    </row>
    <row r="138" spans="1:4" hidden="1" x14ac:dyDescent="0.25">
      <c r="A138" t="s">
        <v>71</v>
      </c>
      <c r="B138">
        <f>COUNTIF(Данные!B:B,'2'!A44)</f>
        <v>3</v>
      </c>
      <c r="C138">
        <f>SUMIF(Данные!B:B,'2'!A44,Данные!D:D)</f>
        <v>204806</v>
      </c>
      <c r="D138">
        <f>COUNTIF('1'!E:E,'2'!A44)</f>
        <v>3</v>
      </c>
    </row>
    <row r="139" spans="1:4" hidden="1" x14ac:dyDescent="0.25">
      <c r="A139" t="s">
        <v>333</v>
      </c>
      <c r="B139">
        <f>COUNTIF(Данные!B:B,'2'!A180)</f>
        <v>12</v>
      </c>
      <c r="C139">
        <f>SUMIF(Данные!B:B,'2'!A180,Данные!D:D)</f>
        <v>521707</v>
      </c>
      <c r="D139">
        <f>COUNTIF('1'!E:E,'2'!A180)</f>
        <v>8</v>
      </c>
    </row>
    <row r="140" spans="1:4" hidden="1" x14ac:dyDescent="0.25">
      <c r="A140" t="s">
        <v>246</v>
      </c>
      <c r="B140">
        <f>COUNTIF(Данные!B:B,'2'!A151)</f>
        <v>7</v>
      </c>
      <c r="C140">
        <f>SUMIF(Данные!B:B,'2'!A151,Данные!D:D)</f>
        <v>426308</v>
      </c>
      <c r="D140">
        <f>COUNTIF('1'!E:E,'2'!A151)</f>
        <v>5</v>
      </c>
    </row>
    <row r="141" spans="1:4" hidden="1" x14ac:dyDescent="0.25">
      <c r="A141" t="s">
        <v>184</v>
      </c>
      <c r="B141">
        <f>COUNTIF(Данные!B:B,'2'!A125)</f>
        <v>10</v>
      </c>
      <c r="C141">
        <f>SUMIF(Данные!B:B,'2'!A125,Данные!D:D)</f>
        <v>437926</v>
      </c>
      <c r="D141">
        <f>COUNTIF('1'!E:E,'2'!A125)</f>
        <v>7</v>
      </c>
    </row>
    <row r="142" spans="1:4" x14ac:dyDescent="0.25">
      <c r="A142" t="s">
        <v>119</v>
      </c>
      <c r="B142">
        <f>COUNTIF(Данные!B:B,'2'!A81)</f>
        <v>2</v>
      </c>
      <c r="C142">
        <f>SUMIF(Данные!B:B,'2'!A81,Данные!D:D)</f>
        <v>152056</v>
      </c>
      <c r="D142">
        <f>COUNTIF('1'!E:E,'2'!A81)</f>
        <v>1</v>
      </c>
    </row>
    <row r="143" spans="1:4" x14ac:dyDescent="0.25">
      <c r="A143" t="s">
        <v>61</v>
      </c>
      <c r="B143">
        <f>COUNTIF(Данные!B:B,'2'!A38)</f>
        <v>2</v>
      </c>
      <c r="C143">
        <f>SUMIF(Данные!B:B,'2'!A38,Данные!D:D)</f>
        <v>79846</v>
      </c>
      <c r="D143">
        <f>COUNTIF('1'!E:E,'2'!A38)</f>
        <v>1</v>
      </c>
    </row>
    <row r="144" spans="1:4" hidden="1" x14ac:dyDescent="0.25">
      <c r="A144" t="s">
        <v>148</v>
      </c>
      <c r="B144">
        <f>COUNTIF(Данные!B:B,'2'!A100)</f>
        <v>5</v>
      </c>
      <c r="C144">
        <f>SUMIF(Данные!B:B,'2'!A100,Данные!D:D)</f>
        <v>307019</v>
      </c>
      <c r="D144">
        <f>COUNTIF('1'!E:E,'2'!A100)</f>
        <v>5</v>
      </c>
    </row>
    <row r="145" spans="1:4" hidden="1" x14ac:dyDescent="0.25">
      <c r="A145" t="s">
        <v>82</v>
      </c>
      <c r="B145">
        <f>COUNTIF(Данные!B:B,'2'!A54)</f>
        <v>5</v>
      </c>
      <c r="C145">
        <f>SUMIF(Данные!B:B,'2'!A54,Данные!D:D)</f>
        <v>228683</v>
      </c>
      <c r="D145">
        <f>COUNTIF('1'!E:E,'2'!A54)</f>
        <v>4</v>
      </c>
    </row>
    <row r="146" spans="1:4" hidden="1" x14ac:dyDescent="0.25">
      <c r="A146" t="s">
        <v>138</v>
      </c>
      <c r="B146">
        <f>COUNTIF(Данные!B:B,'2'!A93)</f>
        <v>3</v>
      </c>
      <c r="C146">
        <f>SUMIF(Данные!B:B,'2'!A93,Данные!D:D)</f>
        <v>205193</v>
      </c>
      <c r="D146">
        <f>COUNTIF('1'!E:E,'2'!A93)</f>
        <v>2</v>
      </c>
    </row>
    <row r="147" spans="1:4" hidden="1" x14ac:dyDescent="0.25">
      <c r="A147" t="s">
        <v>165</v>
      </c>
      <c r="B147">
        <f>COUNTIF(Данные!B:B,'2'!A112)</f>
        <v>2</v>
      </c>
      <c r="C147">
        <f>SUMIF(Данные!B:B,'2'!A112,Данные!D:D)</f>
        <v>154977</v>
      </c>
      <c r="D147">
        <f>COUNTIF('1'!E:E,'2'!A112)</f>
        <v>2</v>
      </c>
    </row>
    <row r="148" spans="1:4" hidden="1" x14ac:dyDescent="0.25">
      <c r="A148" t="s">
        <v>158</v>
      </c>
      <c r="B148">
        <f>COUNTIF(Данные!B:B,'2'!A107)</f>
        <v>10</v>
      </c>
      <c r="C148">
        <f>SUMIF(Данные!B:B,'2'!A107,Данные!D:D)</f>
        <v>584399</v>
      </c>
      <c r="D148">
        <f>COUNTIF('1'!E:E,'2'!A107)</f>
        <v>7</v>
      </c>
    </row>
    <row r="149" spans="1:4" hidden="1" x14ac:dyDescent="0.25">
      <c r="A149" t="s">
        <v>88</v>
      </c>
      <c r="B149">
        <f>COUNTIF(Данные!B:B,'2'!A58)</f>
        <v>2</v>
      </c>
      <c r="C149">
        <f>SUMIF(Данные!B:B,'2'!A58,Данные!D:D)</f>
        <v>133428</v>
      </c>
      <c r="D149">
        <f>COUNTIF('1'!E:E,'2'!A58)</f>
        <v>2</v>
      </c>
    </row>
    <row r="150" spans="1:4" hidden="1" x14ac:dyDescent="0.25">
      <c r="A150" t="s">
        <v>174</v>
      </c>
      <c r="B150">
        <f>COUNTIF(Данные!B:B,'2'!A119)</f>
        <v>4</v>
      </c>
      <c r="C150">
        <f>SUMIF(Данные!B:B,'2'!A119,Данные!D:D)</f>
        <v>222115</v>
      </c>
      <c r="D150">
        <f>COUNTIF('1'!E:E,'2'!A119)</f>
        <v>3</v>
      </c>
    </row>
    <row r="151" spans="1:4" hidden="1" x14ac:dyDescent="0.25">
      <c r="A151" t="s">
        <v>178</v>
      </c>
      <c r="B151">
        <f>COUNTIF(Данные!B:B,'2'!A122)</f>
        <v>6</v>
      </c>
      <c r="C151">
        <f>SUMIF(Данные!B:B,'2'!A122,Данные!D:D)</f>
        <v>337990</v>
      </c>
      <c r="D151">
        <f>COUNTIF('1'!E:E,'2'!A122)</f>
        <v>5</v>
      </c>
    </row>
    <row r="152" spans="1:4" hidden="1" x14ac:dyDescent="0.25">
      <c r="A152" t="s">
        <v>160</v>
      </c>
      <c r="B152">
        <f>COUNTIF(Данные!B:B,'2'!A109)</f>
        <v>5</v>
      </c>
      <c r="C152">
        <f>SUMIF(Данные!B:B,'2'!A109,Данные!D:D)</f>
        <v>281526</v>
      </c>
      <c r="D152">
        <f>COUNTIF('1'!E:E,'2'!A109)</f>
        <v>4</v>
      </c>
    </row>
    <row r="153" spans="1:4" hidden="1" x14ac:dyDescent="0.25">
      <c r="A153" t="s">
        <v>248</v>
      </c>
      <c r="B153">
        <f>COUNTIF(Данные!B:B,'2'!A152)</f>
        <v>8</v>
      </c>
      <c r="C153">
        <f>SUMIF(Данные!B:B,'2'!A152,Данные!D:D)</f>
        <v>535410</v>
      </c>
      <c r="D153">
        <f>COUNTIF('1'!E:E,'2'!A152)</f>
        <v>6</v>
      </c>
    </row>
    <row r="154" spans="1:4" hidden="1" x14ac:dyDescent="0.25">
      <c r="A154" t="s">
        <v>18</v>
      </c>
      <c r="B154">
        <f>COUNTIF(Данные!B:B,'2'!A8)</f>
        <v>3</v>
      </c>
      <c r="C154">
        <f>SUMIF(Данные!B:B,'2'!A8,Данные!D:D)</f>
        <v>161242</v>
      </c>
      <c r="D154">
        <f>COUNTIF('1'!E:E,'2'!A8)</f>
        <v>3</v>
      </c>
    </row>
    <row r="155" spans="1:4" x14ac:dyDescent="0.25">
      <c r="A155" t="s">
        <v>143</v>
      </c>
      <c r="B155">
        <f>COUNTIF(Данные!B:B,'2'!A96)</f>
        <v>1</v>
      </c>
      <c r="C155">
        <f>SUMIF(Данные!B:B,'2'!A96,Данные!D:D)</f>
        <v>12003</v>
      </c>
      <c r="D155">
        <f>COUNTIF('1'!E:E,'2'!A96)</f>
        <v>1</v>
      </c>
    </row>
    <row r="156" spans="1:4" hidden="1" x14ac:dyDescent="0.25">
      <c r="A156" t="s">
        <v>295</v>
      </c>
      <c r="B156">
        <f>COUNTIF(Данные!B:B,'2'!A172)</f>
        <v>4</v>
      </c>
      <c r="C156">
        <f>SUMIF(Данные!B:B,'2'!A172,Данные!D:D)</f>
        <v>238933</v>
      </c>
      <c r="D156">
        <f>COUNTIF('1'!E:E,'2'!A172)</f>
        <v>3</v>
      </c>
    </row>
    <row r="157" spans="1:4" hidden="1" x14ac:dyDescent="0.25">
      <c r="A157" t="s">
        <v>311</v>
      </c>
      <c r="B157">
        <f>COUNTIF(Данные!B:B,'2'!A176)</f>
        <v>7</v>
      </c>
      <c r="C157">
        <f>SUMIF(Данные!B:B,'2'!A176,Данные!D:D)</f>
        <v>364991</v>
      </c>
      <c r="D157">
        <f>COUNTIF('1'!E:E,'2'!A176)</f>
        <v>6</v>
      </c>
    </row>
    <row r="158" spans="1:4" hidden="1" x14ac:dyDescent="0.25">
      <c r="A158" t="s">
        <v>20</v>
      </c>
      <c r="B158">
        <f>COUNTIF(Данные!B:B,'2'!A9)</f>
        <v>5</v>
      </c>
      <c r="C158">
        <f>SUMIF(Данные!B:B,'2'!A9,Данные!D:D)</f>
        <v>269061</v>
      </c>
      <c r="D158">
        <f>COUNTIF('1'!E:E,'2'!A9)</f>
        <v>4</v>
      </c>
    </row>
    <row r="159" spans="1:4" hidden="1" x14ac:dyDescent="0.25">
      <c r="A159" t="s">
        <v>73</v>
      </c>
      <c r="B159">
        <f>COUNTIF(Данные!B:B,'2'!A46)</f>
        <v>8</v>
      </c>
      <c r="C159">
        <f>SUMIF(Данные!B:B,'2'!A46,Данные!D:D)</f>
        <v>311583</v>
      </c>
      <c r="D159">
        <f>COUNTIF('1'!E:E,'2'!A46)</f>
        <v>5</v>
      </c>
    </row>
    <row r="160" spans="1:4" hidden="1" x14ac:dyDescent="0.25">
      <c r="A160" t="s">
        <v>94</v>
      </c>
      <c r="B160">
        <f>COUNTIF(Данные!B:B,'2'!A63)</f>
        <v>3</v>
      </c>
      <c r="C160">
        <f>SUMIF(Данные!B:B,'2'!A63,Данные!D:D)</f>
        <v>179546</v>
      </c>
      <c r="D160">
        <f>COUNTIF('1'!E:E,'2'!A63)</f>
        <v>3</v>
      </c>
    </row>
    <row r="161" spans="1:4" hidden="1" x14ac:dyDescent="0.25">
      <c r="A161" t="s">
        <v>347</v>
      </c>
      <c r="B161">
        <f>COUNTIF(Данные!B:B,'2'!A184)</f>
        <v>2</v>
      </c>
      <c r="C161">
        <f>SUMIF(Данные!B:B,'2'!A184,Данные!D:D)</f>
        <v>64612</v>
      </c>
      <c r="D161">
        <f>COUNTIF('1'!E:E,'2'!A184)</f>
        <v>2</v>
      </c>
    </row>
    <row r="162" spans="1:4" hidden="1" x14ac:dyDescent="0.25">
      <c r="A162" t="s">
        <v>339</v>
      </c>
      <c r="B162">
        <f>COUNTIF(Данные!B:B,'2'!A181)</f>
        <v>5</v>
      </c>
      <c r="C162">
        <f>SUMIF(Данные!B:B,'2'!A181,Данные!D:D)</f>
        <v>300115</v>
      </c>
      <c r="D162">
        <f>COUNTIF('1'!E:E,'2'!A181)</f>
        <v>3</v>
      </c>
    </row>
    <row r="163" spans="1:4" hidden="1" x14ac:dyDescent="0.25">
      <c r="A163" t="s">
        <v>183</v>
      </c>
      <c r="B163">
        <f>COUNTIF(Данные!B:B,'2'!A124)</f>
        <v>2</v>
      </c>
      <c r="C163">
        <f>SUMIF(Данные!B:B,'2'!A124,Данные!D:D)</f>
        <v>90893</v>
      </c>
      <c r="D163">
        <f>COUNTIF('1'!E:E,'2'!A124)</f>
        <v>2</v>
      </c>
    </row>
    <row r="164" spans="1:4" hidden="1" x14ac:dyDescent="0.25">
      <c r="A164" t="s">
        <v>227</v>
      </c>
      <c r="B164">
        <f>COUNTIF(Данные!B:B,'2'!A146)</f>
        <v>4</v>
      </c>
      <c r="C164">
        <f>SUMIF(Данные!B:B,'2'!A146,Данные!D:D)</f>
        <v>238613</v>
      </c>
      <c r="D164">
        <f>COUNTIF('1'!E:E,'2'!A146)</f>
        <v>3</v>
      </c>
    </row>
    <row r="165" spans="1:4" hidden="1" x14ac:dyDescent="0.25">
      <c r="A165" t="s">
        <v>255</v>
      </c>
      <c r="B165">
        <f>COUNTIF(Данные!B:B,'2'!A155)</f>
        <v>2</v>
      </c>
      <c r="C165">
        <f>SUMIF(Данные!B:B,'2'!A155,Данные!D:D)</f>
        <v>36610</v>
      </c>
      <c r="D165">
        <f>COUNTIF('1'!E:E,'2'!A155)</f>
        <v>2</v>
      </c>
    </row>
    <row r="166" spans="1:4" hidden="1" x14ac:dyDescent="0.25">
      <c r="A166" t="s">
        <v>173</v>
      </c>
      <c r="B166">
        <f>COUNTIF(Данные!B:B,'2'!A118)</f>
        <v>5</v>
      </c>
      <c r="C166">
        <f>SUMIF(Данные!B:B,'2'!A118,Данные!D:D)</f>
        <v>249885</v>
      </c>
      <c r="D166">
        <f>COUNTIF('1'!E:E,'2'!A118)</f>
        <v>3</v>
      </c>
    </row>
    <row r="167" spans="1:4" hidden="1" x14ac:dyDescent="0.25">
      <c r="A167" t="s">
        <v>59</v>
      </c>
      <c r="B167">
        <f>COUNTIF(Данные!B:B,'2'!A36)</f>
        <v>4</v>
      </c>
      <c r="C167">
        <f>SUMIF(Данные!B:B,'2'!A36,Данные!D:D)</f>
        <v>250812</v>
      </c>
      <c r="D167">
        <f>COUNTIF('1'!E:E,'2'!A36)</f>
        <v>4</v>
      </c>
    </row>
    <row r="168" spans="1:4" hidden="1" x14ac:dyDescent="0.25">
      <c r="A168" t="s">
        <v>194</v>
      </c>
      <c r="B168">
        <f>COUNTIF(Данные!B:B,'2'!A131)</f>
        <v>5</v>
      </c>
      <c r="C168">
        <f>SUMIF(Данные!B:B,'2'!A131,Данные!D:D)</f>
        <v>339250</v>
      </c>
      <c r="D168">
        <f>COUNTIF('1'!E:E,'2'!A131)</f>
        <v>3</v>
      </c>
    </row>
    <row r="169" spans="1:4" hidden="1" x14ac:dyDescent="0.25">
      <c r="A169" t="s">
        <v>50</v>
      </c>
      <c r="B169">
        <f>COUNTIF(Данные!B:B,'2'!A29)</f>
        <v>4</v>
      </c>
      <c r="C169">
        <f>SUMIF(Данные!B:B,'2'!A29,Данные!D:D)</f>
        <v>118956</v>
      </c>
      <c r="D169">
        <f>COUNTIF('1'!E:E,'2'!A29)</f>
        <v>4</v>
      </c>
    </row>
    <row r="170" spans="1:4" x14ac:dyDescent="0.25">
      <c r="A170" t="s">
        <v>118</v>
      </c>
      <c r="B170">
        <f>COUNTIF(Данные!B:B,'2'!A80)</f>
        <v>1</v>
      </c>
      <c r="C170">
        <f>SUMIF(Данные!B:B,'2'!A80,Данные!D:D)</f>
        <v>69923</v>
      </c>
      <c r="D170">
        <f>COUNTIF('1'!E:E,'2'!A80)</f>
        <v>1</v>
      </c>
    </row>
    <row r="171" spans="1:4" hidden="1" x14ac:dyDescent="0.25">
      <c r="A171" t="s">
        <v>45</v>
      </c>
      <c r="B171">
        <f>COUNTIF(Данные!B:B,'2'!A25)</f>
        <v>3</v>
      </c>
      <c r="C171">
        <f>SUMIF(Данные!B:B,'2'!A25,Данные!D:D)</f>
        <v>145906</v>
      </c>
      <c r="D171">
        <f>COUNTIF('1'!E:E,'2'!A25)</f>
        <v>3</v>
      </c>
    </row>
    <row r="172" spans="1:4" hidden="1" x14ac:dyDescent="0.25">
      <c r="A172" t="s">
        <v>250</v>
      </c>
      <c r="B172">
        <f>COUNTIF(Данные!B:B,'2'!A153)</f>
        <v>4</v>
      </c>
      <c r="C172">
        <f>SUMIF(Данные!B:B,'2'!A153,Данные!D:D)</f>
        <v>232498</v>
      </c>
      <c r="D172">
        <f>COUNTIF('1'!E:E,'2'!A153)</f>
        <v>4</v>
      </c>
    </row>
    <row r="173" spans="1:4" hidden="1" x14ac:dyDescent="0.25">
      <c r="A173" t="s">
        <v>258</v>
      </c>
      <c r="B173">
        <f>COUNTIF(Данные!B:B,'2'!A157)</f>
        <v>5</v>
      </c>
      <c r="C173">
        <f>SUMIF(Данные!B:B,'2'!A157,Данные!D:D)</f>
        <v>337818</v>
      </c>
      <c r="D173">
        <f>COUNTIF('1'!E:E,'2'!A157)</f>
        <v>4</v>
      </c>
    </row>
    <row r="174" spans="1:4" hidden="1" x14ac:dyDescent="0.25">
      <c r="A174" t="s">
        <v>156</v>
      </c>
      <c r="B174">
        <f>COUNTIF(Данные!B:B,'2'!A106)</f>
        <v>4</v>
      </c>
      <c r="C174">
        <f>SUMIF(Данные!B:B,'2'!A106,Данные!D:D)</f>
        <v>282497</v>
      </c>
      <c r="D174">
        <f>COUNTIF('1'!E:E,'2'!A106)</f>
        <v>3</v>
      </c>
    </row>
    <row r="175" spans="1:4" hidden="1" x14ac:dyDescent="0.25">
      <c r="A175" t="s">
        <v>272</v>
      </c>
      <c r="B175">
        <f>COUNTIF(Данные!B:B,'2'!A163)</f>
        <v>6</v>
      </c>
      <c r="C175">
        <f>SUMIF(Данные!B:B,'2'!A163,Данные!D:D)</f>
        <v>319945</v>
      </c>
      <c r="D175">
        <f>COUNTIF('1'!E:E,'2'!A163)</f>
        <v>5</v>
      </c>
    </row>
    <row r="176" spans="1:4" hidden="1" x14ac:dyDescent="0.25">
      <c r="A176" t="s">
        <v>125</v>
      </c>
      <c r="B176">
        <f>COUNTIF(Данные!B:B,'2'!A84)</f>
        <v>4</v>
      </c>
      <c r="C176">
        <f>SUMIF(Данные!B:B,'2'!A84,Данные!D:D)</f>
        <v>211614</v>
      </c>
      <c r="D176">
        <f>COUNTIF('1'!E:E,'2'!A84)</f>
        <v>3</v>
      </c>
    </row>
    <row r="177" spans="1:4" hidden="1" x14ac:dyDescent="0.25">
      <c r="A177" t="s">
        <v>12</v>
      </c>
      <c r="B177">
        <f>COUNTIF(Данные!B:B,'2'!A4)</f>
        <v>5</v>
      </c>
      <c r="C177">
        <f>SUMIF(Данные!B:B,'2'!A4,Данные!D:D)</f>
        <v>338353</v>
      </c>
      <c r="D177">
        <f>COUNTIF('1'!E:E,'2'!A4)</f>
        <v>5</v>
      </c>
    </row>
    <row r="178" spans="1:4" hidden="1" x14ac:dyDescent="0.25">
      <c r="A178" t="s">
        <v>169</v>
      </c>
      <c r="B178">
        <f>COUNTIF(Данные!B:B,'2'!A115)</f>
        <v>7</v>
      </c>
      <c r="C178">
        <f>SUMIF(Данные!B:B,'2'!A115,Данные!D:D)</f>
        <v>364248</v>
      </c>
      <c r="D178">
        <f>COUNTIF('1'!E:E,'2'!A115)</f>
        <v>5</v>
      </c>
    </row>
    <row r="179" spans="1:4" hidden="1" x14ac:dyDescent="0.25">
      <c r="A179" t="s">
        <v>28</v>
      </c>
      <c r="B179">
        <f>COUNTIF(Данные!B:B,'2'!A14)</f>
        <v>5</v>
      </c>
      <c r="C179">
        <f>SUMIF(Данные!B:B,'2'!A14,Данные!D:D)</f>
        <v>274933</v>
      </c>
      <c r="D179">
        <f>COUNTIF('1'!E:E,'2'!A14)</f>
        <v>4</v>
      </c>
    </row>
    <row r="180" spans="1:4" x14ac:dyDescent="0.25">
      <c r="A180" t="s">
        <v>22</v>
      </c>
      <c r="B180">
        <f>COUNTIF(Данные!B:B,'2'!A10)</f>
        <v>1</v>
      </c>
      <c r="C180">
        <f>SUMIF(Данные!B:B,'2'!A10,Данные!D:D)</f>
        <v>50519</v>
      </c>
      <c r="D180">
        <f>COUNTIF('1'!E:E,'2'!A10)</f>
        <v>1</v>
      </c>
    </row>
    <row r="181" spans="1:4" hidden="1" x14ac:dyDescent="0.25">
      <c r="A181" t="s">
        <v>44</v>
      </c>
      <c r="B181">
        <f>COUNTIF(Данные!B:B,'2'!A24)</f>
        <v>12</v>
      </c>
      <c r="C181">
        <f>SUMIF(Данные!B:B,'2'!A24,Данные!D:D)</f>
        <v>734427</v>
      </c>
      <c r="D181">
        <f>COUNTIF('1'!E:E,'2'!A24)</f>
        <v>9</v>
      </c>
    </row>
    <row r="182" spans="1:4" hidden="1" x14ac:dyDescent="0.25">
      <c r="A182" t="s">
        <v>303</v>
      </c>
      <c r="B182">
        <f>COUNTIF(Данные!B:B,'2'!A174)</f>
        <v>2</v>
      </c>
      <c r="C182">
        <f>SUMIF(Данные!B:B,'2'!A174,Данные!D:D)</f>
        <v>87913</v>
      </c>
      <c r="D182">
        <f>COUNTIF('1'!E:E,'2'!A174)</f>
        <v>2</v>
      </c>
    </row>
    <row r="183" spans="1:4" hidden="1" x14ac:dyDescent="0.25">
      <c r="A183" t="s">
        <v>200</v>
      </c>
      <c r="B183">
        <f>COUNTIF(Данные!B:B,'2'!A135)</f>
        <v>8</v>
      </c>
      <c r="C183">
        <f>SUMIF(Данные!B:B,'2'!A135,Данные!D:D)</f>
        <v>342252</v>
      </c>
      <c r="D183">
        <f>COUNTIF('1'!E:E,'2'!A135)</f>
        <v>5</v>
      </c>
    </row>
    <row r="184" spans="1:4" hidden="1" x14ac:dyDescent="0.25">
      <c r="A184" t="s">
        <v>196</v>
      </c>
      <c r="B184">
        <f>COUNTIF(Данные!B:B,'2'!A132)</f>
        <v>15</v>
      </c>
      <c r="C184">
        <f>SUMIF(Данные!B:B,'2'!A132,Данные!D:D)</f>
        <v>736048</v>
      </c>
      <c r="D184">
        <f>COUNTIF('1'!E:E,'2'!A132)</f>
        <v>10</v>
      </c>
    </row>
    <row r="185" spans="1:4" hidden="1" x14ac:dyDescent="0.25">
      <c r="A185" t="s">
        <v>293</v>
      </c>
      <c r="B185">
        <f>COUNTIF(Данные!B:B,'2'!A170)</f>
        <v>6</v>
      </c>
      <c r="C185">
        <f>SUMIF(Данные!B:B,'2'!A170,Данные!D:D)</f>
        <v>328842</v>
      </c>
      <c r="D185">
        <f>COUNTIF('1'!E:E,'2'!A170)</f>
        <v>4</v>
      </c>
    </row>
    <row r="186" spans="1:4" hidden="1" x14ac:dyDescent="0.25">
      <c r="A186" t="s">
        <v>46</v>
      </c>
      <c r="B186">
        <f>COUNTIF(Данные!B:B,'2'!A26)</f>
        <v>11</v>
      </c>
      <c r="C186">
        <f>SUMIF(Данные!B:B,'2'!A26,Данные!D:D)</f>
        <v>446892</v>
      </c>
      <c r="D186">
        <f>COUNTIF('1'!E:E,'2'!A26)</f>
        <v>8</v>
      </c>
    </row>
    <row r="187" spans="1:4" hidden="1" x14ac:dyDescent="0.25">
      <c r="A187" t="s">
        <v>237</v>
      </c>
      <c r="B187">
        <f>COUNTIF(Данные!B:B,'2'!A149)</f>
        <v>13</v>
      </c>
      <c r="C187">
        <f>SUMIF(Данные!B:B,'2'!A149,Данные!D:D)</f>
        <v>754465</v>
      </c>
      <c r="D187">
        <f>COUNTIF('1'!E:E,'2'!A149)</f>
        <v>10</v>
      </c>
    </row>
    <row r="188" spans="1:4" hidden="1" x14ac:dyDescent="0.25">
      <c r="A188" t="s">
        <v>135</v>
      </c>
      <c r="B188">
        <f>COUNTIF(Данные!B:B,'2'!A91)</f>
        <v>2</v>
      </c>
      <c r="C188">
        <f>SUMIF(Данные!B:B,'2'!A91,Данные!D:D)</f>
        <v>34507</v>
      </c>
      <c r="D188">
        <f>COUNTIF('1'!E:E,'2'!A91)</f>
        <v>2</v>
      </c>
    </row>
    <row r="189" spans="1:4" hidden="1" x14ac:dyDescent="0.25">
      <c r="A189" t="s">
        <v>234</v>
      </c>
      <c r="B189">
        <f>COUNTIF(Данные!B:B,'2'!A148)</f>
        <v>5</v>
      </c>
      <c r="C189">
        <f>SUMIF(Данные!B:B,'2'!A148,Данные!D:D)</f>
        <v>213243</v>
      </c>
      <c r="D189">
        <f>COUNTIF('1'!E:E,'2'!A148)</f>
        <v>4</v>
      </c>
    </row>
    <row r="190" spans="1:4" hidden="1" x14ac:dyDescent="0.25">
      <c r="A190" t="s">
        <v>276</v>
      </c>
      <c r="B190">
        <f>COUNTIF(Данные!B:B,'2'!A166)</f>
        <v>5</v>
      </c>
      <c r="C190">
        <f>SUMIF(Данные!B:B,'2'!A166,Данные!D:D)</f>
        <v>200578</v>
      </c>
      <c r="D190">
        <f>COUNTIF('1'!E:E,'2'!A166)</f>
        <v>4</v>
      </c>
    </row>
    <row r="191" spans="1:4" hidden="1" x14ac:dyDescent="0.25">
      <c r="A191" t="s">
        <v>24</v>
      </c>
      <c r="B191">
        <f>COUNTIF(Данные!B:B,'2'!A11)</f>
        <v>4</v>
      </c>
      <c r="C191">
        <f>SUMIF(Данные!B:B,'2'!A11,Данные!D:D)</f>
        <v>237075</v>
      </c>
      <c r="D191">
        <f>COUNTIF('1'!E:E,'2'!A11)</f>
        <v>3</v>
      </c>
    </row>
    <row r="192" spans="1:4" x14ac:dyDescent="0.25">
      <c r="A192" t="s">
        <v>79</v>
      </c>
      <c r="B192">
        <f>COUNTIF(Данные!B:B,'2'!A52)</f>
        <v>1</v>
      </c>
      <c r="C192">
        <f>SUMIF(Данные!B:B,'2'!A52,Данные!D:D)</f>
        <v>53965</v>
      </c>
      <c r="D192">
        <f>COUNTIF('1'!E:E,'2'!A52)</f>
        <v>1</v>
      </c>
    </row>
    <row r="193" spans="1:4" hidden="1" x14ac:dyDescent="0.25">
      <c r="A193" t="s">
        <v>433</v>
      </c>
      <c r="B193">
        <f>COUNTIF(Данные!B:B,'2'!A197)</f>
        <v>4</v>
      </c>
      <c r="C193">
        <f>SUMIF(Данные!B:B,'2'!A197,Данные!D:D)</f>
        <v>129893</v>
      </c>
      <c r="D193">
        <f>COUNTIF('1'!E:E,'2'!A197)</f>
        <v>3</v>
      </c>
    </row>
    <row r="194" spans="1:4" hidden="1" x14ac:dyDescent="0.25">
      <c r="A194" t="s">
        <v>217</v>
      </c>
      <c r="B194">
        <f>COUNTIF(Данные!B:B,'2'!A143)</f>
        <v>7</v>
      </c>
      <c r="C194">
        <f>SUMIF(Данные!B:B,'2'!A143,Данные!D:D)</f>
        <v>467560</v>
      </c>
      <c r="D194">
        <f>COUNTIF('1'!E:E,'2'!A143)</f>
        <v>7</v>
      </c>
    </row>
    <row r="195" spans="1:4" hidden="1" x14ac:dyDescent="0.25">
      <c r="A195" t="s">
        <v>97</v>
      </c>
      <c r="B195">
        <f>COUNTIF(Данные!B:B,'2'!A65)</f>
        <v>2</v>
      </c>
      <c r="C195">
        <f>SUMIF(Данные!B:B,'2'!A65,Данные!D:D)</f>
        <v>99320</v>
      </c>
      <c r="D195">
        <f>COUNTIF('1'!E:E,'2'!A65)</f>
        <v>2</v>
      </c>
    </row>
    <row r="196" spans="1:4" hidden="1" x14ac:dyDescent="0.25">
      <c r="A196" t="s">
        <v>25</v>
      </c>
      <c r="B196">
        <f>COUNTIF(Данные!B:B,'2'!A12)</f>
        <v>6</v>
      </c>
      <c r="C196">
        <f>SUMIF(Данные!B:B,'2'!A12,Данные!D:D)</f>
        <v>386570</v>
      </c>
      <c r="D196">
        <f>COUNTIF('1'!E:E,'2'!A12)</f>
        <v>4</v>
      </c>
    </row>
    <row r="197" spans="1:4" hidden="1" x14ac:dyDescent="0.25">
      <c r="A197" t="s">
        <v>305</v>
      </c>
      <c r="B197">
        <f>COUNTIF(Данные!B:B,'2'!A175)</f>
        <v>2</v>
      </c>
      <c r="C197">
        <f>SUMIF(Данные!B:B,'2'!A175,Данные!D:D)</f>
        <v>73956</v>
      </c>
      <c r="D197">
        <f>COUNTIF('1'!E:E,'2'!A175)</f>
        <v>2</v>
      </c>
    </row>
    <row r="198" spans="1:4" hidden="1" x14ac:dyDescent="0.25">
      <c r="A198" t="s">
        <v>104</v>
      </c>
      <c r="B198">
        <f>COUNTIF(Данные!B:B,'2'!A69)</f>
        <v>4</v>
      </c>
      <c r="C198">
        <f>SUMIF(Данные!B:B,'2'!A69,Данные!D:D)</f>
        <v>237809</v>
      </c>
      <c r="D198">
        <f>COUNTIF('1'!E:E,'2'!A69)</f>
        <v>4</v>
      </c>
    </row>
  </sheetData>
  <autoFilter ref="A1:D198" xr:uid="{282CC964-0514-49B8-B1BB-FF43F9EE7625}">
    <filterColumn colId="3">
      <filters>
        <filter val="1"/>
      </filters>
    </filterColumn>
  </autoFilter>
  <sortState xmlns:xlrd2="http://schemas.microsoft.com/office/spreadsheetml/2017/richdata2" ref="A2:D198">
    <sortCondition ref="A1:A198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40F78-424D-4EEA-9675-23180E33DAD3}">
  <dimension ref="A1:H1001"/>
  <sheetViews>
    <sheetView workbookViewId="0">
      <selection activeCell="J12" sqref="J12"/>
    </sheetView>
  </sheetViews>
  <sheetFormatPr defaultRowHeight="15" x14ac:dyDescent="0.25"/>
  <cols>
    <col min="1" max="1" width="31.85546875" customWidth="1"/>
    <col min="2" max="2" width="31.85546875" hidden="1" customWidth="1"/>
    <col min="3" max="3" width="12" customWidth="1"/>
    <col min="4" max="4" width="15" customWidth="1"/>
    <col min="5" max="5" width="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5" t="s">
        <v>516</v>
      </c>
      <c r="G1" s="25" t="s">
        <v>517</v>
      </c>
      <c r="H1" s="25" t="s">
        <v>518</v>
      </c>
    </row>
    <row r="2" spans="1:8" x14ac:dyDescent="0.25">
      <c r="A2" t="s">
        <v>5</v>
      </c>
      <c r="B2" t="s">
        <v>6</v>
      </c>
      <c r="C2" t="s">
        <v>7</v>
      </c>
      <c r="D2">
        <v>52260</v>
      </c>
      <c r="E2">
        <v>9</v>
      </c>
      <c r="F2">
        <f>YEAR(C2)</f>
        <v>2023</v>
      </c>
      <c r="G2">
        <f>MONTH(C2)</f>
        <v>9</v>
      </c>
      <c r="H2" t="str">
        <f>F2&amp;"-"&amp;G2</f>
        <v>2023-9</v>
      </c>
    </row>
    <row r="3" spans="1:8" x14ac:dyDescent="0.25">
      <c r="A3" t="s">
        <v>8</v>
      </c>
      <c r="B3" t="s">
        <v>9</v>
      </c>
      <c r="C3" t="s">
        <v>10</v>
      </c>
      <c r="D3">
        <v>32372</v>
      </c>
      <c r="E3">
        <v>7</v>
      </c>
      <c r="F3">
        <f t="shared" ref="F3:F66" si="0">YEAR(C3)</f>
        <v>2023</v>
      </c>
      <c r="G3">
        <f t="shared" ref="G3:G66" si="1">MONTH(C3)</f>
        <v>9</v>
      </c>
      <c r="H3" t="str">
        <f t="shared" ref="H3:H66" si="2">F3&amp;"-"&amp;G3</f>
        <v>2023-9</v>
      </c>
    </row>
    <row r="4" spans="1:8" x14ac:dyDescent="0.25">
      <c r="A4" t="s">
        <v>11</v>
      </c>
      <c r="B4" t="s">
        <v>12</v>
      </c>
      <c r="C4" t="s">
        <v>10</v>
      </c>
      <c r="D4">
        <v>51312</v>
      </c>
      <c r="E4">
        <v>6</v>
      </c>
      <c r="F4">
        <f t="shared" si="0"/>
        <v>2023</v>
      </c>
      <c r="G4">
        <f t="shared" si="1"/>
        <v>9</v>
      </c>
      <c r="H4" t="str">
        <f t="shared" si="2"/>
        <v>2023-9</v>
      </c>
    </row>
    <row r="5" spans="1:8" x14ac:dyDescent="0.25">
      <c r="A5" t="s">
        <v>13</v>
      </c>
      <c r="B5" t="s">
        <v>14</v>
      </c>
      <c r="C5" t="s">
        <v>10</v>
      </c>
      <c r="D5">
        <v>37796</v>
      </c>
      <c r="E5">
        <v>6</v>
      </c>
      <c r="F5">
        <f t="shared" si="0"/>
        <v>2023</v>
      </c>
      <c r="G5">
        <f t="shared" si="1"/>
        <v>9</v>
      </c>
      <c r="H5" t="str">
        <f t="shared" si="2"/>
        <v>2023-9</v>
      </c>
    </row>
    <row r="6" spans="1:8" x14ac:dyDescent="0.25">
      <c r="A6" t="s">
        <v>11</v>
      </c>
      <c r="B6" t="s">
        <v>15</v>
      </c>
      <c r="C6" t="s">
        <v>10</v>
      </c>
      <c r="D6">
        <v>34852</v>
      </c>
      <c r="E6">
        <v>8</v>
      </c>
      <c r="F6">
        <f t="shared" si="0"/>
        <v>2023</v>
      </c>
      <c r="G6">
        <f t="shared" si="1"/>
        <v>9</v>
      </c>
      <c r="H6" t="str">
        <f t="shared" si="2"/>
        <v>2023-9</v>
      </c>
    </row>
    <row r="7" spans="1:8" x14ac:dyDescent="0.25">
      <c r="A7" t="s">
        <v>16</v>
      </c>
      <c r="B7" t="s">
        <v>17</v>
      </c>
      <c r="C7" t="s">
        <v>10</v>
      </c>
      <c r="D7">
        <v>53965</v>
      </c>
      <c r="E7">
        <v>6</v>
      </c>
      <c r="F7">
        <f t="shared" si="0"/>
        <v>2023</v>
      </c>
      <c r="G7">
        <f t="shared" si="1"/>
        <v>9</v>
      </c>
      <c r="H7" t="str">
        <f t="shared" si="2"/>
        <v>2023-9</v>
      </c>
    </row>
    <row r="8" spans="1:8" x14ac:dyDescent="0.25">
      <c r="A8" t="s">
        <v>5</v>
      </c>
      <c r="B8" t="s">
        <v>18</v>
      </c>
      <c r="C8" t="s">
        <v>10</v>
      </c>
      <c r="D8">
        <v>40844</v>
      </c>
      <c r="E8">
        <v>7</v>
      </c>
      <c r="F8">
        <f t="shared" si="0"/>
        <v>2023</v>
      </c>
      <c r="G8">
        <f t="shared" si="1"/>
        <v>9</v>
      </c>
      <c r="H8" t="str">
        <f t="shared" si="2"/>
        <v>2023-9</v>
      </c>
    </row>
    <row r="9" spans="1:8" x14ac:dyDescent="0.25">
      <c r="A9" t="s">
        <v>19</v>
      </c>
      <c r="B9" t="s">
        <v>20</v>
      </c>
      <c r="C9" t="s">
        <v>10</v>
      </c>
      <c r="D9">
        <v>36221</v>
      </c>
      <c r="E9">
        <v>6</v>
      </c>
      <c r="F9">
        <f t="shared" si="0"/>
        <v>2023</v>
      </c>
      <c r="G9">
        <f t="shared" si="1"/>
        <v>9</v>
      </c>
      <c r="H9" t="str">
        <f t="shared" si="2"/>
        <v>2023-9</v>
      </c>
    </row>
    <row r="10" spans="1:8" x14ac:dyDescent="0.25">
      <c r="A10" t="s">
        <v>21</v>
      </c>
      <c r="B10" t="s">
        <v>22</v>
      </c>
      <c r="C10" t="s">
        <v>23</v>
      </c>
      <c r="D10">
        <v>53891</v>
      </c>
      <c r="E10">
        <v>1</v>
      </c>
      <c r="F10">
        <f t="shared" si="0"/>
        <v>2023</v>
      </c>
      <c r="G10">
        <f t="shared" si="1"/>
        <v>9</v>
      </c>
      <c r="H10" t="str">
        <f t="shared" si="2"/>
        <v>2023-9</v>
      </c>
    </row>
    <row r="11" spans="1:8" x14ac:dyDescent="0.25">
      <c r="A11" t="s">
        <v>13</v>
      </c>
      <c r="B11" t="s">
        <v>24</v>
      </c>
      <c r="C11" t="s">
        <v>23</v>
      </c>
      <c r="D11">
        <v>64414</v>
      </c>
      <c r="E11">
        <v>2</v>
      </c>
      <c r="F11">
        <f t="shared" si="0"/>
        <v>2023</v>
      </c>
      <c r="G11">
        <f t="shared" si="1"/>
        <v>9</v>
      </c>
      <c r="H11" t="str">
        <f t="shared" si="2"/>
        <v>2023-9</v>
      </c>
    </row>
    <row r="12" spans="1:8" x14ac:dyDescent="0.25">
      <c r="A12" t="s">
        <v>8</v>
      </c>
      <c r="B12" t="s">
        <v>25</v>
      </c>
      <c r="C12" t="s">
        <v>23</v>
      </c>
      <c r="D12">
        <v>64671</v>
      </c>
      <c r="E12">
        <v>7</v>
      </c>
      <c r="F12">
        <f t="shared" si="0"/>
        <v>2023</v>
      </c>
      <c r="G12">
        <f t="shared" si="1"/>
        <v>9</v>
      </c>
      <c r="H12" t="str">
        <f t="shared" si="2"/>
        <v>2023-9</v>
      </c>
    </row>
    <row r="13" spans="1:8" x14ac:dyDescent="0.25">
      <c r="A13" t="s">
        <v>26</v>
      </c>
      <c r="B13" t="s">
        <v>20</v>
      </c>
      <c r="C13" t="s">
        <v>23</v>
      </c>
      <c r="D13">
        <v>90516</v>
      </c>
      <c r="E13">
        <v>7</v>
      </c>
      <c r="F13">
        <f t="shared" si="0"/>
        <v>2023</v>
      </c>
      <c r="G13">
        <f t="shared" si="1"/>
        <v>9</v>
      </c>
      <c r="H13" t="str">
        <f t="shared" si="2"/>
        <v>2023-9</v>
      </c>
    </row>
    <row r="14" spans="1:8" x14ac:dyDescent="0.25">
      <c r="A14" t="s">
        <v>16</v>
      </c>
      <c r="B14" t="s">
        <v>27</v>
      </c>
      <c r="C14" t="s">
        <v>23</v>
      </c>
      <c r="D14">
        <v>11869</v>
      </c>
      <c r="E14">
        <v>9</v>
      </c>
      <c r="F14">
        <f t="shared" si="0"/>
        <v>2023</v>
      </c>
      <c r="G14">
        <f t="shared" si="1"/>
        <v>9</v>
      </c>
      <c r="H14" t="str">
        <f t="shared" si="2"/>
        <v>2023-9</v>
      </c>
    </row>
    <row r="15" spans="1:8" x14ac:dyDescent="0.25">
      <c r="A15" t="s">
        <v>26</v>
      </c>
      <c r="B15" t="s">
        <v>28</v>
      </c>
      <c r="C15" t="s">
        <v>23</v>
      </c>
      <c r="D15">
        <v>77253</v>
      </c>
      <c r="E15">
        <v>4</v>
      </c>
      <c r="F15">
        <f t="shared" si="0"/>
        <v>2023</v>
      </c>
      <c r="G15">
        <f t="shared" si="1"/>
        <v>9</v>
      </c>
      <c r="H15" t="str">
        <f t="shared" si="2"/>
        <v>2023-9</v>
      </c>
    </row>
    <row r="16" spans="1:8" x14ac:dyDescent="0.25">
      <c r="A16" t="s">
        <v>29</v>
      </c>
      <c r="B16" t="s">
        <v>30</v>
      </c>
      <c r="C16" t="s">
        <v>31</v>
      </c>
      <c r="D16">
        <v>47664</v>
      </c>
      <c r="E16">
        <v>3</v>
      </c>
      <c r="F16">
        <f t="shared" si="0"/>
        <v>2023</v>
      </c>
      <c r="G16">
        <f t="shared" si="1"/>
        <v>9</v>
      </c>
      <c r="H16" t="str">
        <f t="shared" si="2"/>
        <v>2023-9</v>
      </c>
    </row>
    <row r="17" spans="1:8" x14ac:dyDescent="0.25">
      <c r="A17" t="s">
        <v>21</v>
      </c>
      <c r="B17" t="s">
        <v>32</v>
      </c>
      <c r="C17" t="s">
        <v>31</v>
      </c>
      <c r="D17">
        <v>36606</v>
      </c>
      <c r="E17">
        <v>7</v>
      </c>
      <c r="F17">
        <f t="shared" si="0"/>
        <v>2023</v>
      </c>
      <c r="G17">
        <f t="shared" si="1"/>
        <v>9</v>
      </c>
      <c r="H17" t="str">
        <f t="shared" si="2"/>
        <v>2023-9</v>
      </c>
    </row>
    <row r="18" spans="1:8" x14ac:dyDescent="0.25">
      <c r="A18" t="s">
        <v>19</v>
      </c>
      <c r="B18" t="s">
        <v>33</v>
      </c>
      <c r="C18" t="s">
        <v>31</v>
      </c>
      <c r="D18">
        <v>34803</v>
      </c>
      <c r="E18">
        <v>8</v>
      </c>
      <c r="F18">
        <f t="shared" si="0"/>
        <v>2023</v>
      </c>
      <c r="G18">
        <f t="shared" si="1"/>
        <v>9</v>
      </c>
      <c r="H18" t="str">
        <f t="shared" si="2"/>
        <v>2023-9</v>
      </c>
    </row>
    <row r="19" spans="1:8" x14ac:dyDescent="0.25">
      <c r="A19" t="s">
        <v>29</v>
      </c>
      <c r="B19" t="s">
        <v>28</v>
      </c>
      <c r="C19" t="s">
        <v>31</v>
      </c>
      <c r="D19">
        <v>35568</v>
      </c>
      <c r="E19">
        <v>6</v>
      </c>
      <c r="F19">
        <f t="shared" si="0"/>
        <v>2023</v>
      </c>
      <c r="G19">
        <f t="shared" si="1"/>
        <v>9</v>
      </c>
      <c r="H19" t="str">
        <f t="shared" si="2"/>
        <v>2023-9</v>
      </c>
    </row>
    <row r="20" spans="1:8" x14ac:dyDescent="0.25">
      <c r="A20" t="s">
        <v>29</v>
      </c>
      <c r="B20" t="s">
        <v>34</v>
      </c>
      <c r="C20" t="s">
        <v>35</v>
      </c>
      <c r="D20">
        <v>30906</v>
      </c>
      <c r="E20">
        <v>6</v>
      </c>
      <c r="F20">
        <f t="shared" si="0"/>
        <v>2023</v>
      </c>
      <c r="G20">
        <f t="shared" si="1"/>
        <v>9</v>
      </c>
      <c r="H20" t="str">
        <f t="shared" si="2"/>
        <v>2023-9</v>
      </c>
    </row>
    <row r="21" spans="1:8" x14ac:dyDescent="0.25">
      <c r="A21" t="s">
        <v>11</v>
      </c>
      <c r="B21" t="s">
        <v>36</v>
      </c>
      <c r="C21" t="s">
        <v>35</v>
      </c>
      <c r="D21">
        <v>78858</v>
      </c>
      <c r="E21">
        <v>5</v>
      </c>
      <c r="F21">
        <f t="shared" si="0"/>
        <v>2023</v>
      </c>
      <c r="G21">
        <f t="shared" si="1"/>
        <v>9</v>
      </c>
      <c r="H21" t="str">
        <f t="shared" si="2"/>
        <v>2023-9</v>
      </c>
    </row>
    <row r="22" spans="1:8" x14ac:dyDescent="0.25">
      <c r="A22" t="s">
        <v>13</v>
      </c>
      <c r="B22" t="s">
        <v>37</v>
      </c>
      <c r="C22" t="s">
        <v>35</v>
      </c>
      <c r="D22">
        <v>42053</v>
      </c>
      <c r="E22">
        <v>9</v>
      </c>
      <c r="F22">
        <f t="shared" si="0"/>
        <v>2023</v>
      </c>
      <c r="G22">
        <f t="shared" si="1"/>
        <v>9</v>
      </c>
      <c r="H22" t="str">
        <f t="shared" si="2"/>
        <v>2023-9</v>
      </c>
    </row>
    <row r="23" spans="1:8" x14ac:dyDescent="0.25">
      <c r="A23" t="s">
        <v>38</v>
      </c>
      <c r="B23" t="s">
        <v>39</v>
      </c>
      <c r="C23" t="s">
        <v>35</v>
      </c>
      <c r="D23">
        <v>96154</v>
      </c>
      <c r="E23">
        <v>4</v>
      </c>
      <c r="F23">
        <f t="shared" si="0"/>
        <v>2023</v>
      </c>
      <c r="G23">
        <f t="shared" si="1"/>
        <v>9</v>
      </c>
      <c r="H23" t="str">
        <f t="shared" si="2"/>
        <v>2023-9</v>
      </c>
    </row>
    <row r="24" spans="1:8" x14ac:dyDescent="0.25">
      <c r="A24" t="s">
        <v>29</v>
      </c>
      <c r="B24" t="s">
        <v>40</v>
      </c>
      <c r="C24" t="s">
        <v>41</v>
      </c>
      <c r="D24">
        <v>91473</v>
      </c>
      <c r="E24">
        <v>9</v>
      </c>
      <c r="F24">
        <f t="shared" si="0"/>
        <v>2023</v>
      </c>
      <c r="G24">
        <f t="shared" si="1"/>
        <v>9</v>
      </c>
      <c r="H24" t="str">
        <f t="shared" si="2"/>
        <v>2023-9</v>
      </c>
    </row>
    <row r="25" spans="1:8" x14ac:dyDescent="0.25">
      <c r="A25" t="s">
        <v>16</v>
      </c>
      <c r="B25" t="s">
        <v>42</v>
      </c>
      <c r="C25" t="s">
        <v>41</v>
      </c>
      <c r="D25">
        <v>93453</v>
      </c>
      <c r="E25">
        <v>6</v>
      </c>
      <c r="F25">
        <f t="shared" si="0"/>
        <v>2023</v>
      </c>
      <c r="G25">
        <f t="shared" si="1"/>
        <v>9</v>
      </c>
      <c r="H25" t="str">
        <f t="shared" si="2"/>
        <v>2023-9</v>
      </c>
    </row>
    <row r="26" spans="1:8" x14ac:dyDescent="0.25">
      <c r="A26" t="s">
        <v>43</v>
      </c>
      <c r="B26" t="s">
        <v>44</v>
      </c>
      <c r="C26" t="s">
        <v>41</v>
      </c>
      <c r="D26">
        <v>96730</v>
      </c>
      <c r="E26">
        <v>7</v>
      </c>
      <c r="F26">
        <f t="shared" si="0"/>
        <v>2023</v>
      </c>
      <c r="G26">
        <f t="shared" si="1"/>
        <v>9</v>
      </c>
      <c r="H26" t="str">
        <f t="shared" si="2"/>
        <v>2023-9</v>
      </c>
    </row>
    <row r="27" spans="1:8" x14ac:dyDescent="0.25">
      <c r="A27" t="s">
        <v>8</v>
      </c>
      <c r="B27" t="s">
        <v>45</v>
      </c>
      <c r="C27" t="s">
        <v>41</v>
      </c>
      <c r="D27">
        <v>70964</v>
      </c>
      <c r="E27">
        <v>7</v>
      </c>
      <c r="F27">
        <f t="shared" si="0"/>
        <v>2023</v>
      </c>
      <c r="G27">
        <f t="shared" si="1"/>
        <v>9</v>
      </c>
      <c r="H27" t="str">
        <f t="shared" si="2"/>
        <v>2023-9</v>
      </c>
    </row>
    <row r="28" spans="1:8" x14ac:dyDescent="0.25">
      <c r="A28" t="s">
        <v>8</v>
      </c>
      <c r="B28" t="s">
        <v>46</v>
      </c>
      <c r="C28" t="s">
        <v>41</v>
      </c>
      <c r="D28">
        <v>86746</v>
      </c>
      <c r="E28">
        <v>8</v>
      </c>
      <c r="F28">
        <f t="shared" si="0"/>
        <v>2023</v>
      </c>
      <c r="G28">
        <f t="shared" si="1"/>
        <v>9</v>
      </c>
      <c r="H28" t="str">
        <f t="shared" si="2"/>
        <v>2023-9</v>
      </c>
    </row>
    <row r="29" spans="1:8" x14ac:dyDescent="0.25">
      <c r="A29" t="s">
        <v>29</v>
      </c>
      <c r="B29" t="s">
        <v>47</v>
      </c>
      <c r="C29" t="s">
        <v>48</v>
      </c>
      <c r="D29">
        <v>83509</v>
      </c>
      <c r="E29">
        <v>7</v>
      </c>
      <c r="F29">
        <f t="shared" si="0"/>
        <v>2023</v>
      </c>
      <c r="G29">
        <f t="shared" si="1"/>
        <v>9</v>
      </c>
      <c r="H29" t="str">
        <f t="shared" si="2"/>
        <v>2023-9</v>
      </c>
    </row>
    <row r="30" spans="1:8" x14ac:dyDescent="0.25">
      <c r="A30" t="s">
        <v>8</v>
      </c>
      <c r="B30" t="s">
        <v>49</v>
      </c>
      <c r="C30" t="s">
        <v>48</v>
      </c>
      <c r="D30">
        <v>66696</v>
      </c>
      <c r="E30">
        <v>8</v>
      </c>
      <c r="F30">
        <f t="shared" si="0"/>
        <v>2023</v>
      </c>
      <c r="G30">
        <f t="shared" si="1"/>
        <v>9</v>
      </c>
      <c r="H30" t="str">
        <f t="shared" si="2"/>
        <v>2023-9</v>
      </c>
    </row>
    <row r="31" spans="1:8" x14ac:dyDescent="0.25">
      <c r="A31" t="s">
        <v>19</v>
      </c>
      <c r="B31" t="s">
        <v>50</v>
      </c>
      <c r="C31" t="s">
        <v>48</v>
      </c>
      <c r="D31">
        <v>88009</v>
      </c>
      <c r="E31">
        <v>7</v>
      </c>
      <c r="F31">
        <f t="shared" si="0"/>
        <v>2023</v>
      </c>
      <c r="G31">
        <f t="shared" si="1"/>
        <v>9</v>
      </c>
      <c r="H31" t="str">
        <f t="shared" si="2"/>
        <v>2023-9</v>
      </c>
    </row>
    <row r="32" spans="1:8" x14ac:dyDescent="0.25">
      <c r="A32" t="s">
        <v>29</v>
      </c>
      <c r="B32" t="s">
        <v>51</v>
      </c>
      <c r="C32" t="s">
        <v>48</v>
      </c>
      <c r="D32">
        <v>16548</v>
      </c>
      <c r="E32">
        <v>10</v>
      </c>
      <c r="F32">
        <f t="shared" si="0"/>
        <v>2023</v>
      </c>
      <c r="G32">
        <f t="shared" si="1"/>
        <v>9</v>
      </c>
      <c r="H32" t="str">
        <f t="shared" si="2"/>
        <v>2023-9</v>
      </c>
    </row>
    <row r="33" spans="1:8" x14ac:dyDescent="0.25">
      <c r="A33" t="s">
        <v>21</v>
      </c>
      <c r="B33" t="s">
        <v>52</v>
      </c>
      <c r="C33" t="s">
        <v>48</v>
      </c>
      <c r="D33">
        <v>23333</v>
      </c>
      <c r="E33">
        <v>3</v>
      </c>
      <c r="F33">
        <f t="shared" si="0"/>
        <v>2023</v>
      </c>
      <c r="G33">
        <f t="shared" si="1"/>
        <v>9</v>
      </c>
      <c r="H33" t="str">
        <f t="shared" si="2"/>
        <v>2023-9</v>
      </c>
    </row>
    <row r="34" spans="1:8" x14ac:dyDescent="0.25">
      <c r="A34" t="s">
        <v>19</v>
      </c>
      <c r="B34" t="s">
        <v>53</v>
      </c>
      <c r="C34" t="s">
        <v>48</v>
      </c>
      <c r="D34">
        <v>46669</v>
      </c>
      <c r="E34">
        <v>7</v>
      </c>
      <c r="F34">
        <f t="shared" si="0"/>
        <v>2023</v>
      </c>
      <c r="G34">
        <f t="shared" si="1"/>
        <v>9</v>
      </c>
      <c r="H34" t="str">
        <f t="shared" si="2"/>
        <v>2023-9</v>
      </c>
    </row>
    <row r="35" spans="1:8" x14ac:dyDescent="0.25">
      <c r="A35" t="s">
        <v>21</v>
      </c>
      <c r="B35" t="s">
        <v>54</v>
      </c>
      <c r="C35" t="s">
        <v>48</v>
      </c>
      <c r="D35">
        <v>83649</v>
      </c>
      <c r="E35">
        <v>3</v>
      </c>
      <c r="F35">
        <f t="shared" si="0"/>
        <v>2023</v>
      </c>
      <c r="G35">
        <f t="shared" si="1"/>
        <v>9</v>
      </c>
      <c r="H35" t="str">
        <f t="shared" si="2"/>
        <v>2023-9</v>
      </c>
    </row>
    <row r="36" spans="1:8" x14ac:dyDescent="0.25">
      <c r="A36" t="s">
        <v>55</v>
      </c>
      <c r="B36" t="s">
        <v>52</v>
      </c>
      <c r="C36" t="s">
        <v>56</v>
      </c>
      <c r="D36">
        <v>52636</v>
      </c>
      <c r="E36">
        <v>8</v>
      </c>
      <c r="F36">
        <f t="shared" si="0"/>
        <v>2023</v>
      </c>
      <c r="G36">
        <f t="shared" si="1"/>
        <v>9</v>
      </c>
      <c r="H36" t="str">
        <f t="shared" si="2"/>
        <v>2023-9</v>
      </c>
    </row>
    <row r="37" spans="1:8" x14ac:dyDescent="0.25">
      <c r="A37" t="s">
        <v>11</v>
      </c>
      <c r="B37" t="s">
        <v>57</v>
      </c>
      <c r="C37" t="s">
        <v>56</v>
      </c>
      <c r="D37">
        <v>36989</v>
      </c>
      <c r="E37">
        <v>1</v>
      </c>
      <c r="F37">
        <f t="shared" si="0"/>
        <v>2023</v>
      </c>
      <c r="G37">
        <f t="shared" si="1"/>
        <v>9</v>
      </c>
      <c r="H37" t="str">
        <f t="shared" si="2"/>
        <v>2023-9</v>
      </c>
    </row>
    <row r="38" spans="1:8" x14ac:dyDescent="0.25">
      <c r="A38" t="s">
        <v>8</v>
      </c>
      <c r="B38" t="s">
        <v>58</v>
      </c>
      <c r="C38" t="s">
        <v>56</v>
      </c>
      <c r="D38">
        <v>72277</v>
      </c>
      <c r="E38">
        <v>9</v>
      </c>
      <c r="F38">
        <f t="shared" si="0"/>
        <v>2023</v>
      </c>
      <c r="G38">
        <f t="shared" si="1"/>
        <v>9</v>
      </c>
      <c r="H38" t="str">
        <f t="shared" si="2"/>
        <v>2023-9</v>
      </c>
    </row>
    <row r="39" spans="1:8" x14ac:dyDescent="0.25">
      <c r="A39" t="s">
        <v>5</v>
      </c>
      <c r="B39" t="s">
        <v>59</v>
      </c>
      <c r="C39" t="s">
        <v>56</v>
      </c>
      <c r="D39">
        <v>92551</v>
      </c>
      <c r="E39">
        <v>0</v>
      </c>
      <c r="F39">
        <f t="shared" si="0"/>
        <v>2023</v>
      </c>
      <c r="G39">
        <f t="shared" si="1"/>
        <v>9</v>
      </c>
      <c r="H39" t="str">
        <f t="shared" si="2"/>
        <v>2023-9</v>
      </c>
    </row>
    <row r="40" spans="1:8" x14ac:dyDescent="0.25">
      <c r="A40" t="s">
        <v>11</v>
      </c>
      <c r="B40" t="s">
        <v>60</v>
      </c>
      <c r="C40" t="s">
        <v>56</v>
      </c>
      <c r="D40">
        <v>60042</v>
      </c>
      <c r="E40">
        <v>3</v>
      </c>
      <c r="F40">
        <f t="shared" si="0"/>
        <v>2023</v>
      </c>
      <c r="G40">
        <f t="shared" si="1"/>
        <v>9</v>
      </c>
      <c r="H40" t="str">
        <f t="shared" si="2"/>
        <v>2023-9</v>
      </c>
    </row>
    <row r="41" spans="1:8" x14ac:dyDescent="0.25">
      <c r="A41" t="s">
        <v>38</v>
      </c>
      <c r="B41" t="s">
        <v>61</v>
      </c>
      <c r="C41" t="s">
        <v>62</v>
      </c>
      <c r="D41">
        <v>98689</v>
      </c>
      <c r="E41">
        <v>7</v>
      </c>
      <c r="F41">
        <f t="shared" si="0"/>
        <v>2023</v>
      </c>
      <c r="G41">
        <f t="shared" si="1"/>
        <v>9</v>
      </c>
      <c r="H41" t="str">
        <f t="shared" si="2"/>
        <v>2023-9</v>
      </c>
    </row>
    <row r="42" spans="1:8" x14ac:dyDescent="0.25">
      <c r="A42" t="s">
        <v>16</v>
      </c>
      <c r="B42" t="s">
        <v>63</v>
      </c>
      <c r="C42" t="s">
        <v>62</v>
      </c>
      <c r="D42">
        <v>13769</v>
      </c>
      <c r="E42">
        <v>4</v>
      </c>
      <c r="F42">
        <f t="shared" si="0"/>
        <v>2023</v>
      </c>
      <c r="G42">
        <f t="shared" si="1"/>
        <v>9</v>
      </c>
      <c r="H42" t="str">
        <f t="shared" si="2"/>
        <v>2023-9</v>
      </c>
    </row>
    <row r="43" spans="1:8" x14ac:dyDescent="0.25">
      <c r="A43" t="s">
        <v>26</v>
      </c>
      <c r="B43" t="s">
        <v>64</v>
      </c>
      <c r="C43" t="s">
        <v>62</v>
      </c>
      <c r="D43">
        <v>52423</v>
      </c>
      <c r="E43">
        <v>8</v>
      </c>
      <c r="F43">
        <f t="shared" si="0"/>
        <v>2023</v>
      </c>
      <c r="G43">
        <f t="shared" si="1"/>
        <v>9</v>
      </c>
      <c r="H43" t="str">
        <f t="shared" si="2"/>
        <v>2023-9</v>
      </c>
    </row>
    <row r="44" spans="1:8" x14ac:dyDescent="0.25">
      <c r="A44" t="s">
        <v>11</v>
      </c>
      <c r="B44" t="s">
        <v>65</v>
      </c>
      <c r="C44" t="s">
        <v>66</v>
      </c>
      <c r="D44">
        <v>83818</v>
      </c>
      <c r="E44">
        <v>9</v>
      </c>
      <c r="F44">
        <f t="shared" si="0"/>
        <v>2023</v>
      </c>
      <c r="G44">
        <f t="shared" si="1"/>
        <v>9</v>
      </c>
      <c r="H44" t="str">
        <f t="shared" si="2"/>
        <v>2023-9</v>
      </c>
    </row>
    <row r="45" spans="1:8" x14ac:dyDescent="0.25">
      <c r="A45" t="s">
        <v>26</v>
      </c>
      <c r="B45" t="s">
        <v>67</v>
      </c>
      <c r="C45" t="s">
        <v>66</v>
      </c>
      <c r="D45">
        <v>12919</v>
      </c>
      <c r="E45">
        <v>9</v>
      </c>
      <c r="F45">
        <f t="shared" si="0"/>
        <v>2023</v>
      </c>
      <c r="G45">
        <f t="shared" si="1"/>
        <v>9</v>
      </c>
      <c r="H45" t="str">
        <f t="shared" si="2"/>
        <v>2023-9</v>
      </c>
    </row>
    <row r="46" spans="1:8" x14ac:dyDescent="0.25">
      <c r="A46" t="s">
        <v>11</v>
      </c>
      <c r="B46" t="s">
        <v>68</v>
      </c>
      <c r="C46" t="s">
        <v>69</v>
      </c>
      <c r="D46">
        <v>20920</v>
      </c>
      <c r="E46">
        <v>8</v>
      </c>
      <c r="F46">
        <f t="shared" si="0"/>
        <v>2023</v>
      </c>
      <c r="G46">
        <f t="shared" si="1"/>
        <v>9</v>
      </c>
      <c r="H46" t="str">
        <f t="shared" si="2"/>
        <v>2023-9</v>
      </c>
    </row>
    <row r="47" spans="1:8" x14ac:dyDescent="0.25">
      <c r="A47" t="s">
        <v>19</v>
      </c>
      <c r="B47" t="s">
        <v>49</v>
      </c>
      <c r="C47" t="s">
        <v>70</v>
      </c>
      <c r="D47">
        <v>76415</v>
      </c>
      <c r="E47">
        <v>2</v>
      </c>
      <c r="F47">
        <f t="shared" si="0"/>
        <v>2023</v>
      </c>
      <c r="G47">
        <f t="shared" si="1"/>
        <v>9</v>
      </c>
      <c r="H47" t="str">
        <f t="shared" si="2"/>
        <v>2023-9</v>
      </c>
    </row>
    <row r="48" spans="1:8" x14ac:dyDescent="0.25">
      <c r="A48" t="s">
        <v>19</v>
      </c>
      <c r="B48" t="s">
        <v>71</v>
      </c>
      <c r="C48" t="s">
        <v>70</v>
      </c>
      <c r="D48">
        <v>39344</v>
      </c>
      <c r="E48">
        <v>7</v>
      </c>
      <c r="F48">
        <f t="shared" si="0"/>
        <v>2023</v>
      </c>
      <c r="G48">
        <f t="shared" si="1"/>
        <v>9</v>
      </c>
      <c r="H48" t="str">
        <f t="shared" si="2"/>
        <v>2023-9</v>
      </c>
    </row>
    <row r="49" spans="1:8" x14ac:dyDescent="0.25">
      <c r="A49" t="s">
        <v>55</v>
      </c>
      <c r="B49" t="s">
        <v>72</v>
      </c>
      <c r="C49" t="s">
        <v>70</v>
      </c>
      <c r="D49">
        <v>81290</v>
      </c>
      <c r="E49">
        <v>8</v>
      </c>
      <c r="F49">
        <f t="shared" si="0"/>
        <v>2023</v>
      </c>
      <c r="G49">
        <f t="shared" si="1"/>
        <v>9</v>
      </c>
      <c r="H49" t="str">
        <f t="shared" si="2"/>
        <v>2023-9</v>
      </c>
    </row>
    <row r="50" spans="1:8" x14ac:dyDescent="0.25">
      <c r="A50" t="s">
        <v>26</v>
      </c>
      <c r="B50" t="s">
        <v>73</v>
      </c>
      <c r="C50" t="s">
        <v>70</v>
      </c>
      <c r="D50">
        <v>17566</v>
      </c>
      <c r="E50">
        <v>4</v>
      </c>
      <c r="F50">
        <f t="shared" si="0"/>
        <v>2023</v>
      </c>
      <c r="G50">
        <f t="shared" si="1"/>
        <v>9</v>
      </c>
      <c r="H50" t="str">
        <f t="shared" si="2"/>
        <v>2023-9</v>
      </c>
    </row>
    <row r="51" spans="1:8" x14ac:dyDescent="0.25">
      <c r="A51" t="s">
        <v>16</v>
      </c>
      <c r="B51" t="s">
        <v>74</v>
      </c>
      <c r="C51" t="s">
        <v>70</v>
      </c>
      <c r="D51">
        <v>24743</v>
      </c>
      <c r="E51">
        <v>9</v>
      </c>
      <c r="F51">
        <f t="shared" si="0"/>
        <v>2023</v>
      </c>
      <c r="G51">
        <f t="shared" si="1"/>
        <v>9</v>
      </c>
      <c r="H51" t="str">
        <f t="shared" si="2"/>
        <v>2023-9</v>
      </c>
    </row>
    <row r="52" spans="1:8" x14ac:dyDescent="0.25">
      <c r="A52" t="s">
        <v>21</v>
      </c>
      <c r="B52" t="s">
        <v>75</v>
      </c>
      <c r="C52" t="s">
        <v>70</v>
      </c>
      <c r="D52">
        <v>12641</v>
      </c>
      <c r="E52">
        <v>2</v>
      </c>
      <c r="F52">
        <f t="shared" si="0"/>
        <v>2023</v>
      </c>
      <c r="G52">
        <f t="shared" si="1"/>
        <v>9</v>
      </c>
      <c r="H52" t="str">
        <f t="shared" si="2"/>
        <v>2023-9</v>
      </c>
    </row>
    <row r="53" spans="1:8" x14ac:dyDescent="0.25">
      <c r="A53" t="s">
        <v>19</v>
      </c>
      <c r="B53" t="s">
        <v>76</v>
      </c>
      <c r="C53" t="s">
        <v>70</v>
      </c>
      <c r="D53">
        <v>50083</v>
      </c>
      <c r="E53">
        <v>2</v>
      </c>
      <c r="F53">
        <f t="shared" si="0"/>
        <v>2023</v>
      </c>
      <c r="G53">
        <f t="shared" si="1"/>
        <v>9</v>
      </c>
      <c r="H53" t="str">
        <f t="shared" si="2"/>
        <v>2023-9</v>
      </c>
    </row>
    <row r="54" spans="1:8" x14ac:dyDescent="0.25">
      <c r="A54" t="s">
        <v>19</v>
      </c>
      <c r="B54" t="s">
        <v>77</v>
      </c>
      <c r="C54" t="s">
        <v>70</v>
      </c>
      <c r="D54">
        <v>84729</v>
      </c>
      <c r="E54">
        <v>7</v>
      </c>
      <c r="F54">
        <f t="shared" si="0"/>
        <v>2023</v>
      </c>
      <c r="G54">
        <f t="shared" si="1"/>
        <v>9</v>
      </c>
      <c r="H54" t="str">
        <f t="shared" si="2"/>
        <v>2023-9</v>
      </c>
    </row>
    <row r="55" spans="1:8" x14ac:dyDescent="0.25">
      <c r="A55" t="s">
        <v>43</v>
      </c>
      <c r="B55" t="s">
        <v>61</v>
      </c>
      <c r="C55" t="s">
        <v>70</v>
      </c>
      <c r="D55">
        <v>45532</v>
      </c>
      <c r="E55">
        <v>10</v>
      </c>
      <c r="F55">
        <f t="shared" si="0"/>
        <v>2023</v>
      </c>
      <c r="G55">
        <f t="shared" si="1"/>
        <v>9</v>
      </c>
      <c r="H55" t="str">
        <f t="shared" si="2"/>
        <v>2023-9</v>
      </c>
    </row>
    <row r="56" spans="1:8" x14ac:dyDescent="0.25">
      <c r="A56" t="s">
        <v>19</v>
      </c>
      <c r="B56" t="s">
        <v>78</v>
      </c>
      <c r="C56" t="s">
        <v>70</v>
      </c>
      <c r="D56">
        <v>62998</v>
      </c>
      <c r="E56">
        <v>6</v>
      </c>
      <c r="F56">
        <f t="shared" si="0"/>
        <v>2023</v>
      </c>
      <c r="G56">
        <f t="shared" si="1"/>
        <v>9</v>
      </c>
      <c r="H56" t="str">
        <f t="shared" si="2"/>
        <v>2023-9</v>
      </c>
    </row>
    <row r="57" spans="1:8" x14ac:dyDescent="0.25">
      <c r="A57" t="s">
        <v>26</v>
      </c>
      <c r="B57" t="s">
        <v>79</v>
      </c>
      <c r="C57" t="s">
        <v>80</v>
      </c>
      <c r="D57">
        <v>40276</v>
      </c>
      <c r="E57">
        <v>5</v>
      </c>
      <c r="F57">
        <f t="shared" si="0"/>
        <v>2023</v>
      </c>
      <c r="G57">
        <f t="shared" si="1"/>
        <v>9</v>
      </c>
      <c r="H57" t="str">
        <f t="shared" si="2"/>
        <v>2023-9</v>
      </c>
    </row>
    <row r="58" spans="1:8" x14ac:dyDescent="0.25">
      <c r="A58" t="s">
        <v>26</v>
      </c>
      <c r="B58" t="s">
        <v>81</v>
      </c>
      <c r="C58" t="s">
        <v>80</v>
      </c>
      <c r="D58">
        <v>69923</v>
      </c>
      <c r="E58">
        <v>9</v>
      </c>
      <c r="F58">
        <f t="shared" si="0"/>
        <v>2023</v>
      </c>
      <c r="G58">
        <f t="shared" si="1"/>
        <v>9</v>
      </c>
      <c r="H58" t="str">
        <f t="shared" si="2"/>
        <v>2023-9</v>
      </c>
    </row>
    <row r="59" spans="1:8" x14ac:dyDescent="0.25">
      <c r="A59" t="s">
        <v>21</v>
      </c>
      <c r="B59" t="s">
        <v>33</v>
      </c>
      <c r="C59" t="s">
        <v>80</v>
      </c>
      <c r="D59">
        <v>50549</v>
      </c>
      <c r="E59">
        <v>5</v>
      </c>
      <c r="F59">
        <f t="shared" si="0"/>
        <v>2023</v>
      </c>
      <c r="G59">
        <f t="shared" si="1"/>
        <v>9</v>
      </c>
      <c r="H59" t="str">
        <f t="shared" si="2"/>
        <v>2023-9</v>
      </c>
    </row>
    <row r="60" spans="1:8" x14ac:dyDescent="0.25">
      <c r="A60" t="s">
        <v>13</v>
      </c>
      <c r="B60" t="s">
        <v>82</v>
      </c>
      <c r="C60" t="s">
        <v>83</v>
      </c>
      <c r="D60">
        <v>12904</v>
      </c>
      <c r="E60">
        <v>7</v>
      </c>
      <c r="F60">
        <f t="shared" si="0"/>
        <v>2023</v>
      </c>
      <c r="G60">
        <f t="shared" si="1"/>
        <v>9</v>
      </c>
      <c r="H60" t="str">
        <f t="shared" si="2"/>
        <v>2023-9</v>
      </c>
    </row>
    <row r="61" spans="1:8" x14ac:dyDescent="0.25">
      <c r="A61" t="s">
        <v>13</v>
      </c>
      <c r="B61" t="s">
        <v>71</v>
      </c>
      <c r="C61" t="s">
        <v>83</v>
      </c>
      <c r="D61">
        <v>17534</v>
      </c>
      <c r="E61">
        <v>7</v>
      </c>
      <c r="F61">
        <f t="shared" si="0"/>
        <v>2023</v>
      </c>
      <c r="G61">
        <f t="shared" si="1"/>
        <v>9</v>
      </c>
      <c r="H61" t="str">
        <f t="shared" si="2"/>
        <v>2023-9</v>
      </c>
    </row>
    <row r="62" spans="1:8" x14ac:dyDescent="0.25">
      <c r="A62" t="s">
        <v>43</v>
      </c>
      <c r="B62" t="s">
        <v>33</v>
      </c>
      <c r="C62" t="s">
        <v>83</v>
      </c>
      <c r="D62">
        <v>12396</v>
      </c>
      <c r="E62">
        <v>7</v>
      </c>
      <c r="F62">
        <f t="shared" si="0"/>
        <v>2023</v>
      </c>
      <c r="G62">
        <f t="shared" si="1"/>
        <v>9</v>
      </c>
      <c r="H62" t="str">
        <f t="shared" si="2"/>
        <v>2023-9</v>
      </c>
    </row>
    <row r="63" spans="1:8" x14ac:dyDescent="0.25">
      <c r="A63" t="s">
        <v>5</v>
      </c>
      <c r="B63" t="s">
        <v>84</v>
      </c>
      <c r="C63" t="s">
        <v>83</v>
      </c>
      <c r="D63">
        <v>76266</v>
      </c>
      <c r="E63">
        <v>7</v>
      </c>
      <c r="F63">
        <f t="shared" si="0"/>
        <v>2023</v>
      </c>
      <c r="G63">
        <f t="shared" si="1"/>
        <v>9</v>
      </c>
      <c r="H63" t="str">
        <f t="shared" si="2"/>
        <v>2023-9</v>
      </c>
    </row>
    <row r="64" spans="1:8" x14ac:dyDescent="0.25">
      <c r="A64" t="s">
        <v>11</v>
      </c>
      <c r="B64" t="s">
        <v>85</v>
      </c>
      <c r="C64" t="s">
        <v>86</v>
      </c>
      <c r="D64">
        <v>53281</v>
      </c>
      <c r="E64">
        <v>9</v>
      </c>
      <c r="F64">
        <f t="shared" si="0"/>
        <v>2023</v>
      </c>
      <c r="G64">
        <f t="shared" si="1"/>
        <v>9</v>
      </c>
      <c r="H64" t="str">
        <f t="shared" si="2"/>
        <v>2023-9</v>
      </c>
    </row>
    <row r="65" spans="1:8" x14ac:dyDescent="0.25">
      <c r="A65" t="s">
        <v>8</v>
      </c>
      <c r="B65" t="s">
        <v>30</v>
      </c>
      <c r="C65" t="s">
        <v>86</v>
      </c>
      <c r="D65">
        <v>57888</v>
      </c>
      <c r="E65">
        <v>1</v>
      </c>
      <c r="F65">
        <f t="shared" si="0"/>
        <v>2023</v>
      </c>
      <c r="G65">
        <f t="shared" si="1"/>
        <v>9</v>
      </c>
      <c r="H65" t="str">
        <f t="shared" si="2"/>
        <v>2023-9</v>
      </c>
    </row>
    <row r="66" spans="1:8" x14ac:dyDescent="0.25">
      <c r="A66" t="s">
        <v>29</v>
      </c>
      <c r="B66" t="s">
        <v>87</v>
      </c>
      <c r="C66" t="s">
        <v>86</v>
      </c>
      <c r="D66">
        <v>82564</v>
      </c>
      <c r="E66">
        <v>3</v>
      </c>
      <c r="F66">
        <f t="shared" si="0"/>
        <v>2023</v>
      </c>
      <c r="G66">
        <f t="shared" si="1"/>
        <v>9</v>
      </c>
      <c r="H66" t="str">
        <f t="shared" si="2"/>
        <v>2023-9</v>
      </c>
    </row>
    <row r="67" spans="1:8" x14ac:dyDescent="0.25">
      <c r="A67" t="s">
        <v>21</v>
      </c>
      <c r="B67" t="s">
        <v>88</v>
      </c>
      <c r="C67" t="s">
        <v>86</v>
      </c>
      <c r="D67">
        <v>32795</v>
      </c>
      <c r="E67">
        <v>8</v>
      </c>
      <c r="F67">
        <f t="shared" ref="F67:F130" si="3">YEAR(C67)</f>
        <v>2023</v>
      </c>
      <c r="G67">
        <f t="shared" ref="G67:G130" si="4">MONTH(C67)</f>
        <v>9</v>
      </c>
      <c r="H67" t="str">
        <f t="shared" ref="H67:H130" si="5">F67&amp;"-"&amp;G67</f>
        <v>2023-9</v>
      </c>
    </row>
    <row r="68" spans="1:8" x14ac:dyDescent="0.25">
      <c r="A68" t="s">
        <v>16</v>
      </c>
      <c r="B68" t="s">
        <v>89</v>
      </c>
      <c r="C68" t="s">
        <v>90</v>
      </c>
      <c r="D68">
        <v>25942</v>
      </c>
      <c r="E68">
        <v>4</v>
      </c>
      <c r="F68">
        <f t="shared" si="3"/>
        <v>2023</v>
      </c>
      <c r="G68">
        <f t="shared" si="4"/>
        <v>9</v>
      </c>
      <c r="H68" t="str">
        <f t="shared" si="5"/>
        <v>2023-9</v>
      </c>
    </row>
    <row r="69" spans="1:8" x14ac:dyDescent="0.25">
      <c r="A69" t="s">
        <v>13</v>
      </c>
      <c r="B69" t="s">
        <v>91</v>
      </c>
      <c r="C69" t="s">
        <v>90</v>
      </c>
      <c r="D69">
        <v>58105</v>
      </c>
      <c r="E69">
        <v>5</v>
      </c>
      <c r="F69">
        <f t="shared" si="3"/>
        <v>2023</v>
      </c>
      <c r="G69">
        <f t="shared" si="4"/>
        <v>9</v>
      </c>
      <c r="H69" t="str">
        <f t="shared" si="5"/>
        <v>2023-9</v>
      </c>
    </row>
    <row r="70" spans="1:8" x14ac:dyDescent="0.25">
      <c r="A70" t="s">
        <v>16</v>
      </c>
      <c r="B70" t="s">
        <v>92</v>
      </c>
      <c r="C70" t="s">
        <v>90</v>
      </c>
      <c r="D70">
        <v>40851</v>
      </c>
      <c r="E70">
        <v>1</v>
      </c>
      <c r="F70">
        <f t="shared" si="3"/>
        <v>2023</v>
      </c>
      <c r="G70">
        <f t="shared" si="4"/>
        <v>9</v>
      </c>
      <c r="H70" t="str">
        <f t="shared" si="5"/>
        <v>2023-9</v>
      </c>
    </row>
    <row r="71" spans="1:8" x14ac:dyDescent="0.25">
      <c r="A71" t="s">
        <v>43</v>
      </c>
      <c r="B71" t="s">
        <v>93</v>
      </c>
      <c r="C71" t="s">
        <v>90</v>
      </c>
      <c r="D71">
        <v>51478</v>
      </c>
      <c r="E71">
        <v>9</v>
      </c>
      <c r="F71">
        <f t="shared" si="3"/>
        <v>2023</v>
      </c>
      <c r="G71">
        <f t="shared" si="4"/>
        <v>9</v>
      </c>
      <c r="H71" t="str">
        <f t="shared" si="5"/>
        <v>2023-9</v>
      </c>
    </row>
    <row r="72" spans="1:8" x14ac:dyDescent="0.25">
      <c r="A72" t="s">
        <v>8</v>
      </c>
      <c r="B72" t="s">
        <v>94</v>
      </c>
      <c r="C72" t="s">
        <v>95</v>
      </c>
      <c r="D72">
        <v>65190</v>
      </c>
      <c r="E72">
        <v>10</v>
      </c>
      <c r="F72">
        <f t="shared" si="3"/>
        <v>2023</v>
      </c>
      <c r="G72">
        <f t="shared" si="4"/>
        <v>9</v>
      </c>
      <c r="H72" t="str">
        <f t="shared" si="5"/>
        <v>2023-9</v>
      </c>
    </row>
    <row r="73" spans="1:8" x14ac:dyDescent="0.25">
      <c r="A73" t="s">
        <v>8</v>
      </c>
      <c r="B73" t="s">
        <v>96</v>
      </c>
      <c r="C73" t="s">
        <v>95</v>
      </c>
      <c r="D73">
        <v>41211</v>
      </c>
      <c r="E73">
        <v>7</v>
      </c>
      <c r="F73">
        <f t="shared" si="3"/>
        <v>2023</v>
      </c>
      <c r="G73">
        <f t="shared" si="4"/>
        <v>9</v>
      </c>
      <c r="H73" t="str">
        <f t="shared" si="5"/>
        <v>2023-9</v>
      </c>
    </row>
    <row r="74" spans="1:8" x14ac:dyDescent="0.25">
      <c r="A74" t="s">
        <v>11</v>
      </c>
      <c r="B74" t="s">
        <v>44</v>
      </c>
      <c r="C74" t="s">
        <v>95</v>
      </c>
      <c r="D74">
        <v>82990</v>
      </c>
      <c r="E74">
        <v>8</v>
      </c>
      <c r="F74">
        <f t="shared" si="3"/>
        <v>2023</v>
      </c>
      <c r="G74">
        <f t="shared" si="4"/>
        <v>9</v>
      </c>
      <c r="H74" t="str">
        <f t="shared" si="5"/>
        <v>2023-9</v>
      </c>
    </row>
    <row r="75" spans="1:8" x14ac:dyDescent="0.25">
      <c r="A75" t="s">
        <v>13</v>
      </c>
      <c r="B75" t="s">
        <v>97</v>
      </c>
      <c r="C75" t="s">
        <v>95</v>
      </c>
      <c r="D75">
        <v>86833</v>
      </c>
      <c r="E75">
        <v>7</v>
      </c>
      <c r="F75">
        <f t="shared" si="3"/>
        <v>2023</v>
      </c>
      <c r="G75">
        <f t="shared" si="4"/>
        <v>9</v>
      </c>
      <c r="H75" t="str">
        <f t="shared" si="5"/>
        <v>2023-9</v>
      </c>
    </row>
    <row r="76" spans="1:8" x14ac:dyDescent="0.25">
      <c r="A76" t="s">
        <v>43</v>
      </c>
      <c r="B76" t="s">
        <v>98</v>
      </c>
      <c r="C76" t="s">
        <v>95</v>
      </c>
      <c r="D76">
        <v>23376</v>
      </c>
      <c r="E76">
        <v>2</v>
      </c>
      <c r="F76">
        <f t="shared" si="3"/>
        <v>2023</v>
      </c>
      <c r="G76">
        <f t="shared" si="4"/>
        <v>9</v>
      </c>
      <c r="H76" t="str">
        <f t="shared" si="5"/>
        <v>2023-9</v>
      </c>
    </row>
    <row r="77" spans="1:8" x14ac:dyDescent="0.25">
      <c r="A77" t="s">
        <v>5</v>
      </c>
      <c r="B77" t="s">
        <v>59</v>
      </c>
      <c r="C77" t="s">
        <v>99</v>
      </c>
      <c r="D77">
        <v>84125</v>
      </c>
      <c r="E77">
        <v>8</v>
      </c>
      <c r="F77">
        <f t="shared" si="3"/>
        <v>2023</v>
      </c>
      <c r="G77">
        <f t="shared" si="4"/>
        <v>9</v>
      </c>
      <c r="H77" t="str">
        <f t="shared" si="5"/>
        <v>2023-9</v>
      </c>
    </row>
    <row r="78" spans="1:8" x14ac:dyDescent="0.25">
      <c r="A78" t="s">
        <v>55</v>
      </c>
      <c r="B78" t="s">
        <v>100</v>
      </c>
      <c r="C78" t="s">
        <v>101</v>
      </c>
      <c r="D78">
        <v>79288</v>
      </c>
      <c r="E78">
        <v>8</v>
      </c>
      <c r="F78">
        <f t="shared" si="3"/>
        <v>2023</v>
      </c>
      <c r="G78">
        <f t="shared" si="4"/>
        <v>9</v>
      </c>
      <c r="H78" t="str">
        <f t="shared" si="5"/>
        <v>2023-9</v>
      </c>
    </row>
    <row r="79" spans="1:8" x14ac:dyDescent="0.25">
      <c r="A79" t="s">
        <v>5</v>
      </c>
      <c r="B79" t="s">
        <v>102</v>
      </c>
      <c r="C79" t="s">
        <v>103</v>
      </c>
      <c r="D79">
        <v>62243</v>
      </c>
      <c r="E79">
        <v>4</v>
      </c>
      <c r="F79">
        <f t="shared" si="3"/>
        <v>2023</v>
      </c>
      <c r="G79">
        <f t="shared" si="4"/>
        <v>9</v>
      </c>
      <c r="H79" t="str">
        <f t="shared" si="5"/>
        <v>2023-9</v>
      </c>
    </row>
    <row r="80" spans="1:8" x14ac:dyDescent="0.25">
      <c r="A80" t="s">
        <v>38</v>
      </c>
      <c r="B80" t="s">
        <v>104</v>
      </c>
      <c r="C80" t="s">
        <v>103</v>
      </c>
      <c r="D80">
        <v>55242</v>
      </c>
      <c r="E80">
        <v>8</v>
      </c>
      <c r="F80">
        <f t="shared" si="3"/>
        <v>2023</v>
      </c>
      <c r="G80">
        <f t="shared" si="4"/>
        <v>9</v>
      </c>
      <c r="H80" t="str">
        <f t="shared" si="5"/>
        <v>2023-9</v>
      </c>
    </row>
    <row r="81" spans="1:8" x14ac:dyDescent="0.25">
      <c r="A81" t="s">
        <v>13</v>
      </c>
      <c r="B81" t="s">
        <v>105</v>
      </c>
      <c r="C81" t="s">
        <v>103</v>
      </c>
      <c r="D81">
        <v>49740</v>
      </c>
      <c r="E81">
        <v>7</v>
      </c>
      <c r="F81">
        <f t="shared" si="3"/>
        <v>2023</v>
      </c>
      <c r="G81">
        <f t="shared" si="4"/>
        <v>9</v>
      </c>
      <c r="H81" t="str">
        <f t="shared" si="5"/>
        <v>2023-9</v>
      </c>
    </row>
    <row r="82" spans="1:8" x14ac:dyDescent="0.25">
      <c r="A82" t="s">
        <v>29</v>
      </c>
      <c r="B82" t="s">
        <v>106</v>
      </c>
      <c r="C82" t="s">
        <v>103</v>
      </c>
      <c r="D82">
        <v>10413</v>
      </c>
      <c r="E82">
        <v>3</v>
      </c>
      <c r="F82">
        <f t="shared" si="3"/>
        <v>2023</v>
      </c>
      <c r="G82">
        <f t="shared" si="4"/>
        <v>9</v>
      </c>
      <c r="H82" t="str">
        <f t="shared" si="5"/>
        <v>2023-9</v>
      </c>
    </row>
    <row r="83" spans="1:8" x14ac:dyDescent="0.25">
      <c r="A83" t="s">
        <v>16</v>
      </c>
      <c r="B83" t="s">
        <v>107</v>
      </c>
      <c r="C83" t="s">
        <v>103</v>
      </c>
      <c r="D83">
        <v>69216</v>
      </c>
      <c r="E83">
        <v>2</v>
      </c>
      <c r="F83">
        <f t="shared" si="3"/>
        <v>2023</v>
      </c>
      <c r="G83">
        <f t="shared" si="4"/>
        <v>9</v>
      </c>
      <c r="H83" t="str">
        <f t="shared" si="5"/>
        <v>2023-9</v>
      </c>
    </row>
    <row r="84" spans="1:8" x14ac:dyDescent="0.25">
      <c r="A84" t="s">
        <v>55</v>
      </c>
      <c r="B84" t="s">
        <v>58</v>
      </c>
      <c r="C84" t="s">
        <v>108</v>
      </c>
      <c r="D84">
        <v>12296</v>
      </c>
      <c r="E84">
        <v>6</v>
      </c>
      <c r="F84">
        <f t="shared" si="3"/>
        <v>2023</v>
      </c>
      <c r="G84">
        <f t="shared" si="4"/>
        <v>9</v>
      </c>
      <c r="H84" t="str">
        <f t="shared" si="5"/>
        <v>2023-9</v>
      </c>
    </row>
    <row r="85" spans="1:8" x14ac:dyDescent="0.25">
      <c r="A85" t="s">
        <v>11</v>
      </c>
      <c r="B85" t="s">
        <v>49</v>
      </c>
      <c r="C85" t="s">
        <v>108</v>
      </c>
      <c r="D85">
        <v>92277</v>
      </c>
      <c r="E85">
        <v>10</v>
      </c>
      <c r="F85">
        <f t="shared" si="3"/>
        <v>2023</v>
      </c>
      <c r="G85">
        <f t="shared" si="4"/>
        <v>9</v>
      </c>
      <c r="H85" t="str">
        <f t="shared" si="5"/>
        <v>2023-9</v>
      </c>
    </row>
    <row r="86" spans="1:8" x14ac:dyDescent="0.25">
      <c r="A86" t="s">
        <v>21</v>
      </c>
      <c r="B86" t="s">
        <v>109</v>
      </c>
      <c r="C86" t="s">
        <v>108</v>
      </c>
      <c r="D86">
        <v>54417</v>
      </c>
      <c r="E86">
        <v>7</v>
      </c>
      <c r="F86">
        <f t="shared" si="3"/>
        <v>2023</v>
      </c>
      <c r="G86">
        <f t="shared" si="4"/>
        <v>9</v>
      </c>
      <c r="H86" t="str">
        <f t="shared" si="5"/>
        <v>2023-9</v>
      </c>
    </row>
    <row r="87" spans="1:8" x14ac:dyDescent="0.25">
      <c r="A87" t="s">
        <v>19</v>
      </c>
      <c r="B87" t="s">
        <v>53</v>
      </c>
      <c r="C87" t="s">
        <v>110</v>
      </c>
      <c r="D87">
        <v>15040</v>
      </c>
      <c r="E87">
        <v>10</v>
      </c>
      <c r="F87">
        <f t="shared" si="3"/>
        <v>2023</v>
      </c>
      <c r="G87">
        <f t="shared" si="4"/>
        <v>10</v>
      </c>
      <c r="H87" t="str">
        <f t="shared" si="5"/>
        <v>2023-10</v>
      </c>
    </row>
    <row r="88" spans="1:8" x14ac:dyDescent="0.25">
      <c r="A88" t="s">
        <v>11</v>
      </c>
      <c r="B88" t="s">
        <v>111</v>
      </c>
      <c r="C88" t="s">
        <v>110</v>
      </c>
      <c r="D88">
        <v>44609</v>
      </c>
      <c r="E88">
        <v>10</v>
      </c>
      <c r="F88">
        <f t="shared" si="3"/>
        <v>2023</v>
      </c>
      <c r="G88">
        <f t="shared" si="4"/>
        <v>10</v>
      </c>
      <c r="H88" t="str">
        <f t="shared" si="5"/>
        <v>2023-10</v>
      </c>
    </row>
    <row r="89" spans="1:8" x14ac:dyDescent="0.25">
      <c r="A89" t="s">
        <v>38</v>
      </c>
      <c r="B89" t="s">
        <v>20</v>
      </c>
      <c r="C89" t="s">
        <v>110</v>
      </c>
      <c r="D89">
        <v>83960</v>
      </c>
      <c r="E89">
        <v>9</v>
      </c>
      <c r="F89">
        <f t="shared" si="3"/>
        <v>2023</v>
      </c>
      <c r="G89">
        <f t="shared" si="4"/>
        <v>10</v>
      </c>
      <c r="H89" t="str">
        <f t="shared" si="5"/>
        <v>2023-10</v>
      </c>
    </row>
    <row r="90" spans="1:8" x14ac:dyDescent="0.25">
      <c r="A90" t="s">
        <v>21</v>
      </c>
      <c r="B90" t="s">
        <v>112</v>
      </c>
      <c r="C90" t="s">
        <v>110</v>
      </c>
      <c r="D90">
        <v>99866</v>
      </c>
      <c r="E90">
        <v>6</v>
      </c>
      <c r="F90">
        <f t="shared" si="3"/>
        <v>2023</v>
      </c>
      <c r="G90">
        <f t="shared" si="4"/>
        <v>10</v>
      </c>
      <c r="H90" t="str">
        <f t="shared" si="5"/>
        <v>2023-10</v>
      </c>
    </row>
    <row r="91" spans="1:8" x14ac:dyDescent="0.25">
      <c r="A91" t="s">
        <v>13</v>
      </c>
      <c r="B91" t="s">
        <v>113</v>
      </c>
      <c r="C91" t="s">
        <v>110</v>
      </c>
      <c r="D91">
        <v>68538</v>
      </c>
      <c r="E91">
        <v>7</v>
      </c>
      <c r="F91">
        <f t="shared" si="3"/>
        <v>2023</v>
      </c>
      <c r="G91">
        <f t="shared" si="4"/>
        <v>10</v>
      </c>
      <c r="H91" t="str">
        <f t="shared" si="5"/>
        <v>2023-10</v>
      </c>
    </row>
    <row r="92" spans="1:8" x14ac:dyDescent="0.25">
      <c r="A92" t="s">
        <v>55</v>
      </c>
      <c r="B92" t="s">
        <v>114</v>
      </c>
      <c r="C92" t="s">
        <v>110</v>
      </c>
      <c r="D92">
        <v>21953</v>
      </c>
      <c r="E92">
        <v>5</v>
      </c>
      <c r="F92">
        <f t="shared" si="3"/>
        <v>2023</v>
      </c>
      <c r="G92">
        <f t="shared" si="4"/>
        <v>10</v>
      </c>
      <c r="H92" t="str">
        <f t="shared" si="5"/>
        <v>2023-10</v>
      </c>
    </row>
    <row r="93" spans="1:8" x14ac:dyDescent="0.25">
      <c r="A93" t="s">
        <v>55</v>
      </c>
      <c r="B93" t="s">
        <v>115</v>
      </c>
      <c r="C93" t="s">
        <v>110</v>
      </c>
      <c r="D93">
        <v>79761</v>
      </c>
      <c r="E93">
        <v>7</v>
      </c>
      <c r="F93">
        <f t="shared" si="3"/>
        <v>2023</v>
      </c>
      <c r="G93">
        <f t="shared" si="4"/>
        <v>10</v>
      </c>
      <c r="H93" t="str">
        <f t="shared" si="5"/>
        <v>2023-10</v>
      </c>
    </row>
    <row r="94" spans="1:8" x14ac:dyDescent="0.25">
      <c r="A94" t="s">
        <v>21</v>
      </c>
      <c r="B94" t="s">
        <v>116</v>
      </c>
      <c r="C94" t="s">
        <v>117</v>
      </c>
      <c r="D94">
        <v>76873</v>
      </c>
      <c r="E94">
        <v>8</v>
      </c>
      <c r="F94">
        <f t="shared" si="3"/>
        <v>2023</v>
      </c>
      <c r="G94">
        <f t="shared" si="4"/>
        <v>10</v>
      </c>
      <c r="H94" t="str">
        <f t="shared" si="5"/>
        <v>2023-10</v>
      </c>
    </row>
    <row r="95" spans="1:8" x14ac:dyDescent="0.25">
      <c r="A95" t="s">
        <v>43</v>
      </c>
      <c r="B95" t="s">
        <v>118</v>
      </c>
      <c r="C95" t="s">
        <v>117</v>
      </c>
      <c r="D95">
        <v>98225</v>
      </c>
      <c r="E95">
        <v>2</v>
      </c>
      <c r="F95">
        <f t="shared" si="3"/>
        <v>2023</v>
      </c>
      <c r="G95">
        <f t="shared" si="4"/>
        <v>10</v>
      </c>
      <c r="H95" t="str">
        <f t="shared" si="5"/>
        <v>2023-10</v>
      </c>
    </row>
    <row r="96" spans="1:8" x14ac:dyDescent="0.25">
      <c r="A96" t="s">
        <v>5</v>
      </c>
      <c r="B96" t="s">
        <v>119</v>
      </c>
      <c r="C96" t="s">
        <v>120</v>
      </c>
      <c r="D96">
        <v>87885</v>
      </c>
      <c r="E96">
        <v>7</v>
      </c>
      <c r="F96">
        <f t="shared" si="3"/>
        <v>2023</v>
      </c>
      <c r="G96">
        <f t="shared" si="4"/>
        <v>10</v>
      </c>
      <c r="H96" t="str">
        <f t="shared" si="5"/>
        <v>2023-10</v>
      </c>
    </row>
    <row r="97" spans="1:8" x14ac:dyDescent="0.25">
      <c r="A97" t="s">
        <v>19</v>
      </c>
      <c r="B97" t="s">
        <v>121</v>
      </c>
      <c r="C97" t="s">
        <v>120</v>
      </c>
      <c r="D97">
        <v>73925</v>
      </c>
      <c r="E97">
        <v>7</v>
      </c>
      <c r="F97">
        <f t="shared" si="3"/>
        <v>2023</v>
      </c>
      <c r="G97">
        <f t="shared" si="4"/>
        <v>10</v>
      </c>
      <c r="H97" t="str">
        <f t="shared" si="5"/>
        <v>2023-10</v>
      </c>
    </row>
    <row r="98" spans="1:8" x14ac:dyDescent="0.25">
      <c r="A98" t="s">
        <v>11</v>
      </c>
      <c r="B98" t="s">
        <v>72</v>
      </c>
      <c r="C98" t="s">
        <v>122</v>
      </c>
      <c r="D98">
        <v>16819</v>
      </c>
      <c r="E98">
        <v>6</v>
      </c>
      <c r="F98">
        <f t="shared" si="3"/>
        <v>2023</v>
      </c>
      <c r="G98">
        <f t="shared" si="4"/>
        <v>10</v>
      </c>
      <c r="H98" t="str">
        <f t="shared" si="5"/>
        <v>2023-10</v>
      </c>
    </row>
    <row r="99" spans="1:8" x14ac:dyDescent="0.25">
      <c r="A99" t="s">
        <v>16</v>
      </c>
      <c r="B99" t="s">
        <v>118</v>
      </c>
      <c r="C99" t="s">
        <v>122</v>
      </c>
      <c r="D99">
        <v>67357</v>
      </c>
      <c r="E99">
        <v>8</v>
      </c>
      <c r="F99">
        <f t="shared" si="3"/>
        <v>2023</v>
      </c>
      <c r="G99">
        <f t="shared" si="4"/>
        <v>10</v>
      </c>
      <c r="H99" t="str">
        <f t="shared" si="5"/>
        <v>2023-10</v>
      </c>
    </row>
    <row r="100" spans="1:8" x14ac:dyDescent="0.25">
      <c r="A100" t="s">
        <v>11</v>
      </c>
      <c r="B100" t="s">
        <v>123</v>
      </c>
      <c r="C100" t="s">
        <v>124</v>
      </c>
      <c r="D100">
        <v>54932</v>
      </c>
      <c r="E100">
        <v>8</v>
      </c>
      <c r="F100">
        <f t="shared" si="3"/>
        <v>2023</v>
      </c>
      <c r="G100">
        <f t="shared" si="4"/>
        <v>10</v>
      </c>
      <c r="H100" t="str">
        <f t="shared" si="5"/>
        <v>2023-10</v>
      </c>
    </row>
    <row r="101" spans="1:8" x14ac:dyDescent="0.25">
      <c r="A101" t="s">
        <v>21</v>
      </c>
      <c r="B101" t="s">
        <v>125</v>
      </c>
      <c r="C101" t="s">
        <v>124</v>
      </c>
      <c r="D101">
        <v>89018</v>
      </c>
      <c r="E101">
        <v>3</v>
      </c>
      <c r="F101">
        <f t="shared" si="3"/>
        <v>2023</v>
      </c>
      <c r="G101">
        <f t="shared" si="4"/>
        <v>10</v>
      </c>
      <c r="H101" t="str">
        <f t="shared" si="5"/>
        <v>2023-10</v>
      </c>
    </row>
    <row r="102" spans="1:8" x14ac:dyDescent="0.25">
      <c r="A102" t="s">
        <v>8</v>
      </c>
      <c r="B102" t="s">
        <v>33</v>
      </c>
      <c r="C102" t="s">
        <v>124</v>
      </c>
      <c r="D102">
        <v>55568</v>
      </c>
      <c r="E102">
        <v>8</v>
      </c>
      <c r="F102">
        <f t="shared" si="3"/>
        <v>2023</v>
      </c>
      <c r="G102">
        <f t="shared" si="4"/>
        <v>10</v>
      </c>
      <c r="H102" t="str">
        <f t="shared" si="5"/>
        <v>2023-10</v>
      </c>
    </row>
    <row r="103" spans="1:8" x14ac:dyDescent="0.25">
      <c r="A103" t="s">
        <v>26</v>
      </c>
      <c r="B103" t="s">
        <v>126</v>
      </c>
      <c r="C103" t="s">
        <v>124</v>
      </c>
      <c r="D103">
        <v>39167</v>
      </c>
      <c r="E103">
        <v>7</v>
      </c>
      <c r="F103">
        <f t="shared" si="3"/>
        <v>2023</v>
      </c>
      <c r="G103">
        <f t="shared" si="4"/>
        <v>10</v>
      </c>
      <c r="H103" t="str">
        <f t="shared" si="5"/>
        <v>2023-10</v>
      </c>
    </row>
    <row r="104" spans="1:8" x14ac:dyDescent="0.25">
      <c r="A104" t="s">
        <v>38</v>
      </c>
      <c r="B104" t="s">
        <v>115</v>
      </c>
      <c r="C104" t="s">
        <v>124</v>
      </c>
      <c r="D104">
        <v>49275</v>
      </c>
      <c r="E104">
        <v>5</v>
      </c>
      <c r="F104">
        <f t="shared" si="3"/>
        <v>2023</v>
      </c>
      <c r="G104">
        <f t="shared" si="4"/>
        <v>10</v>
      </c>
      <c r="H104" t="str">
        <f t="shared" si="5"/>
        <v>2023-10</v>
      </c>
    </row>
    <row r="105" spans="1:8" x14ac:dyDescent="0.25">
      <c r="A105" t="s">
        <v>11</v>
      </c>
      <c r="B105" t="s">
        <v>119</v>
      </c>
      <c r="C105" t="s">
        <v>124</v>
      </c>
      <c r="D105">
        <v>45465</v>
      </c>
      <c r="E105">
        <v>2</v>
      </c>
      <c r="F105">
        <f t="shared" si="3"/>
        <v>2023</v>
      </c>
      <c r="G105">
        <f t="shared" si="4"/>
        <v>10</v>
      </c>
      <c r="H105" t="str">
        <f t="shared" si="5"/>
        <v>2023-10</v>
      </c>
    </row>
    <row r="106" spans="1:8" x14ac:dyDescent="0.25">
      <c r="A106" t="s">
        <v>21</v>
      </c>
      <c r="B106" t="s">
        <v>127</v>
      </c>
      <c r="C106" t="s">
        <v>128</v>
      </c>
      <c r="D106">
        <v>79509</v>
      </c>
      <c r="E106">
        <v>1</v>
      </c>
      <c r="F106">
        <f t="shared" si="3"/>
        <v>2023</v>
      </c>
      <c r="G106">
        <f t="shared" si="4"/>
        <v>10</v>
      </c>
      <c r="H106" t="str">
        <f t="shared" si="5"/>
        <v>2023-10</v>
      </c>
    </row>
    <row r="107" spans="1:8" x14ac:dyDescent="0.25">
      <c r="A107" t="s">
        <v>11</v>
      </c>
      <c r="B107" t="s">
        <v>129</v>
      </c>
      <c r="C107" t="s">
        <v>128</v>
      </c>
      <c r="D107">
        <v>35986</v>
      </c>
      <c r="E107">
        <v>5</v>
      </c>
      <c r="F107">
        <f t="shared" si="3"/>
        <v>2023</v>
      </c>
      <c r="G107">
        <f t="shared" si="4"/>
        <v>10</v>
      </c>
      <c r="H107" t="str">
        <f t="shared" si="5"/>
        <v>2023-10</v>
      </c>
    </row>
    <row r="108" spans="1:8" x14ac:dyDescent="0.25">
      <c r="A108" t="s">
        <v>8</v>
      </c>
      <c r="B108" t="s">
        <v>130</v>
      </c>
      <c r="C108" t="s">
        <v>128</v>
      </c>
      <c r="D108">
        <v>96551</v>
      </c>
      <c r="E108">
        <v>8</v>
      </c>
      <c r="F108">
        <f t="shared" si="3"/>
        <v>2023</v>
      </c>
      <c r="G108">
        <f t="shared" si="4"/>
        <v>10</v>
      </c>
      <c r="H108" t="str">
        <f t="shared" si="5"/>
        <v>2023-10</v>
      </c>
    </row>
    <row r="109" spans="1:8" x14ac:dyDescent="0.25">
      <c r="A109" t="s">
        <v>43</v>
      </c>
      <c r="B109" t="s">
        <v>131</v>
      </c>
      <c r="C109" t="s">
        <v>128</v>
      </c>
      <c r="D109">
        <v>15687</v>
      </c>
      <c r="E109">
        <v>10</v>
      </c>
      <c r="F109">
        <f t="shared" si="3"/>
        <v>2023</v>
      </c>
      <c r="G109">
        <f t="shared" si="4"/>
        <v>10</v>
      </c>
      <c r="H109" t="str">
        <f t="shared" si="5"/>
        <v>2023-10</v>
      </c>
    </row>
    <row r="110" spans="1:8" x14ac:dyDescent="0.25">
      <c r="A110" t="s">
        <v>38</v>
      </c>
      <c r="B110" t="s">
        <v>33</v>
      </c>
      <c r="C110" t="s">
        <v>128</v>
      </c>
      <c r="D110">
        <v>17727</v>
      </c>
      <c r="E110">
        <v>5</v>
      </c>
      <c r="F110">
        <f t="shared" si="3"/>
        <v>2023</v>
      </c>
      <c r="G110">
        <f t="shared" si="4"/>
        <v>10</v>
      </c>
      <c r="H110" t="str">
        <f t="shared" si="5"/>
        <v>2023-10</v>
      </c>
    </row>
    <row r="111" spans="1:8" x14ac:dyDescent="0.25">
      <c r="A111" t="s">
        <v>13</v>
      </c>
      <c r="B111" t="s">
        <v>37</v>
      </c>
      <c r="C111" t="s">
        <v>132</v>
      </c>
      <c r="D111">
        <v>70055</v>
      </c>
      <c r="E111">
        <v>9</v>
      </c>
      <c r="F111">
        <f t="shared" si="3"/>
        <v>2023</v>
      </c>
      <c r="G111">
        <f t="shared" si="4"/>
        <v>10</v>
      </c>
      <c r="H111" t="str">
        <f t="shared" si="5"/>
        <v>2023-10</v>
      </c>
    </row>
    <row r="112" spans="1:8" x14ac:dyDescent="0.25">
      <c r="A112" t="s">
        <v>43</v>
      </c>
      <c r="B112" t="s">
        <v>126</v>
      </c>
      <c r="C112" t="s">
        <v>132</v>
      </c>
      <c r="D112">
        <v>25336</v>
      </c>
      <c r="E112">
        <v>5</v>
      </c>
      <c r="F112">
        <f t="shared" si="3"/>
        <v>2023</v>
      </c>
      <c r="G112">
        <f t="shared" si="4"/>
        <v>10</v>
      </c>
      <c r="H112" t="str">
        <f t="shared" si="5"/>
        <v>2023-10</v>
      </c>
    </row>
    <row r="113" spans="1:8" x14ac:dyDescent="0.25">
      <c r="A113" t="s">
        <v>26</v>
      </c>
      <c r="B113" t="s">
        <v>111</v>
      </c>
      <c r="C113" t="s">
        <v>132</v>
      </c>
      <c r="D113">
        <v>84476</v>
      </c>
      <c r="E113">
        <v>10</v>
      </c>
      <c r="F113">
        <f t="shared" si="3"/>
        <v>2023</v>
      </c>
      <c r="G113">
        <f t="shared" si="4"/>
        <v>10</v>
      </c>
      <c r="H113" t="str">
        <f t="shared" si="5"/>
        <v>2023-10</v>
      </c>
    </row>
    <row r="114" spans="1:8" x14ac:dyDescent="0.25">
      <c r="A114" t="s">
        <v>5</v>
      </c>
      <c r="B114" t="s">
        <v>118</v>
      </c>
      <c r="C114" t="s">
        <v>133</v>
      </c>
      <c r="D114">
        <v>72638</v>
      </c>
      <c r="E114">
        <v>7</v>
      </c>
      <c r="F114">
        <f t="shared" si="3"/>
        <v>2023</v>
      </c>
      <c r="G114">
        <f t="shared" si="4"/>
        <v>10</v>
      </c>
      <c r="H114" t="str">
        <f t="shared" si="5"/>
        <v>2023-10</v>
      </c>
    </row>
    <row r="115" spans="1:8" x14ac:dyDescent="0.25">
      <c r="A115" t="s">
        <v>43</v>
      </c>
      <c r="B115" t="s">
        <v>134</v>
      </c>
      <c r="C115" t="s">
        <v>133</v>
      </c>
      <c r="D115">
        <v>96754</v>
      </c>
      <c r="E115">
        <v>2</v>
      </c>
      <c r="F115">
        <f t="shared" si="3"/>
        <v>2023</v>
      </c>
      <c r="G115">
        <f t="shared" si="4"/>
        <v>10</v>
      </c>
      <c r="H115" t="str">
        <f t="shared" si="5"/>
        <v>2023-10</v>
      </c>
    </row>
    <row r="116" spans="1:8" x14ac:dyDescent="0.25">
      <c r="A116" t="s">
        <v>55</v>
      </c>
      <c r="B116" t="s">
        <v>135</v>
      </c>
      <c r="C116" t="s">
        <v>133</v>
      </c>
      <c r="D116">
        <v>42649</v>
      </c>
      <c r="E116">
        <v>8</v>
      </c>
      <c r="F116">
        <f t="shared" si="3"/>
        <v>2023</v>
      </c>
      <c r="G116">
        <f t="shared" si="4"/>
        <v>10</v>
      </c>
      <c r="H116" t="str">
        <f t="shared" si="5"/>
        <v>2023-10</v>
      </c>
    </row>
    <row r="117" spans="1:8" x14ac:dyDescent="0.25">
      <c r="A117" t="s">
        <v>11</v>
      </c>
      <c r="B117" t="s">
        <v>136</v>
      </c>
      <c r="C117" t="s">
        <v>137</v>
      </c>
      <c r="D117">
        <v>26245</v>
      </c>
      <c r="E117">
        <v>7</v>
      </c>
      <c r="F117">
        <f t="shared" si="3"/>
        <v>2023</v>
      </c>
      <c r="G117">
        <f t="shared" si="4"/>
        <v>10</v>
      </c>
      <c r="H117" t="str">
        <f t="shared" si="5"/>
        <v>2023-10</v>
      </c>
    </row>
    <row r="118" spans="1:8" x14ac:dyDescent="0.25">
      <c r="A118" t="s">
        <v>21</v>
      </c>
      <c r="B118" t="s">
        <v>138</v>
      </c>
      <c r="C118" t="s">
        <v>137</v>
      </c>
      <c r="D118">
        <v>58245</v>
      </c>
      <c r="E118">
        <v>7</v>
      </c>
      <c r="F118">
        <f t="shared" si="3"/>
        <v>2023</v>
      </c>
      <c r="G118">
        <f t="shared" si="4"/>
        <v>10</v>
      </c>
      <c r="H118" t="str">
        <f t="shared" si="5"/>
        <v>2023-10</v>
      </c>
    </row>
    <row r="119" spans="1:8" x14ac:dyDescent="0.25">
      <c r="A119" t="s">
        <v>43</v>
      </c>
      <c r="B119" t="s">
        <v>139</v>
      </c>
      <c r="C119" t="s">
        <v>137</v>
      </c>
      <c r="D119">
        <v>57594</v>
      </c>
      <c r="E119">
        <v>8</v>
      </c>
      <c r="F119">
        <f t="shared" si="3"/>
        <v>2023</v>
      </c>
      <c r="G119">
        <f t="shared" si="4"/>
        <v>10</v>
      </c>
      <c r="H119" t="str">
        <f t="shared" si="5"/>
        <v>2023-10</v>
      </c>
    </row>
    <row r="120" spans="1:8" x14ac:dyDescent="0.25">
      <c r="A120" t="s">
        <v>43</v>
      </c>
      <c r="B120" t="s">
        <v>32</v>
      </c>
      <c r="C120" t="s">
        <v>137</v>
      </c>
      <c r="D120">
        <v>75379</v>
      </c>
      <c r="E120">
        <v>8</v>
      </c>
      <c r="F120">
        <f t="shared" si="3"/>
        <v>2023</v>
      </c>
      <c r="G120">
        <f t="shared" si="4"/>
        <v>10</v>
      </c>
      <c r="H120" t="str">
        <f t="shared" si="5"/>
        <v>2023-10</v>
      </c>
    </row>
    <row r="121" spans="1:8" x14ac:dyDescent="0.25">
      <c r="A121" t="s">
        <v>38</v>
      </c>
      <c r="B121" t="s">
        <v>125</v>
      </c>
      <c r="C121" t="s">
        <v>140</v>
      </c>
      <c r="D121">
        <v>67241</v>
      </c>
      <c r="E121">
        <v>7</v>
      </c>
      <c r="F121">
        <f t="shared" si="3"/>
        <v>2023</v>
      </c>
      <c r="G121">
        <f t="shared" si="4"/>
        <v>10</v>
      </c>
      <c r="H121" t="str">
        <f t="shared" si="5"/>
        <v>2023-10</v>
      </c>
    </row>
    <row r="122" spans="1:8" x14ac:dyDescent="0.25">
      <c r="A122" t="s">
        <v>55</v>
      </c>
      <c r="B122" t="s">
        <v>59</v>
      </c>
      <c r="C122" t="s">
        <v>140</v>
      </c>
      <c r="D122">
        <v>66629</v>
      </c>
      <c r="E122">
        <v>8</v>
      </c>
      <c r="F122">
        <f t="shared" si="3"/>
        <v>2023</v>
      </c>
      <c r="G122">
        <f t="shared" si="4"/>
        <v>10</v>
      </c>
      <c r="H122" t="str">
        <f t="shared" si="5"/>
        <v>2023-10</v>
      </c>
    </row>
    <row r="123" spans="1:8" x14ac:dyDescent="0.25">
      <c r="A123" t="s">
        <v>26</v>
      </c>
      <c r="B123" t="s">
        <v>141</v>
      </c>
      <c r="C123" t="s">
        <v>142</v>
      </c>
      <c r="D123">
        <v>53271</v>
      </c>
      <c r="E123">
        <v>7</v>
      </c>
      <c r="F123">
        <f t="shared" si="3"/>
        <v>2023</v>
      </c>
      <c r="G123">
        <f t="shared" si="4"/>
        <v>10</v>
      </c>
      <c r="H123" t="str">
        <f t="shared" si="5"/>
        <v>2023-10</v>
      </c>
    </row>
    <row r="124" spans="1:8" x14ac:dyDescent="0.25">
      <c r="A124" t="s">
        <v>29</v>
      </c>
      <c r="B124" t="s">
        <v>143</v>
      </c>
      <c r="C124" t="s">
        <v>142</v>
      </c>
      <c r="D124">
        <v>26291</v>
      </c>
      <c r="E124">
        <v>2</v>
      </c>
      <c r="F124">
        <f t="shared" si="3"/>
        <v>2023</v>
      </c>
      <c r="G124">
        <f t="shared" si="4"/>
        <v>10</v>
      </c>
      <c r="H124" t="str">
        <f t="shared" si="5"/>
        <v>2023-10</v>
      </c>
    </row>
    <row r="125" spans="1:8" x14ac:dyDescent="0.25">
      <c r="A125" t="s">
        <v>38</v>
      </c>
      <c r="B125" t="s">
        <v>144</v>
      </c>
      <c r="C125" t="s">
        <v>142</v>
      </c>
      <c r="D125">
        <v>49349</v>
      </c>
      <c r="E125">
        <v>5</v>
      </c>
      <c r="F125">
        <f t="shared" si="3"/>
        <v>2023</v>
      </c>
      <c r="G125">
        <f t="shared" si="4"/>
        <v>10</v>
      </c>
      <c r="H125" t="str">
        <f t="shared" si="5"/>
        <v>2023-10</v>
      </c>
    </row>
    <row r="126" spans="1:8" x14ac:dyDescent="0.25">
      <c r="A126" t="s">
        <v>19</v>
      </c>
      <c r="B126" t="s">
        <v>18</v>
      </c>
      <c r="C126" t="s">
        <v>142</v>
      </c>
      <c r="D126">
        <v>26952</v>
      </c>
      <c r="E126">
        <v>9</v>
      </c>
      <c r="F126">
        <f t="shared" si="3"/>
        <v>2023</v>
      </c>
      <c r="G126">
        <f t="shared" si="4"/>
        <v>10</v>
      </c>
      <c r="H126" t="str">
        <f t="shared" si="5"/>
        <v>2023-10</v>
      </c>
    </row>
    <row r="127" spans="1:8" x14ac:dyDescent="0.25">
      <c r="A127" t="s">
        <v>55</v>
      </c>
      <c r="B127" t="s">
        <v>74</v>
      </c>
      <c r="C127" t="s">
        <v>142</v>
      </c>
      <c r="D127">
        <v>32992</v>
      </c>
      <c r="E127">
        <v>9</v>
      </c>
      <c r="F127">
        <f t="shared" si="3"/>
        <v>2023</v>
      </c>
      <c r="G127">
        <f t="shared" si="4"/>
        <v>10</v>
      </c>
      <c r="H127" t="str">
        <f t="shared" si="5"/>
        <v>2023-10</v>
      </c>
    </row>
    <row r="128" spans="1:8" x14ac:dyDescent="0.25">
      <c r="A128" t="s">
        <v>19</v>
      </c>
      <c r="B128" t="s">
        <v>145</v>
      </c>
      <c r="C128" t="s">
        <v>142</v>
      </c>
      <c r="D128">
        <v>50994</v>
      </c>
      <c r="E128">
        <v>6</v>
      </c>
      <c r="F128">
        <f t="shared" si="3"/>
        <v>2023</v>
      </c>
      <c r="G128">
        <f t="shared" si="4"/>
        <v>10</v>
      </c>
      <c r="H128" t="str">
        <f t="shared" si="5"/>
        <v>2023-10</v>
      </c>
    </row>
    <row r="129" spans="1:8" x14ac:dyDescent="0.25">
      <c r="A129" t="s">
        <v>13</v>
      </c>
      <c r="B129" t="s">
        <v>146</v>
      </c>
      <c r="C129" t="s">
        <v>147</v>
      </c>
      <c r="D129">
        <v>97607</v>
      </c>
      <c r="E129">
        <v>7</v>
      </c>
      <c r="F129">
        <f t="shared" si="3"/>
        <v>2023</v>
      </c>
      <c r="G129">
        <f t="shared" si="4"/>
        <v>10</v>
      </c>
      <c r="H129" t="str">
        <f t="shared" si="5"/>
        <v>2023-10</v>
      </c>
    </row>
    <row r="130" spans="1:8" x14ac:dyDescent="0.25">
      <c r="A130" t="s">
        <v>16</v>
      </c>
      <c r="B130" t="s">
        <v>148</v>
      </c>
      <c r="C130" t="s">
        <v>147</v>
      </c>
      <c r="D130">
        <v>98228</v>
      </c>
      <c r="E130">
        <v>2</v>
      </c>
      <c r="F130">
        <f t="shared" si="3"/>
        <v>2023</v>
      </c>
      <c r="G130">
        <f t="shared" si="4"/>
        <v>10</v>
      </c>
      <c r="H130" t="str">
        <f t="shared" si="5"/>
        <v>2023-10</v>
      </c>
    </row>
    <row r="131" spans="1:8" x14ac:dyDescent="0.25">
      <c r="A131" t="s">
        <v>13</v>
      </c>
      <c r="B131" t="s">
        <v>149</v>
      </c>
      <c r="C131" t="s">
        <v>147</v>
      </c>
      <c r="D131">
        <v>54979</v>
      </c>
      <c r="E131">
        <v>9</v>
      </c>
      <c r="F131">
        <f t="shared" ref="F131:F194" si="6">YEAR(C131)</f>
        <v>2023</v>
      </c>
      <c r="G131">
        <f t="shared" ref="G131:G194" si="7">MONTH(C131)</f>
        <v>10</v>
      </c>
      <c r="H131" t="str">
        <f t="shared" ref="H131:H194" si="8">F131&amp;"-"&amp;G131</f>
        <v>2023-10</v>
      </c>
    </row>
    <row r="132" spans="1:8" x14ac:dyDescent="0.25">
      <c r="A132" t="s">
        <v>11</v>
      </c>
      <c r="B132" t="s">
        <v>76</v>
      </c>
      <c r="C132" t="s">
        <v>150</v>
      </c>
      <c r="D132">
        <v>59356</v>
      </c>
      <c r="E132">
        <v>6</v>
      </c>
      <c r="F132">
        <f t="shared" si="6"/>
        <v>2023</v>
      </c>
      <c r="G132">
        <f t="shared" si="7"/>
        <v>10</v>
      </c>
      <c r="H132" t="str">
        <f t="shared" si="8"/>
        <v>2023-10</v>
      </c>
    </row>
    <row r="133" spans="1:8" x14ac:dyDescent="0.25">
      <c r="A133" t="s">
        <v>11</v>
      </c>
      <c r="B133" t="s">
        <v>119</v>
      </c>
      <c r="C133" t="s">
        <v>150</v>
      </c>
      <c r="D133">
        <v>76647</v>
      </c>
      <c r="E133">
        <v>10</v>
      </c>
      <c r="F133">
        <f t="shared" si="6"/>
        <v>2023</v>
      </c>
      <c r="G133">
        <f t="shared" si="7"/>
        <v>10</v>
      </c>
      <c r="H133" t="str">
        <f t="shared" si="8"/>
        <v>2023-10</v>
      </c>
    </row>
    <row r="134" spans="1:8" x14ac:dyDescent="0.25">
      <c r="A134" t="s">
        <v>55</v>
      </c>
      <c r="B134" t="s">
        <v>151</v>
      </c>
      <c r="C134" t="s">
        <v>150</v>
      </c>
      <c r="D134">
        <v>50770</v>
      </c>
      <c r="E134">
        <v>5</v>
      </c>
      <c r="F134">
        <f t="shared" si="6"/>
        <v>2023</v>
      </c>
      <c r="G134">
        <f t="shared" si="7"/>
        <v>10</v>
      </c>
      <c r="H134" t="str">
        <f t="shared" si="8"/>
        <v>2023-10</v>
      </c>
    </row>
    <row r="135" spans="1:8" x14ac:dyDescent="0.25">
      <c r="A135" t="s">
        <v>5</v>
      </c>
      <c r="B135" t="s">
        <v>27</v>
      </c>
      <c r="C135" t="s">
        <v>152</v>
      </c>
      <c r="D135">
        <v>52445</v>
      </c>
      <c r="E135">
        <v>7</v>
      </c>
      <c r="F135">
        <f t="shared" si="6"/>
        <v>2023</v>
      </c>
      <c r="G135">
        <f t="shared" si="7"/>
        <v>10</v>
      </c>
      <c r="H135" t="str">
        <f t="shared" si="8"/>
        <v>2023-10</v>
      </c>
    </row>
    <row r="136" spans="1:8" x14ac:dyDescent="0.25">
      <c r="A136" t="s">
        <v>21</v>
      </c>
      <c r="B136" t="s">
        <v>116</v>
      </c>
      <c r="C136" t="s">
        <v>152</v>
      </c>
      <c r="D136">
        <v>71365</v>
      </c>
      <c r="E136">
        <v>7</v>
      </c>
      <c r="F136">
        <f t="shared" si="6"/>
        <v>2023</v>
      </c>
      <c r="G136">
        <f t="shared" si="7"/>
        <v>10</v>
      </c>
      <c r="H136" t="str">
        <f t="shared" si="8"/>
        <v>2023-10</v>
      </c>
    </row>
    <row r="137" spans="1:8" x14ac:dyDescent="0.25">
      <c r="A137" t="s">
        <v>55</v>
      </c>
      <c r="B137" t="s">
        <v>153</v>
      </c>
      <c r="C137" t="s">
        <v>152</v>
      </c>
      <c r="D137">
        <v>48080</v>
      </c>
      <c r="E137">
        <v>7</v>
      </c>
      <c r="F137">
        <f t="shared" si="6"/>
        <v>2023</v>
      </c>
      <c r="G137">
        <f t="shared" si="7"/>
        <v>10</v>
      </c>
      <c r="H137" t="str">
        <f t="shared" si="8"/>
        <v>2023-10</v>
      </c>
    </row>
    <row r="138" spans="1:8" x14ac:dyDescent="0.25">
      <c r="A138" t="s">
        <v>38</v>
      </c>
      <c r="B138" t="s">
        <v>111</v>
      </c>
      <c r="C138" t="s">
        <v>152</v>
      </c>
      <c r="D138">
        <v>50987</v>
      </c>
      <c r="E138">
        <v>7</v>
      </c>
      <c r="F138">
        <f t="shared" si="6"/>
        <v>2023</v>
      </c>
      <c r="G138">
        <f t="shared" si="7"/>
        <v>10</v>
      </c>
      <c r="H138" t="str">
        <f t="shared" si="8"/>
        <v>2023-10</v>
      </c>
    </row>
    <row r="139" spans="1:8" x14ac:dyDescent="0.25">
      <c r="A139" t="s">
        <v>11</v>
      </c>
      <c r="B139" t="s">
        <v>154</v>
      </c>
      <c r="C139" t="s">
        <v>152</v>
      </c>
      <c r="D139">
        <v>90361</v>
      </c>
      <c r="E139">
        <v>2</v>
      </c>
      <c r="F139">
        <f t="shared" si="6"/>
        <v>2023</v>
      </c>
      <c r="G139">
        <f t="shared" si="7"/>
        <v>10</v>
      </c>
      <c r="H139" t="str">
        <f t="shared" si="8"/>
        <v>2023-10</v>
      </c>
    </row>
    <row r="140" spans="1:8" x14ac:dyDescent="0.25">
      <c r="A140" t="s">
        <v>13</v>
      </c>
      <c r="B140" t="s">
        <v>58</v>
      </c>
      <c r="C140" t="s">
        <v>152</v>
      </c>
      <c r="D140">
        <v>83810</v>
      </c>
      <c r="E140">
        <v>4</v>
      </c>
      <c r="F140">
        <f t="shared" si="6"/>
        <v>2023</v>
      </c>
      <c r="G140">
        <f t="shared" si="7"/>
        <v>10</v>
      </c>
      <c r="H140" t="str">
        <f t="shared" si="8"/>
        <v>2023-10</v>
      </c>
    </row>
    <row r="141" spans="1:8" x14ac:dyDescent="0.25">
      <c r="A141" t="s">
        <v>26</v>
      </c>
      <c r="B141" t="s">
        <v>155</v>
      </c>
      <c r="C141" t="s">
        <v>152</v>
      </c>
      <c r="D141">
        <v>23259</v>
      </c>
      <c r="E141">
        <v>7</v>
      </c>
      <c r="F141">
        <f t="shared" si="6"/>
        <v>2023</v>
      </c>
      <c r="G141">
        <f t="shared" si="7"/>
        <v>10</v>
      </c>
      <c r="H141" t="str">
        <f t="shared" si="8"/>
        <v>2023-10</v>
      </c>
    </row>
    <row r="142" spans="1:8" x14ac:dyDescent="0.25">
      <c r="A142" t="s">
        <v>38</v>
      </c>
      <c r="B142" t="s">
        <v>14</v>
      </c>
      <c r="C142" t="s">
        <v>152</v>
      </c>
      <c r="D142">
        <v>36316</v>
      </c>
      <c r="E142">
        <v>9</v>
      </c>
      <c r="F142">
        <f t="shared" si="6"/>
        <v>2023</v>
      </c>
      <c r="G142">
        <f t="shared" si="7"/>
        <v>10</v>
      </c>
      <c r="H142" t="str">
        <f t="shared" si="8"/>
        <v>2023-10</v>
      </c>
    </row>
    <row r="143" spans="1:8" x14ac:dyDescent="0.25">
      <c r="A143" t="s">
        <v>8</v>
      </c>
      <c r="B143" t="s">
        <v>156</v>
      </c>
      <c r="C143" t="s">
        <v>157</v>
      </c>
      <c r="D143">
        <v>52267</v>
      </c>
      <c r="E143">
        <v>3</v>
      </c>
      <c r="F143">
        <f t="shared" si="6"/>
        <v>2023</v>
      </c>
      <c r="G143">
        <f t="shared" si="7"/>
        <v>10</v>
      </c>
      <c r="H143" t="str">
        <f t="shared" si="8"/>
        <v>2023-10</v>
      </c>
    </row>
    <row r="144" spans="1:8" x14ac:dyDescent="0.25">
      <c r="A144" t="s">
        <v>16</v>
      </c>
      <c r="B144" t="s">
        <v>158</v>
      </c>
      <c r="C144" t="s">
        <v>157</v>
      </c>
      <c r="D144">
        <v>78434</v>
      </c>
      <c r="E144">
        <v>3</v>
      </c>
      <c r="F144">
        <f t="shared" si="6"/>
        <v>2023</v>
      </c>
      <c r="G144">
        <f t="shared" si="7"/>
        <v>10</v>
      </c>
      <c r="H144" t="str">
        <f t="shared" si="8"/>
        <v>2023-10</v>
      </c>
    </row>
    <row r="145" spans="1:8" x14ac:dyDescent="0.25">
      <c r="A145" t="s">
        <v>19</v>
      </c>
      <c r="B145" t="s">
        <v>159</v>
      </c>
      <c r="C145" t="s">
        <v>157</v>
      </c>
      <c r="D145">
        <v>22134</v>
      </c>
      <c r="E145">
        <v>7</v>
      </c>
      <c r="F145">
        <f t="shared" si="6"/>
        <v>2023</v>
      </c>
      <c r="G145">
        <f t="shared" si="7"/>
        <v>10</v>
      </c>
      <c r="H145" t="str">
        <f t="shared" si="8"/>
        <v>2023-10</v>
      </c>
    </row>
    <row r="146" spans="1:8" x14ac:dyDescent="0.25">
      <c r="A146" t="s">
        <v>5</v>
      </c>
      <c r="B146" t="s">
        <v>76</v>
      </c>
      <c r="C146" t="s">
        <v>157</v>
      </c>
      <c r="D146">
        <v>17419</v>
      </c>
      <c r="E146">
        <v>8</v>
      </c>
      <c r="F146">
        <f t="shared" si="6"/>
        <v>2023</v>
      </c>
      <c r="G146">
        <f t="shared" si="7"/>
        <v>10</v>
      </c>
      <c r="H146" t="str">
        <f t="shared" si="8"/>
        <v>2023-10</v>
      </c>
    </row>
    <row r="147" spans="1:8" x14ac:dyDescent="0.25">
      <c r="A147" t="s">
        <v>43</v>
      </c>
      <c r="B147" t="s">
        <v>160</v>
      </c>
      <c r="C147" t="s">
        <v>157</v>
      </c>
      <c r="D147">
        <v>92636</v>
      </c>
      <c r="E147">
        <v>8</v>
      </c>
      <c r="F147">
        <f t="shared" si="6"/>
        <v>2023</v>
      </c>
      <c r="G147">
        <f t="shared" si="7"/>
        <v>10</v>
      </c>
      <c r="H147" t="str">
        <f t="shared" si="8"/>
        <v>2023-10</v>
      </c>
    </row>
    <row r="148" spans="1:8" x14ac:dyDescent="0.25">
      <c r="A148" t="s">
        <v>26</v>
      </c>
      <c r="B148" t="s">
        <v>102</v>
      </c>
      <c r="C148" t="s">
        <v>157</v>
      </c>
      <c r="D148">
        <v>41053</v>
      </c>
      <c r="E148">
        <v>5</v>
      </c>
      <c r="F148">
        <f t="shared" si="6"/>
        <v>2023</v>
      </c>
      <c r="G148">
        <f t="shared" si="7"/>
        <v>10</v>
      </c>
      <c r="H148" t="str">
        <f t="shared" si="8"/>
        <v>2023-10</v>
      </c>
    </row>
    <row r="149" spans="1:8" x14ac:dyDescent="0.25">
      <c r="A149" t="s">
        <v>8</v>
      </c>
      <c r="B149" t="s">
        <v>161</v>
      </c>
      <c r="C149" t="s">
        <v>162</v>
      </c>
      <c r="D149">
        <v>17771</v>
      </c>
      <c r="E149">
        <v>4</v>
      </c>
      <c r="F149">
        <f t="shared" si="6"/>
        <v>2023</v>
      </c>
      <c r="G149">
        <f t="shared" si="7"/>
        <v>10</v>
      </c>
      <c r="H149" t="str">
        <f t="shared" si="8"/>
        <v>2023-10</v>
      </c>
    </row>
    <row r="150" spans="1:8" x14ac:dyDescent="0.25">
      <c r="A150" t="s">
        <v>19</v>
      </c>
      <c r="B150" t="s">
        <v>84</v>
      </c>
      <c r="C150" t="s">
        <v>163</v>
      </c>
      <c r="D150">
        <v>12840</v>
      </c>
      <c r="E150">
        <v>10</v>
      </c>
      <c r="F150">
        <f t="shared" si="6"/>
        <v>2023</v>
      </c>
      <c r="G150">
        <f t="shared" si="7"/>
        <v>10</v>
      </c>
      <c r="H150" t="str">
        <f t="shared" si="8"/>
        <v>2023-10</v>
      </c>
    </row>
    <row r="151" spans="1:8" x14ac:dyDescent="0.25">
      <c r="A151" t="s">
        <v>55</v>
      </c>
      <c r="B151" t="s">
        <v>164</v>
      </c>
      <c r="C151" t="s">
        <v>163</v>
      </c>
      <c r="D151">
        <v>91319</v>
      </c>
      <c r="E151">
        <v>10</v>
      </c>
      <c r="F151">
        <f t="shared" si="6"/>
        <v>2023</v>
      </c>
      <c r="G151">
        <f t="shared" si="7"/>
        <v>10</v>
      </c>
      <c r="H151" t="str">
        <f t="shared" si="8"/>
        <v>2023-10</v>
      </c>
    </row>
    <row r="152" spans="1:8" x14ac:dyDescent="0.25">
      <c r="A152" t="s">
        <v>16</v>
      </c>
      <c r="B152" t="s">
        <v>165</v>
      </c>
      <c r="C152" t="s">
        <v>163</v>
      </c>
      <c r="D152">
        <v>42546</v>
      </c>
      <c r="E152">
        <v>10</v>
      </c>
      <c r="F152">
        <f t="shared" si="6"/>
        <v>2023</v>
      </c>
      <c r="G152">
        <f t="shared" si="7"/>
        <v>10</v>
      </c>
      <c r="H152" t="str">
        <f t="shared" si="8"/>
        <v>2023-10</v>
      </c>
    </row>
    <row r="153" spans="1:8" x14ac:dyDescent="0.25">
      <c r="A153" t="s">
        <v>29</v>
      </c>
      <c r="B153" t="s">
        <v>149</v>
      </c>
      <c r="C153" t="s">
        <v>166</v>
      </c>
      <c r="D153">
        <v>33042</v>
      </c>
      <c r="E153">
        <v>8</v>
      </c>
      <c r="F153">
        <f t="shared" si="6"/>
        <v>2023</v>
      </c>
      <c r="G153">
        <f t="shared" si="7"/>
        <v>10</v>
      </c>
      <c r="H153" t="str">
        <f t="shared" si="8"/>
        <v>2023-10</v>
      </c>
    </row>
    <row r="154" spans="1:8" x14ac:dyDescent="0.25">
      <c r="A154" t="s">
        <v>29</v>
      </c>
      <c r="B154" t="s">
        <v>167</v>
      </c>
      <c r="C154" t="s">
        <v>166</v>
      </c>
      <c r="D154">
        <v>47913</v>
      </c>
      <c r="E154">
        <v>9</v>
      </c>
      <c r="F154">
        <f t="shared" si="6"/>
        <v>2023</v>
      </c>
      <c r="G154">
        <f t="shared" si="7"/>
        <v>10</v>
      </c>
      <c r="H154" t="str">
        <f t="shared" si="8"/>
        <v>2023-10</v>
      </c>
    </row>
    <row r="155" spans="1:8" x14ac:dyDescent="0.25">
      <c r="A155" t="s">
        <v>26</v>
      </c>
      <c r="B155" t="s">
        <v>30</v>
      </c>
      <c r="C155" t="s">
        <v>166</v>
      </c>
      <c r="D155">
        <v>32603</v>
      </c>
      <c r="E155">
        <v>8</v>
      </c>
      <c r="F155">
        <f t="shared" si="6"/>
        <v>2023</v>
      </c>
      <c r="G155">
        <f t="shared" si="7"/>
        <v>10</v>
      </c>
      <c r="H155" t="str">
        <f t="shared" si="8"/>
        <v>2023-10</v>
      </c>
    </row>
    <row r="156" spans="1:8" x14ac:dyDescent="0.25">
      <c r="A156" t="s">
        <v>29</v>
      </c>
      <c r="B156" t="s">
        <v>168</v>
      </c>
      <c r="C156" t="s">
        <v>166</v>
      </c>
      <c r="D156">
        <v>68657</v>
      </c>
      <c r="E156">
        <v>6</v>
      </c>
      <c r="F156">
        <f t="shared" si="6"/>
        <v>2023</v>
      </c>
      <c r="G156">
        <f t="shared" si="7"/>
        <v>10</v>
      </c>
      <c r="H156" t="str">
        <f t="shared" si="8"/>
        <v>2023-10</v>
      </c>
    </row>
    <row r="157" spans="1:8" x14ac:dyDescent="0.25">
      <c r="A157" t="s">
        <v>16</v>
      </c>
      <c r="B157" t="s">
        <v>169</v>
      </c>
      <c r="C157" t="s">
        <v>170</v>
      </c>
      <c r="D157">
        <v>66074</v>
      </c>
      <c r="E157">
        <v>5</v>
      </c>
      <c r="F157">
        <f t="shared" si="6"/>
        <v>2023</v>
      </c>
      <c r="G157">
        <f t="shared" si="7"/>
        <v>10</v>
      </c>
      <c r="H157" t="str">
        <f t="shared" si="8"/>
        <v>2023-10</v>
      </c>
    </row>
    <row r="158" spans="1:8" x14ac:dyDescent="0.25">
      <c r="A158" t="s">
        <v>8</v>
      </c>
      <c r="B158" t="s">
        <v>153</v>
      </c>
      <c r="C158" t="s">
        <v>170</v>
      </c>
      <c r="D158">
        <v>72027</v>
      </c>
      <c r="E158">
        <v>5</v>
      </c>
      <c r="F158">
        <f t="shared" si="6"/>
        <v>2023</v>
      </c>
      <c r="G158">
        <f t="shared" si="7"/>
        <v>10</v>
      </c>
      <c r="H158" t="str">
        <f t="shared" si="8"/>
        <v>2023-10</v>
      </c>
    </row>
    <row r="159" spans="1:8" x14ac:dyDescent="0.25">
      <c r="A159" t="s">
        <v>29</v>
      </c>
      <c r="B159" t="s">
        <v>82</v>
      </c>
      <c r="C159" t="s">
        <v>170</v>
      </c>
      <c r="D159">
        <v>19414</v>
      </c>
      <c r="E159">
        <v>4</v>
      </c>
      <c r="F159">
        <f t="shared" si="6"/>
        <v>2023</v>
      </c>
      <c r="G159">
        <f t="shared" si="7"/>
        <v>10</v>
      </c>
      <c r="H159" t="str">
        <f t="shared" si="8"/>
        <v>2023-10</v>
      </c>
    </row>
    <row r="160" spans="1:8" x14ac:dyDescent="0.25">
      <c r="A160" t="s">
        <v>16</v>
      </c>
      <c r="B160" t="s">
        <v>171</v>
      </c>
      <c r="C160" t="s">
        <v>170</v>
      </c>
      <c r="D160">
        <v>17787</v>
      </c>
      <c r="E160">
        <v>5</v>
      </c>
      <c r="F160">
        <f t="shared" si="6"/>
        <v>2023</v>
      </c>
      <c r="G160">
        <f t="shared" si="7"/>
        <v>10</v>
      </c>
      <c r="H160" t="str">
        <f t="shared" si="8"/>
        <v>2023-10</v>
      </c>
    </row>
    <row r="161" spans="1:8" x14ac:dyDescent="0.25">
      <c r="A161" t="s">
        <v>5</v>
      </c>
      <c r="B161" t="s">
        <v>28</v>
      </c>
      <c r="C161" t="s">
        <v>170</v>
      </c>
      <c r="D161">
        <v>49244</v>
      </c>
      <c r="E161">
        <v>6</v>
      </c>
      <c r="F161">
        <f t="shared" si="6"/>
        <v>2023</v>
      </c>
      <c r="G161">
        <f t="shared" si="7"/>
        <v>10</v>
      </c>
      <c r="H161" t="str">
        <f t="shared" si="8"/>
        <v>2023-10</v>
      </c>
    </row>
    <row r="162" spans="1:8" x14ac:dyDescent="0.25">
      <c r="A162" t="s">
        <v>8</v>
      </c>
      <c r="B162" t="s">
        <v>172</v>
      </c>
      <c r="C162" t="s">
        <v>170</v>
      </c>
      <c r="D162">
        <v>64882</v>
      </c>
      <c r="E162">
        <v>9</v>
      </c>
      <c r="F162">
        <f t="shared" si="6"/>
        <v>2023</v>
      </c>
      <c r="G162">
        <f t="shared" si="7"/>
        <v>10</v>
      </c>
      <c r="H162" t="str">
        <f t="shared" si="8"/>
        <v>2023-10</v>
      </c>
    </row>
    <row r="163" spans="1:8" x14ac:dyDescent="0.25">
      <c r="A163" t="s">
        <v>26</v>
      </c>
      <c r="B163" t="s">
        <v>63</v>
      </c>
      <c r="C163" t="s">
        <v>170</v>
      </c>
      <c r="D163">
        <v>46622</v>
      </c>
      <c r="E163">
        <v>6</v>
      </c>
      <c r="F163">
        <f t="shared" si="6"/>
        <v>2023</v>
      </c>
      <c r="G163">
        <f t="shared" si="7"/>
        <v>10</v>
      </c>
      <c r="H163" t="str">
        <f t="shared" si="8"/>
        <v>2023-10</v>
      </c>
    </row>
    <row r="164" spans="1:8" x14ac:dyDescent="0.25">
      <c r="A164" t="s">
        <v>55</v>
      </c>
      <c r="B164" t="s">
        <v>173</v>
      </c>
      <c r="C164" t="s">
        <v>170</v>
      </c>
      <c r="D164">
        <v>32223</v>
      </c>
      <c r="E164">
        <v>3</v>
      </c>
      <c r="F164">
        <f t="shared" si="6"/>
        <v>2023</v>
      </c>
      <c r="G164">
        <f t="shared" si="7"/>
        <v>10</v>
      </c>
      <c r="H164" t="str">
        <f t="shared" si="8"/>
        <v>2023-10</v>
      </c>
    </row>
    <row r="165" spans="1:8" x14ac:dyDescent="0.25">
      <c r="A165" t="s">
        <v>5</v>
      </c>
      <c r="B165" t="s">
        <v>174</v>
      </c>
      <c r="C165" t="s">
        <v>170</v>
      </c>
      <c r="D165">
        <v>88727</v>
      </c>
      <c r="E165">
        <v>8</v>
      </c>
      <c r="F165">
        <f t="shared" si="6"/>
        <v>2023</v>
      </c>
      <c r="G165">
        <f t="shared" si="7"/>
        <v>10</v>
      </c>
      <c r="H165" t="str">
        <f t="shared" si="8"/>
        <v>2023-10</v>
      </c>
    </row>
    <row r="166" spans="1:8" x14ac:dyDescent="0.25">
      <c r="A166" t="s">
        <v>19</v>
      </c>
      <c r="B166" t="s">
        <v>71</v>
      </c>
      <c r="C166" t="s">
        <v>170</v>
      </c>
      <c r="D166">
        <v>19500</v>
      </c>
      <c r="E166">
        <v>6</v>
      </c>
      <c r="F166">
        <f t="shared" si="6"/>
        <v>2023</v>
      </c>
      <c r="G166">
        <f t="shared" si="7"/>
        <v>10</v>
      </c>
      <c r="H166" t="str">
        <f t="shared" si="8"/>
        <v>2023-10</v>
      </c>
    </row>
    <row r="167" spans="1:8" x14ac:dyDescent="0.25">
      <c r="A167" t="s">
        <v>5</v>
      </c>
      <c r="B167" t="s">
        <v>18</v>
      </c>
      <c r="C167" t="s">
        <v>170</v>
      </c>
      <c r="D167">
        <v>25883</v>
      </c>
      <c r="E167">
        <v>5</v>
      </c>
      <c r="F167">
        <f t="shared" si="6"/>
        <v>2023</v>
      </c>
      <c r="G167">
        <f t="shared" si="7"/>
        <v>10</v>
      </c>
      <c r="H167" t="str">
        <f t="shared" si="8"/>
        <v>2023-10</v>
      </c>
    </row>
    <row r="168" spans="1:8" x14ac:dyDescent="0.25">
      <c r="A168" t="s">
        <v>55</v>
      </c>
      <c r="B168" t="s">
        <v>88</v>
      </c>
      <c r="C168" t="s">
        <v>175</v>
      </c>
      <c r="D168">
        <v>37578</v>
      </c>
      <c r="E168">
        <v>8</v>
      </c>
      <c r="F168">
        <f t="shared" si="6"/>
        <v>2023</v>
      </c>
      <c r="G168">
        <f t="shared" si="7"/>
        <v>10</v>
      </c>
      <c r="H168" t="str">
        <f t="shared" si="8"/>
        <v>2023-10</v>
      </c>
    </row>
    <row r="169" spans="1:8" x14ac:dyDescent="0.25">
      <c r="A169" t="s">
        <v>55</v>
      </c>
      <c r="B169" t="s">
        <v>176</v>
      </c>
      <c r="C169" t="s">
        <v>175</v>
      </c>
      <c r="D169">
        <v>93337</v>
      </c>
      <c r="E169">
        <v>1</v>
      </c>
      <c r="F169">
        <f t="shared" si="6"/>
        <v>2023</v>
      </c>
      <c r="G169">
        <f t="shared" si="7"/>
        <v>10</v>
      </c>
      <c r="H169" t="str">
        <f t="shared" si="8"/>
        <v>2023-10</v>
      </c>
    </row>
    <row r="170" spans="1:8" x14ac:dyDescent="0.25">
      <c r="A170" t="s">
        <v>16</v>
      </c>
      <c r="B170" t="s">
        <v>177</v>
      </c>
      <c r="C170" t="s">
        <v>175</v>
      </c>
      <c r="D170">
        <v>98115</v>
      </c>
      <c r="E170">
        <v>8</v>
      </c>
      <c r="F170">
        <f t="shared" si="6"/>
        <v>2023</v>
      </c>
      <c r="G170">
        <f t="shared" si="7"/>
        <v>10</v>
      </c>
      <c r="H170" t="str">
        <f t="shared" si="8"/>
        <v>2023-10</v>
      </c>
    </row>
    <row r="171" spans="1:8" x14ac:dyDescent="0.25">
      <c r="A171" t="s">
        <v>8</v>
      </c>
      <c r="B171" t="s">
        <v>22</v>
      </c>
      <c r="C171" t="s">
        <v>175</v>
      </c>
      <c r="D171">
        <v>55592</v>
      </c>
      <c r="E171">
        <v>2</v>
      </c>
      <c r="F171">
        <f t="shared" si="6"/>
        <v>2023</v>
      </c>
      <c r="G171">
        <f t="shared" si="7"/>
        <v>10</v>
      </c>
      <c r="H171" t="str">
        <f t="shared" si="8"/>
        <v>2023-10</v>
      </c>
    </row>
    <row r="172" spans="1:8" x14ac:dyDescent="0.25">
      <c r="A172" t="s">
        <v>21</v>
      </c>
      <c r="B172" t="s">
        <v>178</v>
      </c>
      <c r="C172" t="s">
        <v>179</v>
      </c>
      <c r="D172">
        <v>48375</v>
      </c>
      <c r="E172">
        <v>8</v>
      </c>
      <c r="F172">
        <f t="shared" si="6"/>
        <v>2023</v>
      </c>
      <c r="G172">
        <f t="shared" si="7"/>
        <v>11</v>
      </c>
      <c r="H172" t="str">
        <f t="shared" si="8"/>
        <v>2023-11</v>
      </c>
    </row>
    <row r="173" spans="1:8" x14ac:dyDescent="0.25">
      <c r="A173" t="s">
        <v>55</v>
      </c>
      <c r="B173" t="s">
        <v>115</v>
      </c>
      <c r="C173" t="s">
        <v>179</v>
      </c>
      <c r="D173">
        <v>52528</v>
      </c>
      <c r="E173">
        <v>7</v>
      </c>
      <c r="F173">
        <f t="shared" si="6"/>
        <v>2023</v>
      </c>
      <c r="G173">
        <f t="shared" si="7"/>
        <v>11</v>
      </c>
      <c r="H173" t="str">
        <f t="shared" si="8"/>
        <v>2023-11</v>
      </c>
    </row>
    <row r="174" spans="1:8" x14ac:dyDescent="0.25">
      <c r="A174" t="s">
        <v>8</v>
      </c>
      <c r="B174" t="s">
        <v>61</v>
      </c>
      <c r="C174" t="s">
        <v>179</v>
      </c>
      <c r="D174">
        <v>97951</v>
      </c>
      <c r="E174">
        <v>3</v>
      </c>
      <c r="F174">
        <f t="shared" si="6"/>
        <v>2023</v>
      </c>
      <c r="G174">
        <f t="shared" si="7"/>
        <v>11</v>
      </c>
      <c r="H174" t="str">
        <f t="shared" si="8"/>
        <v>2023-11</v>
      </c>
    </row>
    <row r="175" spans="1:8" x14ac:dyDescent="0.25">
      <c r="A175" t="s">
        <v>43</v>
      </c>
      <c r="B175" t="s">
        <v>44</v>
      </c>
      <c r="C175" t="s">
        <v>180</v>
      </c>
      <c r="D175">
        <v>54510</v>
      </c>
      <c r="E175">
        <v>10</v>
      </c>
      <c r="F175">
        <f t="shared" si="6"/>
        <v>2023</v>
      </c>
      <c r="G175">
        <f t="shared" si="7"/>
        <v>11</v>
      </c>
      <c r="H175" t="str">
        <f t="shared" si="8"/>
        <v>2023-11</v>
      </c>
    </row>
    <row r="176" spans="1:8" x14ac:dyDescent="0.25">
      <c r="A176" t="s">
        <v>43</v>
      </c>
      <c r="B176" t="s">
        <v>144</v>
      </c>
      <c r="C176" t="s">
        <v>180</v>
      </c>
      <c r="D176">
        <v>10377</v>
      </c>
      <c r="E176">
        <v>7</v>
      </c>
      <c r="F176">
        <f t="shared" si="6"/>
        <v>2023</v>
      </c>
      <c r="G176">
        <f t="shared" si="7"/>
        <v>11</v>
      </c>
      <c r="H176" t="str">
        <f t="shared" si="8"/>
        <v>2023-11</v>
      </c>
    </row>
    <row r="177" spans="1:8" x14ac:dyDescent="0.25">
      <c r="A177" t="s">
        <v>29</v>
      </c>
      <c r="B177" t="s">
        <v>181</v>
      </c>
      <c r="C177" t="s">
        <v>180</v>
      </c>
      <c r="D177">
        <v>34320</v>
      </c>
      <c r="E177">
        <v>9</v>
      </c>
      <c r="F177">
        <f t="shared" si="6"/>
        <v>2023</v>
      </c>
      <c r="G177">
        <f t="shared" si="7"/>
        <v>11</v>
      </c>
      <c r="H177" t="str">
        <f t="shared" si="8"/>
        <v>2023-11</v>
      </c>
    </row>
    <row r="178" spans="1:8" x14ac:dyDescent="0.25">
      <c r="A178" t="s">
        <v>43</v>
      </c>
      <c r="B178" t="s">
        <v>177</v>
      </c>
      <c r="C178" t="s">
        <v>182</v>
      </c>
      <c r="D178">
        <v>72910</v>
      </c>
      <c r="E178">
        <v>1</v>
      </c>
      <c r="F178">
        <f t="shared" si="6"/>
        <v>2023</v>
      </c>
      <c r="G178">
        <f t="shared" si="7"/>
        <v>11</v>
      </c>
      <c r="H178" t="str">
        <f t="shared" si="8"/>
        <v>2023-11</v>
      </c>
    </row>
    <row r="179" spans="1:8" x14ac:dyDescent="0.25">
      <c r="A179" t="s">
        <v>5</v>
      </c>
      <c r="B179" t="s">
        <v>9</v>
      </c>
      <c r="C179" t="s">
        <v>182</v>
      </c>
      <c r="D179">
        <v>71315</v>
      </c>
      <c r="E179">
        <v>3</v>
      </c>
      <c r="F179">
        <f t="shared" si="6"/>
        <v>2023</v>
      </c>
      <c r="G179">
        <f t="shared" si="7"/>
        <v>11</v>
      </c>
      <c r="H179" t="str">
        <f t="shared" si="8"/>
        <v>2023-11</v>
      </c>
    </row>
    <row r="180" spans="1:8" x14ac:dyDescent="0.25">
      <c r="A180" t="s">
        <v>5</v>
      </c>
      <c r="B180" t="s">
        <v>47</v>
      </c>
      <c r="C180" t="s">
        <v>182</v>
      </c>
      <c r="D180">
        <v>76865</v>
      </c>
      <c r="E180">
        <v>10</v>
      </c>
      <c r="F180">
        <f t="shared" si="6"/>
        <v>2023</v>
      </c>
      <c r="G180">
        <f t="shared" si="7"/>
        <v>11</v>
      </c>
      <c r="H180" t="str">
        <f t="shared" si="8"/>
        <v>2023-11</v>
      </c>
    </row>
    <row r="181" spans="1:8" x14ac:dyDescent="0.25">
      <c r="A181" t="s">
        <v>5</v>
      </c>
      <c r="B181" t="s">
        <v>183</v>
      </c>
      <c r="C181" t="s">
        <v>182</v>
      </c>
      <c r="D181">
        <v>67409</v>
      </c>
      <c r="E181">
        <v>8</v>
      </c>
      <c r="F181">
        <f t="shared" si="6"/>
        <v>2023</v>
      </c>
      <c r="G181">
        <f t="shared" si="7"/>
        <v>11</v>
      </c>
      <c r="H181" t="str">
        <f t="shared" si="8"/>
        <v>2023-11</v>
      </c>
    </row>
    <row r="182" spans="1:8" x14ac:dyDescent="0.25">
      <c r="A182" t="s">
        <v>55</v>
      </c>
      <c r="B182" t="s">
        <v>184</v>
      </c>
      <c r="C182" t="s">
        <v>182</v>
      </c>
      <c r="D182">
        <v>61942</v>
      </c>
      <c r="E182">
        <v>9</v>
      </c>
      <c r="F182">
        <f t="shared" si="6"/>
        <v>2023</v>
      </c>
      <c r="G182">
        <f t="shared" si="7"/>
        <v>11</v>
      </c>
      <c r="H182" t="str">
        <f t="shared" si="8"/>
        <v>2023-11</v>
      </c>
    </row>
    <row r="183" spans="1:8" x14ac:dyDescent="0.25">
      <c r="A183" t="s">
        <v>43</v>
      </c>
      <c r="B183" t="s">
        <v>12</v>
      </c>
      <c r="C183" t="s">
        <v>185</v>
      </c>
      <c r="D183">
        <v>80661</v>
      </c>
      <c r="E183">
        <v>6</v>
      </c>
      <c r="F183">
        <f t="shared" si="6"/>
        <v>2023</v>
      </c>
      <c r="G183">
        <f t="shared" si="7"/>
        <v>11</v>
      </c>
      <c r="H183" t="str">
        <f t="shared" si="8"/>
        <v>2023-11</v>
      </c>
    </row>
    <row r="184" spans="1:8" x14ac:dyDescent="0.25">
      <c r="A184" t="s">
        <v>8</v>
      </c>
      <c r="B184" t="s">
        <v>186</v>
      </c>
      <c r="C184" t="s">
        <v>185</v>
      </c>
      <c r="D184">
        <v>40546</v>
      </c>
      <c r="E184">
        <v>7</v>
      </c>
      <c r="F184">
        <f t="shared" si="6"/>
        <v>2023</v>
      </c>
      <c r="G184">
        <f t="shared" si="7"/>
        <v>11</v>
      </c>
      <c r="H184" t="str">
        <f t="shared" si="8"/>
        <v>2023-11</v>
      </c>
    </row>
    <row r="185" spans="1:8" x14ac:dyDescent="0.25">
      <c r="A185" t="s">
        <v>16</v>
      </c>
      <c r="B185" t="s">
        <v>187</v>
      </c>
      <c r="C185" t="s">
        <v>185</v>
      </c>
      <c r="D185">
        <v>50625</v>
      </c>
      <c r="E185">
        <v>7</v>
      </c>
      <c r="F185">
        <f t="shared" si="6"/>
        <v>2023</v>
      </c>
      <c r="G185">
        <f t="shared" si="7"/>
        <v>11</v>
      </c>
      <c r="H185" t="str">
        <f t="shared" si="8"/>
        <v>2023-11</v>
      </c>
    </row>
    <row r="186" spans="1:8" x14ac:dyDescent="0.25">
      <c r="A186" t="s">
        <v>5</v>
      </c>
      <c r="B186" t="s">
        <v>145</v>
      </c>
      <c r="C186" t="s">
        <v>185</v>
      </c>
      <c r="D186">
        <v>94330</v>
      </c>
      <c r="E186">
        <v>6</v>
      </c>
      <c r="F186">
        <f t="shared" si="6"/>
        <v>2023</v>
      </c>
      <c r="G186">
        <f t="shared" si="7"/>
        <v>11</v>
      </c>
      <c r="H186" t="str">
        <f t="shared" si="8"/>
        <v>2023-11</v>
      </c>
    </row>
    <row r="187" spans="1:8" x14ac:dyDescent="0.25">
      <c r="A187" t="s">
        <v>19</v>
      </c>
      <c r="B187" t="s">
        <v>76</v>
      </c>
      <c r="C187" t="s">
        <v>185</v>
      </c>
      <c r="D187">
        <v>69840</v>
      </c>
      <c r="E187">
        <v>8</v>
      </c>
      <c r="F187">
        <f t="shared" si="6"/>
        <v>2023</v>
      </c>
      <c r="G187">
        <f t="shared" si="7"/>
        <v>11</v>
      </c>
      <c r="H187" t="str">
        <f t="shared" si="8"/>
        <v>2023-11</v>
      </c>
    </row>
    <row r="188" spans="1:8" x14ac:dyDescent="0.25">
      <c r="A188" t="s">
        <v>38</v>
      </c>
      <c r="B188" t="s">
        <v>188</v>
      </c>
      <c r="C188" t="s">
        <v>185</v>
      </c>
      <c r="D188">
        <v>34134</v>
      </c>
      <c r="E188">
        <v>8</v>
      </c>
      <c r="F188">
        <f t="shared" si="6"/>
        <v>2023</v>
      </c>
      <c r="G188">
        <f t="shared" si="7"/>
        <v>11</v>
      </c>
      <c r="H188" t="str">
        <f t="shared" si="8"/>
        <v>2023-11</v>
      </c>
    </row>
    <row r="189" spans="1:8" x14ac:dyDescent="0.25">
      <c r="A189" t="s">
        <v>29</v>
      </c>
      <c r="B189" t="s">
        <v>73</v>
      </c>
      <c r="C189" t="s">
        <v>185</v>
      </c>
      <c r="D189">
        <v>76007</v>
      </c>
      <c r="E189">
        <v>8</v>
      </c>
      <c r="F189">
        <f t="shared" si="6"/>
        <v>2023</v>
      </c>
      <c r="G189">
        <f t="shared" si="7"/>
        <v>11</v>
      </c>
      <c r="H189" t="str">
        <f t="shared" si="8"/>
        <v>2023-11</v>
      </c>
    </row>
    <row r="190" spans="1:8" x14ac:dyDescent="0.25">
      <c r="A190" t="s">
        <v>29</v>
      </c>
      <c r="B190" t="s">
        <v>94</v>
      </c>
      <c r="C190" t="s">
        <v>185</v>
      </c>
      <c r="D190">
        <v>54659</v>
      </c>
      <c r="E190">
        <v>3</v>
      </c>
      <c r="F190">
        <f t="shared" si="6"/>
        <v>2023</v>
      </c>
      <c r="G190">
        <f t="shared" si="7"/>
        <v>11</v>
      </c>
      <c r="H190" t="str">
        <f t="shared" si="8"/>
        <v>2023-11</v>
      </c>
    </row>
    <row r="191" spans="1:8" x14ac:dyDescent="0.25">
      <c r="A191" t="s">
        <v>19</v>
      </c>
      <c r="B191" t="s">
        <v>58</v>
      </c>
      <c r="C191" t="s">
        <v>185</v>
      </c>
      <c r="D191">
        <v>55838</v>
      </c>
      <c r="E191">
        <v>6</v>
      </c>
      <c r="F191">
        <f t="shared" si="6"/>
        <v>2023</v>
      </c>
      <c r="G191">
        <f t="shared" si="7"/>
        <v>11</v>
      </c>
      <c r="H191" t="str">
        <f t="shared" si="8"/>
        <v>2023-11</v>
      </c>
    </row>
    <row r="192" spans="1:8" x14ac:dyDescent="0.25">
      <c r="A192" t="s">
        <v>26</v>
      </c>
      <c r="B192" t="s">
        <v>64</v>
      </c>
      <c r="C192" t="s">
        <v>189</v>
      </c>
      <c r="D192">
        <v>67803</v>
      </c>
      <c r="E192">
        <v>7</v>
      </c>
      <c r="F192">
        <f t="shared" si="6"/>
        <v>2023</v>
      </c>
      <c r="G192">
        <f t="shared" si="7"/>
        <v>11</v>
      </c>
      <c r="H192" t="str">
        <f t="shared" si="8"/>
        <v>2023-11</v>
      </c>
    </row>
    <row r="193" spans="1:8" x14ac:dyDescent="0.25">
      <c r="A193" t="s">
        <v>19</v>
      </c>
      <c r="B193" t="s">
        <v>190</v>
      </c>
      <c r="C193" t="s">
        <v>189</v>
      </c>
      <c r="D193">
        <v>42842</v>
      </c>
      <c r="E193">
        <v>10</v>
      </c>
      <c r="F193">
        <f t="shared" si="6"/>
        <v>2023</v>
      </c>
      <c r="G193">
        <f t="shared" si="7"/>
        <v>11</v>
      </c>
      <c r="H193" t="str">
        <f t="shared" si="8"/>
        <v>2023-11</v>
      </c>
    </row>
    <row r="194" spans="1:8" x14ac:dyDescent="0.25">
      <c r="A194" t="s">
        <v>16</v>
      </c>
      <c r="B194" t="s">
        <v>102</v>
      </c>
      <c r="C194" t="s">
        <v>191</v>
      </c>
      <c r="D194">
        <v>54135</v>
      </c>
      <c r="E194">
        <v>8</v>
      </c>
      <c r="F194">
        <f t="shared" si="6"/>
        <v>2023</v>
      </c>
      <c r="G194">
        <f t="shared" si="7"/>
        <v>11</v>
      </c>
      <c r="H194" t="str">
        <f t="shared" si="8"/>
        <v>2023-11</v>
      </c>
    </row>
    <row r="195" spans="1:8" x14ac:dyDescent="0.25">
      <c r="A195" t="s">
        <v>11</v>
      </c>
      <c r="B195" t="s">
        <v>42</v>
      </c>
      <c r="C195" t="s">
        <v>191</v>
      </c>
      <c r="D195">
        <v>72604</v>
      </c>
      <c r="E195">
        <v>5</v>
      </c>
      <c r="F195">
        <f t="shared" ref="F195:F258" si="9">YEAR(C195)</f>
        <v>2023</v>
      </c>
      <c r="G195">
        <f t="shared" ref="G195:G258" si="10">MONTH(C195)</f>
        <v>11</v>
      </c>
      <c r="H195" t="str">
        <f t="shared" ref="H195:H258" si="11">F195&amp;"-"&amp;G195</f>
        <v>2023-11</v>
      </c>
    </row>
    <row r="196" spans="1:8" x14ac:dyDescent="0.25">
      <c r="A196" t="s">
        <v>21</v>
      </c>
      <c r="B196" t="s">
        <v>27</v>
      </c>
      <c r="C196" t="s">
        <v>191</v>
      </c>
      <c r="D196">
        <v>74314</v>
      </c>
      <c r="E196">
        <v>4</v>
      </c>
      <c r="F196">
        <f t="shared" si="9"/>
        <v>2023</v>
      </c>
      <c r="G196">
        <f t="shared" si="10"/>
        <v>11</v>
      </c>
      <c r="H196" t="str">
        <f t="shared" si="11"/>
        <v>2023-11</v>
      </c>
    </row>
    <row r="197" spans="1:8" x14ac:dyDescent="0.25">
      <c r="A197" t="s">
        <v>13</v>
      </c>
      <c r="B197" t="s">
        <v>47</v>
      </c>
      <c r="C197" t="s">
        <v>192</v>
      </c>
      <c r="D197">
        <v>33961</v>
      </c>
      <c r="E197">
        <v>5</v>
      </c>
      <c r="F197">
        <f t="shared" si="9"/>
        <v>2023</v>
      </c>
      <c r="G197">
        <f t="shared" si="10"/>
        <v>11</v>
      </c>
      <c r="H197" t="str">
        <f t="shared" si="11"/>
        <v>2023-11</v>
      </c>
    </row>
    <row r="198" spans="1:8" x14ac:dyDescent="0.25">
      <c r="A198" t="s">
        <v>26</v>
      </c>
      <c r="B198" t="s">
        <v>193</v>
      </c>
      <c r="C198" t="s">
        <v>192</v>
      </c>
      <c r="D198">
        <v>81286</v>
      </c>
      <c r="E198">
        <v>2</v>
      </c>
      <c r="F198">
        <f t="shared" si="9"/>
        <v>2023</v>
      </c>
      <c r="G198">
        <f t="shared" si="10"/>
        <v>11</v>
      </c>
      <c r="H198" t="str">
        <f t="shared" si="11"/>
        <v>2023-11</v>
      </c>
    </row>
    <row r="199" spans="1:8" x14ac:dyDescent="0.25">
      <c r="A199" t="s">
        <v>5</v>
      </c>
      <c r="B199" t="s">
        <v>194</v>
      </c>
      <c r="C199" t="s">
        <v>192</v>
      </c>
      <c r="D199">
        <v>98283</v>
      </c>
      <c r="E199">
        <v>9</v>
      </c>
      <c r="F199">
        <f t="shared" si="9"/>
        <v>2023</v>
      </c>
      <c r="G199">
        <f t="shared" si="10"/>
        <v>11</v>
      </c>
      <c r="H199" t="str">
        <f t="shared" si="11"/>
        <v>2023-11</v>
      </c>
    </row>
    <row r="200" spans="1:8" x14ac:dyDescent="0.25">
      <c r="A200" t="s">
        <v>19</v>
      </c>
      <c r="B200" t="s">
        <v>42</v>
      </c>
      <c r="C200" t="s">
        <v>195</v>
      </c>
      <c r="D200">
        <v>78236</v>
      </c>
      <c r="E200">
        <v>6</v>
      </c>
      <c r="F200">
        <f t="shared" si="9"/>
        <v>2023</v>
      </c>
      <c r="G200">
        <f t="shared" si="10"/>
        <v>11</v>
      </c>
      <c r="H200" t="str">
        <f t="shared" si="11"/>
        <v>2023-11</v>
      </c>
    </row>
    <row r="201" spans="1:8" x14ac:dyDescent="0.25">
      <c r="A201" t="s">
        <v>13</v>
      </c>
      <c r="B201" t="s">
        <v>196</v>
      </c>
      <c r="C201" t="s">
        <v>195</v>
      </c>
      <c r="D201">
        <v>45409</v>
      </c>
      <c r="E201">
        <v>7</v>
      </c>
      <c r="F201">
        <f t="shared" si="9"/>
        <v>2023</v>
      </c>
      <c r="G201">
        <f t="shared" si="10"/>
        <v>11</v>
      </c>
      <c r="H201" t="str">
        <f t="shared" si="11"/>
        <v>2023-11</v>
      </c>
    </row>
    <row r="202" spans="1:8" x14ac:dyDescent="0.25">
      <c r="A202" t="s">
        <v>16</v>
      </c>
      <c r="B202" t="s">
        <v>197</v>
      </c>
      <c r="C202" t="s">
        <v>198</v>
      </c>
      <c r="D202">
        <v>75273</v>
      </c>
      <c r="E202">
        <v>7</v>
      </c>
      <c r="F202">
        <f t="shared" si="9"/>
        <v>2023</v>
      </c>
      <c r="G202">
        <f t="shared" si="10"/>
        <v>11</v>
      </c>
      <c r="H202" t="str">
        <f t="shared" si="11"/>
        <v>2023-11</v>
      </c>
    </row>
    <row r="203" spans="1:8" x14ac:dyDescent="0.25">
      <c r="A203" t="s">
        <v>26</v>
      </c>
      <c r="B203" t="s">
        <v>153</v>
      </c>
      <c r="C203" t="s">
        <v>198</v>
      </c>
      <c r="D203">
        <v>20347</v>
      </c>
      <c r="E203">
        <v>9</v>
      </c>
      <c r="F203">
        <f t="shared" si="9"/>
        <v>2023</v>
      </c>
      <c r="G203">
        <f t="shared" si="10"/>
        <v>11</v>
      </c>
      <c r="H203" t="str">
        <f t="shared" si="11"/>
        <v>2023-11</v>
      </c>
    </row>
    <row r="204" spans="1:8" x14ac:dyDescent="0.25">
      <c r="A204" t="s">
        <v>26</v>
      </c>
      <c r="B204" t="s">
        <v>183</v>
      </c>
      <c r="C204" t="s">
        <v>198</v>
      </c>
      <c r="D204">
        <v>44078</v>
      </c>
      <c r="E204">
        <v>5</v>
      </c>
      <c r="F204">
        <f t="shared" si="9"/>
        <v>2023</v>
      </c>
      <c r="G204">
        <f t="shared" si="10"/>
        <v>11</v>
      </c>
      <c r="H204" t="str">
        <f t="shared" si="11"/>
        <v>2023-11</v>
      </c>
    </row>
    <row r="205" spans="1:8" x14ac:dyDescent="0.25">
      <c r="A205" t="s">
        <v>13</v>
      </c>
      <c r="B205" t="s">
        <v>149</v>
      </c>
      <c r="C205" t="s">
        <v>198</v>
      </c>
      <c r="D205">
        <v>74687</v>
      </c>
      <c r="E205">
        <v>6</v>
      </c>
      <c r="F205">
        <f t="shared" si="9"/>
        <v>2023</v>
      </c>
      <c r="G205">
        <f t="shared" si="10"/>
        <v>11</v>
      </c>
      <c r="H205" t="str">
        <f t="shared" si="11"/>
        <v>2023-11</v>
      </c>
    </row>
    <row r="206" spans="1:8" x14ac:dyDescent="0.25">
      <c r="A206" t="s">
        <v>21</v>
      </c>
      <c r="B206" t="s">
        <v>199</v>
      </c>
      <c r="C206" t="s">
        <v>198</v>
      </c>
      <c r="D206">
        <v>33583</v>
      </c>
      <c r="E206">
        <v>7</v>
      </c>
      <c r="F206">
        <f t="shared" si="9"/>
        <v>2023</v>
      </c>
      <c r="G206">
        <f t="shared" si="10"/>
        <v>11</v>
      </c>
      <c r="H206" t="str">
        <f t="shared" si="11"/>
        <v>2023-11</v>
      </c>
    </row>
    <row r="207" spans="1:8" x14ac:dyDescent="0.25">
      <c r="A207" t="s">
        <v>43</v>
      </c>
      <c r="B207" t="s">
        <v>200</v>
      </c>
      <c r="C207" t="s">
        <v>198</v>
      </c>
      <c r="D207">
        <v>66888</v>
      </c>
      <c r="E207">
        <v>9</v>
      </c>
      <c r="F207">
        <f t="shared" si="9"/>
        <v>2023</v>
      </c>
      <c r="G207">
        <f t="shared" si="10"/>
        <v>11</v>
      </c>
      <c r="H207" t="str">
        <f t="shared" si="11"/>
        <v>2023-11</v>
      </c>
    </row>
    <row r="208" spans="1:8" x14ac:dyDescent="0.25">
      <c r="A208" t="s">
        <v>26</v>
      </c>
      <c r="B208" t="s">
        <v>88</v>
      </c>
      <c r="C208" t="s">
        <v>198</v>
      </c>
      <c r="D208">
        <v>60121</v>
      </c>
      <c r="E208">
        <v>6</v>
      </c>
      <c r="F208">
        <f t="shared" si="9"/>
        <v>2023</v>
      </c>
      <c r="G208">
        <f t="shared" si="10"/>
        <v>11</v>
      </c>
      <c r="H208" t="str">
        <f t="shared" si="11"/>
        <v>2023-11</v>
      </c>
    </row>
    <row r="209" spans="1:8" x14ac:dyDescent="0.25">
      <c r="A209" t="s">
        <v>11</v>
      </c>
      <c r="B209" t="s">
        <v>61</v>
      </c>
      <c r="C209" t="s">
        <v>201</v>
      </c>
      <c r="D209">
        <v>15414</v>
      </c>
      <c r="E209">
        <v>7</v>
      </c>
      <c r="F209">
        <f t="shared" si="9"/>
        <v>2023</v>
      </c>
      <c r="G209">
        <f t="shared" si="10"/>
        <v>11</v>
      </c>
      <c r="H209" t="str">
        <f t="shared" si="11"/>
        <v>2023-11</v>
      </c>
    </row>
    <row r="210" spans="1:8" x14ac:dyDescent="0.25">
      <c r="A210" t="s">
        <v>19</v>
      </c>
      <c r="B210" t="s">
        <v>72</v>
      </c>
      <c r="C210" t="s">
        <v>201</v>
      </c>
      <c r="D210">
        <v>33790</v>
      </c>
      <c r="E210">
        <v>10</v>
      </c>
      <c r="F210">
        <f t="shared" si="9"/>
        <v>2023</v>
      </c>
      <c r="G210">
        <f t="shared" si="10"/>
        <v>11</v>
      </c>
      <c r="H210" t="str">
        <f t="shared" si="11"/>
        <v>2023-11</v>
      </c>
    </row>
    <row r="211" spans="1:8" x14ac:dyDescent="0.25">
      <c r="A211" t="s">
        <v>29</v>
      </c>
      <c r="B211" t="s">
        <v>15</v>
      </c>
      <c r="C211" t="s">
        <v>201</v>
      </c>
      <c r="D211">
        <v>74396</v>
      </c>
      <c r="E211">
        <v>4</v>
      </c>
      <c r="F211">
        <f t="shared" si="9"/>
        <v>2023</v>
      </c>
      <c r="G211">
        <f t="shared" si="10"/>
        <v>11</v>
      </c>
      <c r="H211" t="str">
        <f t="shared" si="11"/>
        <v>2023-11</v>
      </c>
    </row>
    <row r="212" spans="1:8" x14ac:dyDescent="0.25">
      <c r="A212" t="s">
        <v>21</v>
      </c>
      <c r="B212" t="s">
        <v>202</v>
      </c>
      <c r="C212" t="s">
        <v>201</v>
      </c>
      <c r="D212">
        <v>89872</v>
      </c>
      <c r="E212">
        <v>5</v>
      </c>
      <c r="F212">
        <f t="shared" si="9"/>
        <v>2023</v>
      </c>
      <c r="G212">
        <f t="shared" si="10"/>
        <v>11</v>
      </c>
      <c r="H212" t="str">
        <f t="shared" si="11"/>
        <v>2023-11</v>
      </c>
    </row>
    <row r="213" spans="1:8" x14ac:dyDescent="0.25">
      <c r="A213" t="s">
        <v>38</v>
      </c>
      <c r="B213" t="s">
        <v>65</v>
      </c>
      <c r="C213" t="s">
        <v>203</v>
      </c>
      <c r="D213">
        <v>48271</v>
      </c>
      <c r="E213">
        <v>8</v>
      </c>
      <c r="F213">
        <f t="shared" si="9"/>
        <v>2023</v>
      </c>
      <c r="G213">
        <f t="shared" si="10"/>
        <v>11</v>
      </c>
      <c r="H213" t="str">
        <f t="shared" si="11"/>
        <v>2023-11</v>
      </c>
    </row>
    <row r="214" spans="1:8" x14ac:dyDescent="0.25">
      <c r="A214" t="s">
        <v>8</v>
      </c>
      <c r="B214" t="s">
        <v>131</v>
      </c>
      <c r="C214" t="s">
        <v>203</v>
      </c>
      <c r="D214">
        <v>68282</v>
      </c>
      <c r="E214">
        <v>3</v>
      </c>
      <c r="F214">
        <f t="shared" si="9"/>
        <v>2023</v>
      </c>
      <c r="G214">
        <f t="shared" si="10"/>
        <v>11</v>
      </c>
      <c r="H214" t="str">
        <f t="shared" si="11"/>
        <v>2023-11</v>
      </c>
    </row>
    <row r="215" spans="1:8" x14ac:dyDescent="0.25">
      <c r="A215" t="s">
        <v>13</v>
      </c>
      <c r="B215" t="s">
        <v>119</v>
      </c>
      <c r="C215" t="s">
        <v>204</v>
      </c>
      <c r="D215">
        <v>59033</v>
      </c>
      <c r="E215">
        <v>6</v>
      </c>
      <c r="F215">
        <f t="shared" si="9"/>
        <v>2023</v>
      </c>
      <c r="G215">
        <f t="shared" si="10"/>
        <v>11</v>
      </c>
      <c r="H215" t="str">
        <f t="shared" si="11"/>
        <v>2023-11</v>
      </c>
    </row>
    <row r="216" spans="1:8" x14ac:dyDescent="0.25">
      <c r="A216" t="s">
        <v>11</v>
      </c>
      <c r="B216" t="s">
        <v>74</v>
      </c>
      <c r="C216" t="s">
        <v>204</v>
      </c>
      <c r="D216">
        <v>25168</v>
      </c>
      <c r="E216">
        <v>7</v>
      </c>
      <c r="F216">
        <f t="shared" si="9"/>
        <v>2023</v>
      </c>
      <c r="G216">
        <f t="shared" si="10"/>
        <v>11</v>
      </c>
      <c r="H216" t="str">
        <f t="shared" si="11"/>
        <v>2023-11</v>
      </c>
    </row>
    <row r="217" spans="1:8" x14ac:dyDescent="0.25">
      <c r="A217" t="s">
        <v>13</v>
      </c>
      <c r="B217" t="s">
        <v>188</v>
      </c>
      <c r="C217" t="s">
        <v>204</v>
      </c>
      <c r="D217">
        <v>58762</v>
      </c>
      <c r="E217">
        <v>6</v>
      </c>
      <c r="F217">
        <f t="shared" si="9"/>
        <v>2023</v>
      </c>
      <c r="G217">
        <f t="shared" si="10"/>
        <v>11</v>
      </c>
      <c r="H217" t="str">
        <f t="shared" si="11"/>
        <v>2023-11</v>
      </c>
    </row>
    <row r="218" spans="1:8" x14ac:dyDescent="0.25">
      <c r="A218" t="s">
        <v>16</v>
      </c>
      <c r="B218" t="s">
        <v>153</v>
      </c>
      <c r="C218" t="s">
        <v>205</v>
      </c>
      <c r="D218">
        <v>28276</v>
      </c>
      <c r="E218">
        <v>6</v>
      </c>
      <c r="F218">
        <f t="shared" si="9"/>
        <v>2023</v>
      </c>
      <c r="G218">
        <f t="shared" si="10"/>
        <v>11</v>
      </c>
      <c r="H218" t="str">
        <f t="shared" si="11"/>
        <v>2023-11</v>
      </c>
    </row>
    <row r="219" spans="1:8" x14ac:dyDescent="0.25">
      <c r="A219" t="s">
        <v>55</v>
      </c>
      <c r="B219" t="s">
        <v>206</v>
      </c>
      <c r="C219" t="s">
        <v>205</v>
      </c>
      <c r="D219">
        <v>24385</v>
      </c>
      <c r="E219">
        <v>4</v>
      </c>
      <c r="F219">
        <f t="shared" si="9"/>
        <v>2023</v>
      </c>
      <c r="G219">
        <f t="shared" si="10"/>
        <v>11</v>
      </c>
      <c r="H219" t="str">
        <f t="shared" si="11"/>
        <v>2023-11</v>
      </c>
    </row>
    <row r="220" spans="1:8" x14ac:dyDescent="0.25">
      <c r="A220" t="s">
        <v>5</v>
      </c>
      <c r="B220" t="s">
        <v>28</v>
      </c>
      <c r="C220" t="s">
        <v>205</v>
      </c>
      <c r="D220">
        <v>91236</v>
      </c>
      <c r="E220">
        <v>3</v>
      </c>
      <c r="F220">
        <f t="shared" si="9"/>
        <v>2023</v>
      </c>
      <c r="G220">
        <f t="shared" si="10"/>
        <v>11</v>
      </c>
      <c r="H220" t="str">
        <f t="shared" si="11"/>
        <v>2023-11</v>
      </c>
    </row>
    <row r="221" spans="1:8" x14ac:dyDescent="0.25">
      <c r="A221" t="s">
        <v>26</v>
      </c>
      <c r="B221" t="s">
        <v>149</v>
      </c>
      <c r="C221" t="s">
        <v>205</v>
      </c>
      <c r="D221">
        <v>78597</v>
      </c>
      <c r="E221">
        <v>5</v>
      </c>
      <c r="F221">
        <f t="shared" si="9"/>
        <v>2023</v>
      </c>
      <c r="G221">
        <f t="shared" si="10"/>
        <v>11</v>
      </c>
      <c r="H221" t="str">
        <f t="shared" si="11"/>
        <v>2023-11</v>
      </c>
    </row>
    <row r="222" spans="1:8" x14ac:dyDescent="0.25">
      <c r="A222" t="s">
        <v>38</v>
      </c>
      <c r="B222" t="s">
        <v>92</v>
      </c>
      <c r="C222" t="s">
        <v>205</v>
      </c>
      <c r="D222">
        <v>28058</v>
      </c>
      <c r="E222">
        <v>10</v>
      </c>
      <c r="F222">
        <f t="shared" si="9"/>
        <v>2023</v>
      </c>
      <c r="G222">
        <f t="shared" si="10"/>
        <v>11</v>
      </c>
      <c r="H222" t="str">
        <f t="shared" si="11"/>
        <v>2023-11</v>
      </c>
    </row>
    <row r="223" spans="1:8" x14ac:dyDescent="0.25">
      <c r="A223" t="s">
        <v>13</v>
      </c>
      <c r="B223" t="s">
        <v>134</v>
      </c>
      <c r="C223" t="s">
        <v>205</v>
      </c>
      <c r="D223">
        <v>59498</v>
      </c>
      <c r="E223">
        <v>9</v>
      </c>
      <c r="F223">
        <f t="shared" si="9"/>
        <v>2023</v>
      </c>
      <c r="G223">
        <f t="shared" si="10"/>
        <v>11</v>
      </c>
      <c r="H223" t="str">
        <f t="shared" si="11"/>
        <v>2023-11</v>
      </c>
    </row>
    <row r="224" spans="1:8" x14ac:dyDescent="0.25">
      <c r="A224" t="s">
        <v>55</v>
      </c>
      <c r="B224" t="s">
        <v>40</v>
      </c>
      <c r="C224" t="s">
        <v>205</v>
      </c>
      <c r="D224">
        <v>61919</v>
      </c>
      <c r="E224">
        <v>6</v>
      </c>
      <c r="F224">
        <f t="shared" si="9"/>
        <v>2023</v>
      </c>
      <c r="G224">
        <f t="shared" si="10"/>
        <v>11</v>
      </c>
      <c r="H224" t="str">
        <f t="shared" si="11"/>
        <v>2023-11</v>
      </c>
    </row>
    <row r="225" spans="1:8" x14ac:dyDescent="0.25">
      <c r="A225" t="s">
        <v>19</v>
      </c>
      <c r="B225" t="s">
        <v>207</v>
      </c>
      <c r="C225" t="s">
        <v>205</v>
      </c>
      <c r="D225">
        <v>97925</v>
      </c>
      <c r="E225">
        <v>6</v>
      </c>
      <c r="F225">
        <f t="shared" si="9"/>
        <v>2023</v>
      </c>
      <c r="G225">
        <f t="shared" si="10"/>
        <v>11</v>
      </c>
      <c r="H225" t="str">
        <f t="shared" si="11"/>
        <v>2023-11</v>
      </c>
    </row>
    <row r="226" spans="1:8" x14ac:dyDescent="0.25">
      <c r="A226" t="s">
        <v>16</v>
      </c>
      <c r="B226" t="s">
        <v>46</v>
      </c>
      <c r="C226" t="s">
        <v>205</v>
      </c>
      <c r="D226">
        <v>95367</v>
      </c>
      <c r="E226">
        <v>1</v>
      </c>
      <c r="F226">
        <f t="shared" si="9"/>
        <v>2023</v>
      </c>
      <c r="G226">
        <f t="shared" si="10"/>
        <v>11</v>
      </c>
      <c r="H226" t="str">
        <f t="shared" si="11"/>
        <v>2023-11</v>
      </c>
    </row>
    <row r="227" spans="1:8" x14ac:dyDescent="0.25">
      <c r="A227" t="s">
        <v>55</v>
      </c>
      <c r="B227" t="s">
        <v>172</v>
      </c>
      <c r="C227" t="s">
        <v>208</v>
      </c>
      <c r="D227">
        <v>85638</v>
      </c>
      <c r="E227">
        <v>9</v>
      </c>
      <c r="F227">
        <f t="shared" si="9"/>
        <v>2023</v>
      </c>
      <c r="G227">
        <f t="shared" si="10"/>
        <v>11</v>
      </c>
      <c r="H227" t="str">
        <f t="shared" si="11"/>
        <v>2023-11</v>
      </c>
    </row>
    <row r="228" spans="1:8" x14ac:dyDescent="0.25">
      <c r="A228" t="s">
        <v>19</v>
      </c>
      <c r="B228" t="s">
        <v>209</v>
      </c>
      <c r="C228" t="s">
        <v>208</v>
      </c>
      <c r="D228">
        <v>66475</v>
      </c>
      <c r="E228">
        <v>8</v>
      </c>
      <c r="F228">
        <f t="shared" si="9"/>
        <v>2023</v>
      </c>
      <c r="G228">
        <f t="shared" si="10"/>
        <v>11</v>
      </c>
      <c r="H228" t="str">
        <f t="shared" si="11"/>
        <v>2023-11</v>
      </c>
    </row>
    <row r="229" spans="1:8" x14ac:dyDescent="0.25">
      <c r="A229" t="s">
        <v>38</v>
      </c>
      <c r="B229" t="s">
        <v>93</v>
      </c>
      <c r="C229" t="s">
        <v>210</v>
      </c>
      <c r="D229">
        <v>40900</v>
      </c>
      <c r="E229">
        <v>2</v>
      </c>
      <c r="F229">
        <f t="shared" si="9"/>
        <v>2023</v>
      </c>
      <c r="G229">
        <f t="shared" si="10"/>
        <v>11</v>
      </c>
      <c r="H229" t="str">
        <f t="shared" si="11"/>
        <v>2023-11</v>
      </c>
    </row>
    <row r="230" spans="1:8" x14ac:dyDescent="0.25">
      <c r="A230" t="s">
        <v>13</v>
      </c>
      <c r="B230" t="s">
        <v>211</v>
      </c>
      <c r="C230" t="s">
        <v>210</v>
      </c>
      <c r="D230">
        <v>12658</v>
      </c>
      <c r="E230">
        <v>7</v>
      </c>
      <c r="F230">
        <f t="shared" si="9"/>
        <v>2023</v>
      </c>
      <c r="G230">
        <f t="shared" si="10"/>
        <v>11</v>
      </c>
      <c r="H230" t="str">
        <f t="shared" si="11"/>
        <v>2023-11</v>
      </c>
    </row>
    <row r="231" spans="1:8" x14ac:dyDescent="0.25">
      <c r="A231" t="s">
        <v>29</v>
      </c>
      <c r="B231" t="s">
        <v>68</v>
      </c>
      <c r="C231" t="s">
        <v>212</v>
      </c>
      <c r="D231">
        <v>20767</v>
      </c>
      <c r="E231">
        <v>7</v>
      </c>
      <c r="F231">
        <f t="shared" si="9"/>
        <v>2023</v>
      </c>
      <c r="G231">
        <f t="shared" si="10"/>
        <v>11</v>
      </c>
      <c r="H231" t="str">
        <f t="shared" si="11"/>
        <v>2023-11</v>
      </c>
    </row>
    <row r="232" spans="1:8" x14ac:dyDescent="0.25">
      <c r="A232" t="s">
        <v>19</v>
      </c>
      <c r="B232" t="s">
        <v>64</v>
      </c>
      <c r="C232" t="s">
        <v>213</v>
      </c>
      <c r="D232">
        <v>27390</v>
      </c>
      <c r="E232">
        <v>0</v>
      </c>
      <c r="F232">
        <f t="shared" si="9"/>
        <v>2023</v>
      </c>
      <c r="G232">
        <f t="shared" si="10"/>
        <v>11</v>
      </c>
      <c r="H232" t="str">
        <f t="shared" si="11"/>
        <v>2023-11</v>
      </c>
    </row>
    <row r="233" spans="1:8" x14ac:dyDescent="0.25">
      <c r="A233" t="s">
        <v>55</v>
      </c>
      <c r="B233" t="s">
        <v>94</v>
      </c>
      <c r="C233" t="s">
        <v>214</v>
      </c>
      <c r="D233">
        <v>14277</v>
      </c>
      <c r="E233">
        <v>8</v>
      </c>
      <c r="F233">
        <f t="shared" si="9"/>
        <v>2023</v>
      </c>
      <c r="G233">
        <f t="shared" si="10"/>
        <v>11</v>
      </c>
      <c r="H233" t="str">
        <f t="shared" si="11"/>
        <v>2023-11</v>
      </c>
    </row>
    <row r="234" spans="1:8" x14ac:dyDescent="0.25">
      <c r="A234" t="s">
        <v>16</v>
      </c>
      <c r="B234" t="s">
        <v>33</v>
      </c>
      <c r="C234" t="s">
        <v>214</v>
      </c>
      <c r="D234">
        <v>50661</v>
      </c>
      <c r="E234">
        <v>6</v>
      </c>
      <c r="F234">
        <f t="shared" si="9"/>
        <v>2023</v>
      </c>
      <c r="G234">
        <f t="shared" si="10"/>
        <v>11</v>
      </c>
      <c r="H234" t="str">
        <f t="shared" si="11"/>
        <v>2023-11</v>
      </c>
    </row>
    <row r="235" spans="1:8" x14ac:dyDescent="0.25">
      <c r="A235" t="s">
        <v>38</v>
      </c>
      <c r="B235" t="s">
        <v>178</v>
      </c>
      <c r="C235" t="s">
        <v>214</v>
      </c>
      <c r="D235">
        <v>88556</v>
      </c>
      <c r="E235">
        <v>9</v>
      </c>
      <c r="F235">
        <f t="shared" si="9"/>
        <v>2023</v>
      </c>
      <c r="G235">
        <f t="shared" si="10"/>
        <v>11</v>
      </c>
      <c r="H235" t="str">
        <f t="shared" si="11"/>
        <v>2023-11</v>
      </c>
    </row>
    <row r="236" spans="1:8" x14ac:dyDescent="0.25">
      <c r="A236" t="s">
        <v>55</v>
      </c>
      <c r="B236" t="s">
        <v>159</v>
      </c>
      <c r="C236" t="s">
        <v>214</v>
      </c>
      <c r="D236">
        <v>18002</v>
      </c>
      <c r="E236">
        <v>4</v>
      </c>
      <c r="F236">
        <f t="shared" si="9"/>
        <v>2023</v>
      </c>
      <c r="G236">
        <f t="shared" si="10"/>
        <v>11</v>
      </c>
      <c r="H236" t="str">
        <f t="shared" si="11"/>
        <v>2023-11</v>
      </c>
    </row>
    <row r="237" spans="1:8" x14ac:dyDescent="0.25">
      <c r="A237" t="s">
        <v>13</v>
      </c>
      <c r="B237" t="s">
        <v>200</v>
      </c>
      <c r="C237" t="s">
        <v>214</v>
      </c>
      <c r="D237">
        <v>74462</v>
      </c>
      <c r="E237">
        <v>8</v>
      </c>
      <c r="F237">
        <f t="shared" si="9"/>
        <v>2023</v>
      </c>
      <c r="G237">
        <f t="shared" si="10"/>
        <v>11</v>
      </c>
      <c r="H237" t="str">
        <f t="shared" si="11"/>
        <v>2023-11</v>
      </c>
    </row>
    <row r="238" spans="1:8" x14ac:dyDescent="0.25">
      <c r="A238" t="s">
        <v>19</v>
      </c>
      <c r="B238" t="s">
        <v>215</v>
      </c>
      <c r="C238" t="s">
        <v>214</v>
      </c>
      <c r="D238">
        <v>35475</v>
      </c>
      <c r="E238">
        <v>9</v>
      </c>
      <c r="F238">
        <f t="shared" si="9"/>
        <v>2023</v>
      </c>
      <c r="G238">
        <f t="shared" si="10"/>
        <v>11</v>
      </c>
      <c r="H238" t="str">
        <f t="shared" si="11"/>
        <v>2023-11</v>
      </c>
    </row>
    <row r="239" spans="1:8" x14ac:dyDescent="0.25">
      <c r="A239" t="s">
        <v>16</v>
      </c>
      <c r="B239" t="s">
        <v>112</v>
      </c>
      <c r="C239" t="s">
        <v>214</v>
      </c>
      <c r="D239">
        <v>99841</v>
      </c>
      <c r="E239">
        <v>6</v>
      </c>
      <c r="F239">
        <f t="shared" si="9"/>
        <v>2023</v>
      </c>
      <c r="G239">
        <f t="shared" si="10"/>
        <v>11</v>
      </c>
      <c r="H239" t="str">
        <f t="shared" si="11"/>
        <v>2023-11</v>
      </c>
    </row>
    <row r="240" spans="1:8" x14ac:dyDescent="0.25">
      <c r="A240" t="s">
        <v>43</v>
      </c>
      <c r="B240" t="s">
        <v>216</v>
      </c>
      <c r="C240" t="s">
        <v>214</v>
      </c>
      <c r="D240">
        <v>45545</v>
      </c>
      <c r="E240">
        <v>7</v>
      </c>
      <c r="F240">
        <f t="shared" si="9"/>
        <v>2023</v>
      </c>
      <c r="G240">
        <f t="shared" si="10"/>
        <v>11</v>
      </c>
      <c r="H240" t="str">
        <f t="shared" si="11"/>
        <v>2023-11</v>
      </c>
    </row>
    <row r="241" spans="1:8" x14ac:dyDescent="0.25">
      <c r="A241" t="s">
        <v>26</v>
      </c>
      <c r="B241" t="s">
        <v>118</v>
      </c>
      <c r="C241" t="s">
        <v>214</v>
      </c>
      <c r="D241">
        <v>17576</v>
      </c>
      <c r="E241">
        <v>8</v>
      </c>
      <c r="F241">
        <f t="shared" si="9"/>
        <v>2023</v>
      </c>
      <c r="G241">
        <f t="shared" si="10"/>
        <v>11</v>
      </c>
      <c r="H241" t="str">
        <f t="shared" si="11"/>
        <v>2023-11</v>
      </c>
    </row>
    <row r="242" spans="1:8" x14ac:dyDescent="0.25">
      <c r="A242" t="s">
        <v>43</v>
      </c>
      <c r="B242" t="s">
        <v>165</v>
      </c>
      <c r="C242" t="s">
        <v>214</v>
      </c>
      <c r="D242">
        <v>38964</v>
      </c>
      <c r="E242">
        <v>8</v>
      </c>
      <c r="F242">
        <f t="shared" si="9"/>
        <v>2023</v>
      </c>
      <c r="G242">
        <f t="shared" si="10"/>
        <v>11</v>
      </c>
      <c r="H242" t="str">
        <f t="shared" si="11"/>
        <v>2023-11</v>
      </c>
    </row>
    <row r="243" spans="1:8" x14ac:dyDescent="0.25">
      <c r="A243" t="s">
        <v>19</v>
      </c>
      <c r="B243" t="s">
        <v>217</v>
      </c>
      <c r="C243" t="s">
        <v>214</v>
      </c>
      <c r="D243">
        <v>43364</v>
      </c>
      <c r="E243">
        <v>6</v>
      </c>
      <c r="F243">
        <f t="shared" si="9"/>
        <v>2023</v>
      </c>
      <c r="G243">
        <f t="shared" si="10"/>
        <v>11</v>
      </c>
      <c r="H243" t="str">
        <f t="shared" si="11"/>
        <v>2023-11</v>
      </c>
    </row>
    <row r="244" spans="1:8" x14ac:dyDescent="0.25">
      <c r="A244" t="s">
        <v>11</v>
      </c>
      <c r="B244" t="s">
        <v>59</v>
      </c>
      <c r="C244" t="s">
        <v>218</v>
      </c>
      <c r="D244">
        <v>25743</v>
      </c>
      <c r="E244">
        <v>3</v>
      </c>
      <c r="F244">
        <f t="shared" si="9"/>
        <v>2023</v>
      </c>
      <c r="G244">
        <f t="shared" si="10"/>
        <v>11</v>
      </c>
      <c r="H244" t="str">
        <f t="shared" si="11"/>
        <v>2023-11</v>
      </c>
    </row>
    <row r="245" spans="1:8" x14ac:dyDescent="0.25">
      <c r="A245" t="s">
        <v>55</v>
      </c>
      <c r="B245" t="s">
        <v>177</v>
      </c>
      <c r="C245" t="s">
        <v>218</v>
      </c>
      <c r="D245">
        <v>99101</v>
      </c>
      <c r="E245">
        <v>6</v>
      </c>
      <c r="F245">
        <f t="shared" si="9"/>
        <v>2023</v>
      </c>
      <c r="G245">
        <f t="shared" si="10"/>
        <v>11</v>
      </c>
      <c r="H245" t="str">
        <f t="shared" si="11"/>
        <v>2023-11</v>
      </c>
    </row>
    <row r="246" spans="1:8" x14ac:dyDescent="0.25">
      <c r="A246" t="s">
        <v>16</v>
      </c>
      <c r="B246" t="s">
        <v>63</v>
      </c>
      <c r="C246" t="s">
        <v>218</v>
      </c>
      <c r="D246">
        <v>48245</v>
      </c>
      <c r="E246">
        <v>3</v>
      </c>
      <c r="F246">
        <f t="shared" si="9"/>
        <v>2023</v>
      </c>
      <c r="G246">
        <f t="shared" si="10"/>
        <v>11</v>
      </c>
      <c r="H246" t="str">
        <f t="shared" si="11"/>
        <v>2023-11</v>
      </c>
    </row>
    <row r="247" spans="1:8" x14ac:dyDescent="0.25">
      <c r="A247" t="s">
        <v>21</v>
      </c>
      <c r="B247" t="s">
        <v>73</v>
      </c>
      <c r="C247" t="s">
        <v>218</v>
      </c>
      <c r="D247">
        <v>72366</v>
      </c>
      <c r="E247">
        <v>9</v>
      </c>
      <c r="F247">
        <f t="shared" si="9"/>
        <v>2023</v>
      </c>
      <c r="G247">
        <f t="shared" si="10"/>
        <v>11</v>
      </c>
      <c r="H247" t="str">
        <f t="shared" si="11"/>
        <v>2023-11</v>
      </c>
    </row>
    <row r="248" spans="1:8" x14ac:dyDescent="0.25">
      <c r="A248" t="s">
        <v>38</v>
      </c>
      <c r="B248" t="s">
        <v>45</v>
      </c>
      <c r="C248" t="s">
        <v>219</v>
      </c>
      <c r="D248">
        <v>20535</v>
      </c>
      <c r="E248">
        <v>7</v>
      </c>
      <c r="F248">
        <f t="shared" si="9"/>
        <v>2023</v>
      </c>
      <c r="G248">
        <f t="shared" si="10"/>
        <v>11</v>
      </c>
      <c r="H248" t="str">
        <f t="shared" si="11"/>
        <v>2023-11</v>
      </c>
    </row>
    <row r="249" spans="1:8" x14ac:dyDescent="0.25">
      <c r="A249" t="s">
        <v>29</v>
      </c>
      <c r="B249" t="s">
        <v>183</v>
      </c>
      <c r="C249" t="s">
        <v>219</v>
      </c>
      <c r="D249">
        <v>50780</v>
      </c>
      <c r="E249">
        <v>4</v>
      </c>
      <c r="F249">
        <f t="shared" si="9"/>
        <v>2023</v>
      </c>
      <c r="G249">
        <f t="shared" si="10"/>
        <v>11</v>
      </c>
      <c r="H249" t="str">
        <f t="shared" si="11"/>
        <v>2023-11</v>
      </c>
    </row>
    <row r="250" spans="1:8" x14ac:dyDescent="0.25">
      <c r="A250" t="s">
        <v>13</v>
      </c>
      <c r="B250" t="s">
        <v>220</v>
      </c>
      <c r="C250" t="s">
        <v>219</v>
      </c>
      <c r="D250">
        <v>20525</v>
      </c>
      <c r="E250">
        <v>5</v>
      </c>
      <c r="F250">
        <f t="shared" si="9"/>
        <v>2023</v>
      </c>
      <c r="G250">
        <f t="shared" si="10"/>
        <v>11</v>
      </c>
      <c r="H250" t="str">
        <f t="shared" si="11"/>
        <v>2023-11</v>
      </c>
    </row>
    <row r="251" spans="1:8" x14ac:dyDescent="0.25">
      <c r="A251" t="s">
        <v>5</v>
      </c>
      <c r="B251" t="s">
        <v>221</v>
      </c>
      <c r="C251" t="s">
        <v>219</v>
      </c>
      <c r="D251">
        <v>44647</v>
      </c>
      <c r="E251">
        <v>8</v>
      </c>
      <c r="F251">
        <f t="shared" si="9"/>
        <v>2023</v>
      </c>
      <c r="G251">
        <f t="shared" si="10"/>
        <v>11</v>
      </c>
      <c r="H251" t="str">
        <f t="shared" si="11"/>
        <v>2023-11</v>
      </c>
    </row>
    <row r="252" spans="1:8" x14ac:dyDescent="0.25">
      <c r="A252" t="s">
        <v>43</v>
      </c>
      <c r="B252" t="s">
        <v>25</v>
      </c>
      <c r="C252" t="s">
        <v>222</v>
      </c>
      <c r="D252">
        <v>85644</v>
      </c>
      <c r="E252">
        <v>7</v>
      </c>
      <c r="F252">
        <f t="shared" si="9"/>
        <v>2023</v>
      </c>
      <c r="G252">
        <f t="shared" si="10"/>
        <v>12</v>
      </c>
      <c r="H252" t="str">
        <f t="shared" si="11"/>
        <v>2023-12</v>
      </c>
    </row>
    <row r="253" spans="1:8" x14ac:dyDescent="0.25">
      <c r="A253" t="s">
        <v>29</v>
      </c>
      <c r="B253" t="s">
        <v>42</v>
      </c>
      <c r="C253" t="s">
        <v>222</v>
      </c>
      <c r="D253">
        <v>99805</v>
      </c>
      <c r="E253">
        <v>7</v>
      </c>
      <c r="F253">
        <f t="shared" si="9"/>
        <v>2023</v>
      </c>
      <c r="G253">
        <f t="shared" si="10"/>
        <v>12</v>
      </c>
      <c r="H253" t="str">
        <f t="shared" si="11"/>
        <v>2023-12</v>
      </c>
    </row>
    <row r="254" spans="1:8" x14ac:dyDescent="0.25">
      <c r="A254" t="s">
        <v>19</v>
      </c>
      <c r="B254" t="s">
        <v>25</v>
      </c>
      <c r="C254" t="s">
        <v>222</v>
      </c>
      <c r="D254">
        <v>48738</v>
      </c>
      <c r="E254">
        <v>6</v>
      </c>
      <c r="F254">
        <f t="shared" si="9"/>
        <v>2023</v>
      </c>
      <c r="G254">
        <f t="shared" si="10"/>
        <v>12</v>
      </c>
      <c r="H254" t="str">
        <f t="shared" si="11"/>
        <v>2023-12</v>
      </c>
    </row>
    <row r="255" spans="1:8" x14ac:dyDescent="0.25">
      <c r="A255" t="s">
        <v>26</v>
      </c>
      <c r="B255" t="s">
        <v>93</v>
      </c>
      <c r="C255" t="s">
        <v>223</v>
      </c>
      <c r="D255">
        <v>61048</v>
      </c>
      <c r="E255">
        <v>8</v>
      </c>
      <c r="F255">
        <f t="shared" si="9"/>
        <v>2023</v>
      </c>
      <c r="G255">
        <f t="shared" si="10"/>
        <v>12</v>
      </c>
      <c r="H255" t="str">
        <f t="shared" si="11"/>
        <v>2023-12</v>
      </c>
    </row>
    <row r="256" spans="1:8" x14ac:dyDescent="0.25">
      <c r="A256" t="s">
        <v>38</v>
      </c>
      <c r="B256" t="s">
        <v>171</v>
      </c>
      <c r="C256" t="s">
        <v>223</v>
      </c>
      <c r="D256">
        <v>15653</v>
      </c>
      <c r="E256">
        <v>9</v>
      </c>
      <c r="F256">
        <f t="shared" si="9"/>
        <v>2023</v>
      </c>
      <c r="G256">
        <f t="shared" si="10"/>
        <v>12</v>
      </c>
      <c r="H256" t="str">
        <f t="shared" si="11"/>
        <v>2023-12</v>
      </c>
    </row>
    <row r="257" spans="1:8" x14ac:dyDescent="0.25">
      <c r="A257" t="s">
        <v>11</v>
      </c>
      <c r="B257" t="s">
        <v>34</v>
      </c>
      <c r="C257" t="s">
        <v>224</v>
      </c>
      <c r="D257">
        <v>67851</v>
      </c>
      <c r="E257">
        <v>4</v>
      </c>
      <c r="F257">
        <f t="shared" si="9"/>
        <v>2023</v>
      </c>
      <c r="G257">
        <f t="shared" si="10"/>
        <v>12</v>
      </c>
      <c r="H257" t="str">
        <f t="shared" si="11"/>
        <v>2023-12</v>
      </c>
    </row>
    <row r="258" spans="1:8" x14ac:dyDescent="0.25">
      <c r="A258" t="s">
        <v>16</v>
      </c>
      <c r="B258" t="s">
        <v>28</v>
      </c>
      <c r="C258" t="s">
        <v>224</v>
      </c>
      <c r="D258">
        <v>46262</v>
      </c>
      <c r="E258">
        <v>5</v>
      </c>
      <c r="F258">
        <f t="shared" si="9"/>
        <v>2023</v>
      </c>
      <c r="G258">
        <f t="shared" si="10"/>
        <v>12</v>
      </c>
      <c r="H258" t="str">
        <f t="shared" si="11"/>
        <v>2023-12</v>
      </c>
    </row>
    <row r="259" spans="1:8" x14ac:dyDescent="0.25">
      <c r="A259" t="s">
        <v>43</v>
      </c>
      <c r="B259" t="s">
        <v>136</v>
      </c>
      <c r="C259" t="s">
        <v>224</v>
      </c>
      <c r="D259">
        <v>37783</v>
      </c>
      <c r="E259">
        <v>6</v>
      </c>
      <c r="F259">
        <f t="shared" ref="F259:F322" si="12">YEAR(C259)</f>
        <v>2023</v>
      </c>
      <c r="G259">
        <f t="shared" ref="G259:G322" si="13">MONTH(C259)</f>
        <v>12</v>
      </c>
      <c r="H259" t="str">
        <f t="shared" ref="H259:H322" si="14">F259&amp;"-"&amp;G259</f>
        <v>2023-12</v>
      </c>
    </row>
    <row r="260" spans="1:8" x14ac:dyDescent="0.25">
      <c r="A260" t="s">
        <v>26</v>
      </c>
      <c r="B260" t="s">
        <v>169</v>
      </c>
      <c r="C260" t="s">
        <v>224</v>
      </c>
      <c r="D260">
        <v>98301</v>
      </c>
      <c r="E260">
        <v>3</v>
      </c>
      <c r="F260">
        <f t="shared" si="12"/>
        <v>2023</v>
      </c>
      <c r="G260">
        <f t="shared" si="13"/>
        <v>12</v>
      </c>
      <c r="H260" t="str">
        <f t="shared" si="14"/>
        <v>2023-12</v>
      </c>
    </row>
    <row r="261" spans="1:8" x14ac:dyDescent="0.25">
      <c r="A261" t="s">
        <v>43</v>
      </c>
      <c r="B261" t="s">
        <v>158</v>
      </c>
      <c r="C261" t="s">
        <v>224</v>
      </c>
      <c r="D261">
        <v>26676</v>
      </c>
      <c r="E261">
        <v>3</v>
      </c>
      <c r="F261">
        <f t="shared" si="12"/>
        <v>2023</v>
      </c>
      <c r="G261">
        <f t="shared" si="13"/>
        <v>12</v>
      </c>
      <c r="H261" t="str">
        <f t="shared" si="14"/>
        <v>2023-12</v>
      </c>
    </row>
    <row r="262" spans="1:8" x14ac:dyDescent="0.25">
      <c r="A262" t="s">
        <v>29</v>
      </c>
      <c r="B262" t="s">
        <v>40</v>
      </c>
      <c r="C262" t="s">
        <v>225</v>
      </c>
      <c r="D262">
        <v>41376</v>
      </c>
      <c r="E262">
        <v>0</v>
      </c>
      <c r="F262">
        <f t="shared" si="12"/>
        <v>2023</v>
      </c>
      <c r="G262">
        <f t="shared" si="13"/>
        <v>12</v>
      </c>
      <c r="H262" t="str">
        <f t="shared" si="14"/>
        <v>2023-12</v>
      </c>
    </row>
    <row r="263" spans="1:8" x14ac:dyDescent="0.25">
      <c r="A263" t="s">
        <v>26</v>
      </c>
      <c r="B263" t="s">
        <v>25</v>
      </c>
      <c r="C263" t="s">
        <v>225</v>
      </c>
      <c r="D263">
        <v>59816</v>
      </c>
      <c r="E263">
        <v>6</v>
      </c>
      <c r="F263">
        <f t="shared" si="12"/>
        <v>2023</v>
      </c>
      <c r="G263">
        <f t="shared" si="13"/>
        <v>12</v>
      </c>
      <c r="H263" t="str">
        <f t="shared" si="14"/>
        <v>2023-12</v>
      </c>
    </row>
    <row r="264" spans="1:8" x14ac:dyDescent="0.25">
      <c r="A264" t="s">
        <v>11</v>
      </c>
      <c r="B264" t="s">
        <v>78</v>
      </c>
      <c r="C264" t="s">
        <v>225</v>
      </c>
      <c r="D264">
        <v>74388</v>
      </c>
      <c r="E264">
        <v>7</v>
      </c>
      <c r="F264">
        <f t="shared" si="12"/>
        <v>2023</v>
      </c>
      <c r="G264">
        <f t="shared" si="13"/>
        <v>12</v>
      </c>
      <c r="H264" t="str">
        <f t="shared" si="14"/>
        <v>2023-12</v>
      </c>
    </row>
    <row r="265" spans="1:8" x14ac:dyDescent="0.25">
      <c r="A265" t="s">
        <v>13</v>
      </c>
      <c r="B265" t="s">
        <v>30</v>
      </c>
      <c r="C265" t="s">
        <v>226</v>
      </c>
      <c r="D265">
        <v>93656</v>
      </c>
      <c r="E265">
        <v>2</v>
      </c>
      <c r="F265">
        <f t="shared" si="12"/>
        <v>2023</v>
      </c>
      <c r="G265">
        <f t="shared" si="13"/>
        <v>12</v>
      </c>
      <c r="H265" t="str">
        <f t="shared" si="14"/>
        <v>2023-12</v>
      </c>
    </row>
    <row r="266" spans="1:8" x14ac:dyDescent="0.25">
      <c r="A266" t="s">
        <v>26</v>
      </c>
      <c r="B266" t="s">
        <v>227</v>
      </c>
      <c r="C266" t="s">
        <v>226</v>
      </c>
      <c r="D266">
        <v>79691</v>
      </c>
      <c r="E266">
        <v>6</v>
      </c>
      <c r="F266">
        <f t="shared" si="12"/>
        <v>2023</v>
      </c>
      <c r="G266">
        <f t="shared" si="13"/>
        <v>12</v>
      </c>
      <c r="H266" t="str">
        <f t="shared" si="14"/>
        <v>2023-12</v>
      </c>
    </row>
    <row r="267" spans="1:8" x14ac:dyDescent="0.25">
      <c r="A267" t="s">
        <v>5</v>
      </c>
      <c r="B267" t="s">
        <v>134</v>
      </c>
      <c r="C267" t="s">
        <v>226</v>
      </c>
      <c r="D267">
        <v>23294</v>
      </c>
      <c r="E267">
        <v>0</v>
      </c>
      <c r="F267">
        <f t="shared" si="12"/>
        <v>2023</v>
      </c>
      <c r="G267">
        <f t="shared" si="13"/>
        <v>12</v>
      </c>
      <c r="H267" t="str">
        <f t="shared" si="14"/>
        <v>2023-12</v>
      </c>
    </row>
    <row r="268" spans="1:8" x14ac:dyDescent="0.25">
      <c r="A268" t="s">
        <v>21</v>
      </c>
      <c r="B268" t="s">
        <v>15</v>
      </c>
      <c r="C268" t="s">
        <v>226</v>
      </c>
      <c r="D268">
        <v>63306</v>
      </c>
      <c r="E268">
        <v>6</v>
      </c>
      <c r="F268">
        <f t="shared" si="12"/>
        <v>2023</v>
      </c>
      <c r="G268">
        <f t="shared" si="13"/>
        <v>12</v>
      </c>
      <c r="H268" t="str">
        <f t="shared" si="14"/>
        <v>2023-12</v>
      </c>
    </row>
    <row r="269" spans="1:8" x14ac:dyDescent="0.25">
      <c r="A269" t="s">
        <v>21</v>
      </c>
      <c r="B269" t="s">
        <v>22</v>
      </c>
      <c r="C269" t="s">
        <v>228</v>
      </c>
      <c r="D269">
        <v>74191</v>
      </c>
      <c r="E269">
        <v>9</v>
      </c>
      <c r="F269">
        <f t="shared" si="12"/>
        <v>2023</v>
      </c>
      <c r="G269">
        <f t="shared" si="13"/>
        <v>12</v>
      </c>
      <c r="H269" t="str">
        <f t="shared" si="14"/>
        <v>2023-12</v>
      </c>
    </row>
    <row r="270" spans="1:8" x14ac:dyDescent="0.25">
      <c r="A270" t="s">
        <v>13</v>
      </c>
      <c r="B270" t="s">
        <v>216</v>
      </c>
      <c r="C270" t="s">
        <v>228</v>
      </c>
      <c r="D270">
        <v>48352</v>
      </c>
      <c r="E270">
        <v>6</v>
      </c>
      <c r="F270">
        <f t="shared" si="12"/>
        <v>2023</v>
      </c>
      <c r="G270">
        <f t="shared" si="13"/>
        <v>12</v>
      </c>
      <c r="H270" t="str">
        <f t="shared" si="14"/>
        <v>2023-12</v>
      </c>
    </row>
    <row r="271" spans="1:8" x14ac:dyDescent="0.25">
      <c r="A271" t="s">
        <v>21</v>
      </c>
      <c r="B271" t="s">
        <v>111</v>
      </c>
      <c r="C271" t="s">
        <v>229</v>
      </c>
      <c r="D271">
        <v>70278</v>
      </c>
      <c r="E271">
        <v>8</v>
      </c>
      <c r="F271">
        <f t="shared" si="12"/>
        <v>2023</v>
      </c>
      <c r="G271">
        <f t="shared" si="13"/>
        <v>12</v>
      </c>
      <c r="H271" t="str">
        <f t="shared" si="14"/>
        <v>2023-12</v>
      </c>
    </row>
    <row r="272" spans="1:8" x14ac:dyDescent="0.25">
      <c r="A272" t="s">
        <v>26</v>
      </c>
      <c r="B272" t="s">
        <v>169</v>
      </c>
      <c r="C272" t="s">
        <v>229</v>
      </c>
      <c r="D272">
        <v>56715</v>
      </c>
      <c r="E272">
        <v>7</v>
      </c>
      <c r="F272">
        <f t="shared" si="12"/>
        <v>2023</v>
      </c>
      <c r="G272">
        <f t="shared" si="13"/>
        <v>12</v>
      </c>
      <c r="H272" t="str">
        <f t="shared" si="14"/>
        <v>2023-12</v>
      </c>
    </row>
    <row r="273" spans="1:8" x14ac:dyDescent="0.25">
      <c r="A273" t="s">
        <v>19</v>
      </c>
      <c r="B273" t="s">
        <v>92</v>
      </c>
      <c r="C273" t="s">
        <v>229</v>
      </c>
      <c r="D273">
        <v>53168</v>
      </c>
      <c r="E273">
        <v>7</v>
      </c>
      <c r="F273">
        <f t="shared" si="12"/>
        <v>2023</v>
      </c>
      <c r="G273">
        <f t="shared" si="13"/>
        <v>12</v>
      </c>
      <c r="H273" t="str">
        <f t="shared" si="14"/>
        <v>2023-12</v>
      </c>
    </row>
    <row r="274" spans="1:8" x14ac:dyDescent="0.25">
      <c r="A274" t="s">
        <v>29</v>
      </c>
      <c r="B274" t="s">
        <v>67</v>
      </c>
      <c r="C274" t="s">
        <v>229</v>
      </c>
      <c r="D274">
        <v>83074</v>
      </c>
      <c r="E274">
        <v>7</v>
      </c>
      <c r="F274">
        <f t="shared" si="12"/>
        <v>2023</v>
      </c>
      <c r="G274">
        <f t="shared" si="13"/>
        <v>12</v>
      </c>
      <c r="H274" t="str">
        <f t="shared" si="14"/>
        <v>2023-12</v>
      </c>
    </row>
    <row r="275" spans="1:8" x14ac:dyDescent="0.25">
      <c r="A275" t="s">
        <v>43</v>
      </c>
      <c r="B275" t="s">
        <v>104</v>
      </c>
      <c r="C275" t="s">
        <v>229</v>
      </c>
      <c r="D275">
        <v>64658</v>
      </c>
      <c r="E275">
        <v>7</v>
      </c>
      <c r="F275">
        <f t="shared" si="12"/>
        <v>2023</v>
      </c>
      <c r="G275">
        <f t="shared" si="13"/>
        <v>12</v>
      </c>
      <c r="H275" t="str">
        <f t="shared" si="14"/>
        <v>2023-12</v>
      </c>
    </row>
    <row r="276" spans="1:8" x14ac:dyDescent="0.25">
      <c r="A276" t="s">
        <v>38</v>
      </c>
      <c r="B276" t="s">
        <v>206</v>
      </c>
      <c r="C276" t="s">
        <v>230</v>
      </c>
      <c r="D276">
        <v>17135</v>
      </c>
      <c r="E276">
        <v>10</v>
      </c>
      <c r="F276">
        <f t="shared" si="12"/>
        <v>2023</v>
      </c>
      <c r="G276">
        <f t="shared" si="13"/>
        <v>12</v>
      </c>
      <c r="H276" t="str">
        <f t="shared" si="14"/>
        <v>2023-12</v>
      </c>
    </row>
    <row r="277" spans="1:8" x14ac:dyDescent="0.25">
      <c r="A277" t="s">
        <v>19</v>
      </c>
      <c r="B277" t="s">
        <v>61</v>
      </c>
      <c r="C277" t="s">
        <v>230</v>
      </c>
      <c r="D277">
        <v>81319</v>
      </c>
      <c r="E277">
        <v>3</v>
      </c>
      <c r="F277">
        <f t="shared" si="12"/>
        <v>2023</v>
      </c>
      <c r="G277">
        <f t="shared" si="13"/>
        <v>12</v>
      </c>
      <c r="H277" t="str">
        <f t="shared" si="14"/>
        <v>2023-12</v>
      </c>
    </row>
    <row r="278" spans="1:8" x14ac:dyDescent="0.25">
      <c r="A278" t="s">
        <v>55</v>
      </c>
      <c r="B278" t="s">
        <v>102</v>
      </c>
      <c r="C278" t="s">
        <v>231</v>
      </c>
      <c r="D278">
        <v>56693</v>
      </c>
      <c r="E278">
        <v>7</v>
      </c>
      <c r="F278">
        <f t="shared" si="12"/>
        <v>2023</v>
      </c>
      <c r="G278">
        <f t="shared" si="13"/>
        <v>12</v>
      </c>
      <c r="H278" t="str">
        <f t="shared" si="14"/>
        <v>2023-12</v>
      </c>
    </row>
    <row r="279" spans="1:8" x14ac:dyDescent="0.25">
      <c r="A279" t="s">
        <v>13</v>
      </c>
      <c r="B279" t="s">
        <v>71</v>
      </c>
      <c r="C279" t="s">
        <v>231</v>
      </c>
      <c r="D279">
        <v>10383</v>
      </c>
      <c r="E279">
        <v>6</v>
      </c>
      <c r="F279">
        <f t="shared" si="12"/>
        <v>2023</v>
      </c>
      <c r="G279">
        <f t="shared" si="13"/>
        <v>12</v>
      </c>
      <c r="H279" t="str">
        <f t="shared" si="14"/>
        <v>2023-12</v>
      </c>
    </row>
    <row r="280" spans="1:8" x14ac:dyDescent="0.25">
      <c r="A280" t="s">
        <v>26</v>
      </c>
      <c r="B280" t="s">
        <v>232</v>
      </c>
      <c r="C280" t="s">
        <v>233</v>
      </c>
      <c r="D280">
        <v>65730</v>
      </c>
      <c r="E280">
        <v>7</v>
      </c>
      <c r="F280">
        <f t="shared" si="12"/>
        <v>2023</v>
      </c>
      <c r="G280">
        <f t="shared" si="13"/>
        <v>12</v>
      </c>
      <c r="H280" t="str">
        <f t="shared" si="14"/>
        <v>2023-12</v>
      </c>
    </row>
    <row r="281" spans="1:8" x14ac:dyDescent="0.25">
      <c r="A281" t="s">
        <v>19</v>
      </c>
      <c r="B281" t="s">
        <v>28</v>
      </c>
      <c r="C281" t="s">
        <v>233</v>
      </c>
      <c r="D281">
        <v>54713</v>
      </c>
      <c r="E281">
        <v>5</v>
      </c>
      <c r="F281">
        <f t="shared" si="12"/>
        <v>2023</v>
      </c>
      <c r="G281">
        <f t="shared" si="13"/>
        <v>12</v>
      </c>
      <c r="H281" t="str">
        <f t="shared" si="14"/>
        <v>2023-12</v>
      </c>
    </row>
    <row r="282" spans="1:8" x14ac:dyDescent="0.25">
      <c r="A282" t="s">
        <v>5</v>
      </c>
      <c r="B282" t="s">
        <v>116</v>
      </c>
      <c r="C282" t="s">
        <v>233</v>
      </c>
      <c r="D282">
        <v>63808</v>
      </c>
      <c r="E282">
        <v>5</v>
      </c>
      <c r="F282">
        <f t="shared" si="12"/>
        <v>2023</v>
      </c>
      <c r="G282">
        <f t="shared" si="13"/>
        <v>12</v>
      </c>
      <c r="H282" t="str">
        <f t="shared" si="14"/>
        <v>2023-12</v>
      </c>
    </row>
    <row r="283" spans="1:8" x14ac:dyDescent="0.25">
      <c r="A283" t="s">
        <v>8</v>
      </c>
      <c r="B283" t="s">
        <v>234</v>
      </c>
      <c r="C283" t="s">
        <v>235</v>
      </c>
      <c r="D283">
        <v>79492</v>
      </c>
      <c r="E283">
        <v>3</v>
      </c>
      <c r="F283">
        <f t="shared" si="12"/>
        <v>2023</v>
      </c>
      <c r="G283">
        <f t="shared" si="13"/>
        <v>12</v>
      </c>
      <c r="H283" t="str">
        <f t="shared" si="14"/>
        <v>2023-12</v>
      </c>
    </row>
    <row r="284" spans="1:8" x14ac:dyDescent="0.25">
      <c r="A284" t="s">
        <v>13</v>
      </c>
      <c r="B284" t="s">
        <v>202</v>
      </c>
      <c r="C284" t="s">
        <v>235</v>
      </c>
      <c r="D284">
        <v>24149</v>
      </c>
      <c r="E284">
        <v>9</v>
      </c>
      <c r="F284">
        <f t="shared" si="12"/>
        <v>2023</v>
      </c>
      <c r="G284">
        <f t="shared" si="13"/>
        <v>12</v>
      </c>
      <c r="H284" t="str">
        <f t="shared" si="14"/>
        <v>2023-12</v>
      </c>
    </row>
    <row r="285" spans="1:8" x14ac:dyDescent="0.25">
      <c r="A285" t="s">
        <v>29</v>
      </c>
      <c r="B285" t="s">
        <v>199</v>
      </c>
      <c r="C285" t="s">
        <v>235</v>
      </c>
      <c r="D285">
        <v>76746</v>
      </c>
      <c r="E285">
        <v>7</v>
      </c>
      <c r="F285">
        <f t="shared" si="12"/>
        <v>2023</v>
      </c>
      <c r="G285">
        <f t="shared" si="13"/>
        <v>12</v>
      </c>
      <c r="H285" t="str">
        <f t="shared" si="14"/>
        <v>2023-12</v>
      </c>
    </row>
    <row r="286" spans="1:8" x14ac:dyDescent="0.25">
      <c r="A286" t="s">
        <v>55</v>
      </c>
      <c r="B286" t="s">
        <v>174</v>
      </c>
      <c r="C286" t="s">
        <v>236</v>
      </c>
      <c r="D286">
        <v>51161</v>
      </c>
      <c r="E286">
        <v>10</v>
      </c>
      <c r="F286">
        <f t="shared" si="12"/>
        <v>2023</v>
      </c>
      <c r="G286">
        <f t="shared" si="13"/>
        <v>12</v>
      </c>
      <c r="H286" t="str">
        <f t="shared" si="14"/>
        <v>2023-12</v>
      </c>
    </row>
    <row r="287" spans="1:8" x14ac:dyDescent="0.25">
      <c r="A287" t="s">
        <v>8</v>
      </c>
      <c r="B287" t="s">
        <v>54</v>
      </c>
      <c r="C287" t="s">
        <v>236</v>
      </c>
      <c r="D287">
        <v>39743</v>
      </c>
      <c r="E287">
        <v>5</v>
      </c>
      <c r="F287">
        <f t="shared" si="12"/>
        <v>2023</v>
      </c>
      <c r="G287">
        <f t="shared" si="13"/>
        <v>12</v>
      </c>
      <c r="H287" t="str">
        <f t="shared" si="14"/>
        <v>2023-12</v>
      </c>
    </row>
    <row r="288" spans="1:8" x14ac:dyDescent="0.25">
      <c r="A288" t="s">
        <v>29</v>
      </c>
      <c r="B288" t="s">
        <v>171</v>
      </c>
      <c r="C288" t="s">
        <v>236</v>
      </c>
      <c r="D288">
        <v>28030</v>
      </c>
      <c r="E288">
        <v>3</v>
      </c>
      <c r="F288">
        <f t="shared" si="12"/>
        <v>2023</v>
      </c>
      <c r="G288">
        <f t="shared" si="13"/>
        <v>12</v>
      </c>
      <c r="H288" t="str">
        <f t="shared" si="14"/>
        <v>2023-12</v>
      </c>
    </row>
    <row r="289" spans="1:8" x14ac:dyDescent="0.25">
      <c r="A289" t="s">
        <v>16</v>
      </c>
      <c r="B289" t="s">
        <v>79</v>
      </c>
      <c r="C289" t="s">
        <v>236</v>
      </c>
      <c r="D289">
        <v>27566</v>
      </c>
      <c r="E289">
        <v>7</v>
      </c>
      <c r="F289">
        <f t="shared" si="12"/>
        <v>2023</v>
      </c>
      <c r="G289">
        <f t="shared" si="13"/>
        <v>12</v>
      </c>
      <c r="H289" t="str">
        <f t="shared" si="14"/>
        <v>2023-12</v>
      </c>
    </row>
    <row r="290" spans="1:8" x14ac:dyDescent="0.25">
      <c r="A290" t="s">
        <v>43</v>
      </c>
      <c r="B290" t="s">
        <v>119</v>
      </c>
      <c r="C290" t="s">
        <v>236</v>
      </c>
      <c r="D290">
        <v>42298</v>
      </c>
      <c r="E290">
        <v>8</v>
      </c>
      <c r="F290">
        <f t="shared" si="12"/>
        <v>2023</v>
      </c>
      <c r="G290">
        <f t="shared" si="13"/>
        <v>12</v>
      </c>
      <c r="H290" t="str">
        <f t="shared" si="14"/>
        <v>2023-12</v>
      </c>
    </row>
    <row r="291" spans="1:8" x14ac:dyDescent="0.25">
      <c r="A291" t="s">
        <v>26</v>
      </c>
      <c r="B291" t="s">
        <v>237</v>
      </c>
      <c r="C291" t="s">
        <v>236</v>
      </c>
      <c r="D291">
        <v>14560</v>
      </c>
      <c r="E291">
        <v>3</v>
      </c>
      <c r="F291">
        <f t="shared" si="12"/>
        <v>2023</v>
      </c>
      <c r="G291">
        <f t="shared" si="13"/>
        <v>12</v>
      </c>
      <c r="H291" t="str">
        <f t="shared" si="14"/>
        <v>2023-12</v>
      </c>
    </row>
    <row r="292" spans="1:8" x14ac:dyDescent="0.25">
      <c r="A292" t="s">
        <v>8</v>
      </c>
      <c r="B292" t="s">
        <v>46</v>
      </c>
      <c r="C292" t="s">
        <v>236</v>
      </c>
      <c r="D292">
        <v>54451</v>
      </c>
      <c r="E292">
        <v>6</v>
      </c>
      <c r="F292">
        <f t="shared" si="12"/>
        <v>2023</v>
      </c>
      <c r="G292">
        <f t="shared" si="13"/>
        <v>12</v>
      </c>
      <c r="H292" t="str">
        <f t="shared" si="14"/>
        <v>2023-12</v>
      </c>
    </row>
    <row r="293" spans="1:8" x14ac:dyDescent="0.25">
      <c r="A293" t="s">
        <v>13</v>
      </c>
      <c r="B293" t="s">
        <v>45</v>
      </c>
      <c r="C293" t="s">
        <v>236</v>
      </c>
      <c r="D293">
        <v>20883</v>
      </c>
      <c r="E293">
        <v>8</v>
      </c>
      <c r="F293">
        <f t="shared" si="12"/>
        <v>2023</v>
      </c>
      <c r="G293">
        <f t="shared" si="13"/>
        <v>12</v>
      </c>
      <c r="H293" t="str">
        <f t="shared" si="14"/>
        <v>2023-12</v>
      </c>
    </row>
    <row r="294" spans="1:8" x14ac:dyDescent="0.25">
      <c r="A294" t="s">
        <v>8</v>
      </c>
      <c r="B294" t="s">
        <v>151</v>
      </c>
      <c r="C294" t="s">
        <v>238</v>
      </c>
      <c r="D294">
        <v>23472</v>
      </c>
      <c r="E294">
        <v>9</v>
      </c>
      <c r="F294">
        <f t="shared" si="12"/>
        <v>2023</v>
      </c>
      <c r="G294">
        <f t="shared" si="13"/>
        <v>12</v>
      </c>
      <c r="H294" t="str">
        <f t="shared" si="14"/>
        <v>2023-12</v>
      </c>
    </row>
    <row r="295" spans="1:8" x14ac:dyDescent="0.25">
      <c r="A295" t="s">
        <v>16</v>
      </c>
      <c r="B295" t="s">
        <v>89</v>
      </c>
      <c r="C295" t="s">
        <v>238</v>
      </c>
      <c r="D295">
        <v>54800</v>
      </c>
      <c r="E295">
        <v>4</v>
      </c>
      <c r="F295">
        <f t="shared" si="12"/>
        <v>2023</v>
      </c>
      <c r="G295">
        <f t="shared" si="13"/>
        <v>12</v>
      </c>
      <c r="H295" t="str">
        <f t="shared" si="14"/>
        <v>2023-12</v>
      </c>
    </row>
    <row r="296" spans="1:8" x14ac:dyDescent="0.25">
      <c r="A296" t="s">
        <v>43</v>
      </c>
      <c r="B296" t="s">
        <v>239</v>
      </c>
      <c r="C296" t="s">
        <v>238</v>
      </c>
      <c r="D296">
        <v>14062</v>
      </c>
      <c r="E296">
        <v>1</v>
      </c>
      <c r="F296">
        <f t="shared" si="12"/>
        <v>2023</v>
      </c>
      <c r="G296">
        <f t="shared" si="13"/>
        <v>12</v>
      </c>
      <c r="H296" t="str">
        <f t="shared" si="14"/>
        <v>2023-12</v>
      </c>
    </row>
    <row r="297" spans="1:8" x14ac:dyDescent="0.25">
      <c r="A297" t="s">
        <v>5</v>
      </c>
      <c r="B297" t="s">
        <v>227</v>
      </c>
      <c r="C297" t="s">
        <v>238</v>
      </c>
      <c r="D297">
        <v>53959</v>
      </c>
      <c r="E297">
        <v>4</v>
      </c>
      <c r="F297">
        <f t="shared" si="12"/>
        <v>2023</v>
      </c>
      <c r="G297">
        <f t="shared" si="13"/>
        <v>12</v>
      </c>
      <c r="H297" t="str">
        <f t="shared" si="14"/>
        <v>2023-12</v>
      </c>
    </row>
    <row r="298" spans="1:8" x14ac:dyDescent="0.25">
      <c r="A298" t="s">
        <v>21</v>
      </c>
      <c r="B298" t="s">
        <v>176</v>
      </c>
      <c r="C298" t="s">
        <v>238</v>
      </c>
      <c r="D298">
        <v>25618</v>
      </c>
      <c r="E298">
        <v>8</v>
      </c>
      <c r="F298">
        <f t="shared" si="12"/>
        <v>2023</v>
      </c>
      <c r="G298">
        <f t="shared" si="13"/>
        <v>12</v>
      </c>
      <c r="H298" t="str">
        <f t="shared" si="14"/>
        <v>2023-12</v>
      </c>
    </row>
    <row r="299" spans="1:8" x14ac:dyDescent="0.25">
      <c r="A299" t="s">
        <v>13</v>
      </c>
      <c r="B299" t="s">
        <v>227</v>
      </c>
      <c r="C299" t="s">
        <v>238</v>
      </c>
      <c r="D299">
        <v>24529</v>
      </c>
      <c r="E299">
        <v>6</v>
      </c>
      <c r="F299">
        <f t="shared" si="12"/>
        <v>2023</v>
      </c>
      <c r="G299">
        <f t="shared" si="13"/>
        <v>12</v>
      </c>
      <c r="H299" t="str">
        <f t="shared" si="14"/>
        <v>2023-12</v>
      </c>
    </row>
    <row r="300" spans="1:8" x14ac:dyDescent="0.25">
      <c r="A300" t="s">
        <v>13</v>
      </c>
      <c r="B300" t="s">
        <v>33</v>
      </c>
      <c r="C300" t="s">
        <v>240</v>
      </c>
      <c r="D300">
        <v>10621</v>
      </c>
      <c r="E300">
        <v>3</v>
      </c>
      <c r="F300">
        <f t="shared" si="12"/>
        <v>2023</v>
      </c>
      <c r="G300">
        <f t="shared" si="13"/>
        <v>12</v>
      </c>
      <c r="H300" t="str">
        <f t="shared" si="14"/>
        <v>2023-12</v>
      </c>
    </row>
    <row r="301" spans="1:8" x14ac:dyDescent="0.25">
      <c r="A301" t="s">
        <v>8</v>
      </c>
      <c r="B301" t="s">
        <v>54</v>
      </c>
      <c r="C301" t="s">
        <v>241</v>
      </c>
      <c r="D301">
        <v>14051</v>
      </c>
      <c r="E301">
        <v>9</v>
      </c>
      <c r="F301">
        <f t="shared" si="12"/>
        <v>2023</v>
      </c>
      <c r="G301">
        <f t="shared" si="13"/>
        <v>12</v>
      </c>
      <c r="H301" t="str">
        <f t="shared" si="14"/>
        <v>2023-12</v>
      </c>
    </row>
    <row r="302" spans="1:8" x14ac:dyDescent="0.25">
      <c r="A302" t="s">
        <v>19</v>
      </c>
      <c r="B302" t="s">
        <v>91</v>
      </c>
      <c r="C302" t="s">
        <v>241</v>
      </c>
      <c r="D302">
        <v>68114</v>
      </c>
      <c r="E302">
        <v>6</v>
      </c>
      <c r="F302">
        <f t="shared" si="12"/>
        <v>2023</v>
      </c>
      <c r="G302">
        <f t="shared" si="13"/>
        <v>12</v>
      </c>
      <c r="H302" t="str">
        <f t="shared" si="14"/>
        <v>2023-12</v>
      </c>
    </row>
    <row r="303" spans="1:8" x14ac:dyDescent="0.25">
      <c r="A303" t="s">
        <v>16</v>
      </c>
      <c r="B303" t="s">
        <v>165</v>
      </c>
      <c r="C303" t="s">
        <v>241</v>
      </c>
      <c r="D303">
        <v>73358</v>
      </c>
      <c r="E303">
        <v>0</v>
      </c>
      <c r="F303">
        <f t="shared" si="12"/>
        <v>2023</v>
      </c>
      <c r="G303">
        <f t="shared" si="13"/>
        <v>12</v>
      </c>
      <c r="H303" t="str">
        <f t="shared" si="14"/>
        <v>2023-12</v>
      </c>
    </row>
    <row r="304" spans="1:8" x14ac:dyDescent="0.25">
      <c r="A304" t="s">
        <v>38</v>
      </c>
      <c r="B304" t="s">
        <v>237</v>
      </c>
      <c r="C304" t="s">
        <v>241</v>
      </c>
      <c r="D304">
        <v>83628</v>
      </c>
      <c r="E304">
        <v>3</v>
      </c>
      <c r="F304">
        <f t="shared" si="12"/>
        <v>2023</v>
      </c>
      <c r="G304">
        <f t="shared" si="13"/>
        <v>12</v>
      </c>
      <c r="H304" t="str">
        <f t="shared" si="14"/>
        <v>2023-12</v>
      </c>
    </row>
    <row r="305" spans="1:8" x14ac:dyDescent="0.25">
      <c r="A305" t="s">
        <v>13</v>
      </c>
      <c r="B305" t="s">
        <v>28</v>
      </c>
      <c r="C305" t="s">
        <v>241</v>
      </c>
      <c r="D305">
        <v>45764</v>
      </c>
      <c r="E305">
        <v>7</v>
      </c>
      <c r="F305">
        <f t="shared" si="12"/>
        <v>2023</v>
      </c>
      <c r="G305">
        <f t="shared" si="13"/>
        <v>12</v>
      </c>
      <c r="H305" t="str">
        <f t="shared" si="14"/>
        <v>2023-12</v>
      </c>
    </row>
    <row r="306" spans="1:8" x14ac:dyDescent="0.25">
      <c r="A306" t="s">
        <v>21</v>
      </c>
      <c r="B306" t="s">
        <v>193</v>
      </c>
      <c r="C306" t="s">
        <v>242</v>
      </c>
      <c r="D306">
        <v>27697</v>
      </c>
      <c r="E306">
        <v>7</v>
      </c>
      <c r="F306">
        <f t="shared" si="12"/>
        <v>2023</v>
      </c>
      <c r="G306">
        <f t="shared" si="13"/>
        <v>12</v>
      </c>
      <c r="H306" t="str">
        <f t="shared" si="14"/>
        <v>2023-12</v>
      </c>
    </row>
    <row r="307" spans="1:8" x14ac:dyDescent="0.25">
      <c r="A307" t="s">
        <v>38</v>
      </c>
      <c r="B307" t="s">
        <v>64</v>
      </c>
      <c r="C307" t="s">
        <v>242</v>
      </c>
      <c r="D307">
        <v>49464</v>
      </c>
      <c r="E307">
        <v>6</v>
      </c>
      <c r="F307">
        <f t="shared" si="12"/>
        <v>2023</v>
      </c>
      <c r="G307">
        <f t="shared" si="13"/>
        <v>12</v>
      </c>
      <c r="H307" t="str">
        <f t="shared" si="14"/>
        <v>2023-12</v>
      </c>
    </row>
    <row r="308" spans="1:8" x14ac:dyDescent="0.25">
      <c r="A308" t="s">
        <v>11</v>
      </c>
      <c r="B308" t="s">
        <v>33</v>
      </c>
      <c r="C308" t="s">
        <v>242</v>
      </c>
      <c r="D308">
        <v>41864</v>
      </c>
      <c r="E308">
        <v>4</v>
      </c>
      <c r="F308">
        <f t="shared" si="12"/>
        <v>2023</v>
      </c>
      <c r="G308">
        <f t="shared" si="13"/>
        <v>12</v>
      </c>
      <c r="H308" t="str">
        <f t="shared" si="14"/>
        <v>2023-12</v>
      </c>
    </row>
    <row r="309" spans="1:8" x14ac:dyDescent="0.25">
      <c r="A309" t="s">
        <v>55</v>
      </c>
      <c r="B309" t="s">
        <v>173</v>
      </c>
      <c r="C309" t="s">
        <v>242</v>
      </c>
      <c r="D309">
        <v>44628</v>
      </c>
      <c r="E309">
        <v>5</v>
      </c>
      <c r="F309">
        <f t="shared" si="12"/>
        <v>2023</v>
      </c>
      <c r="G309">
        <f t="shared" si="13"/>
        <v>12</v>
      </c>
      <c r="H309" t="str">
        <f t="shared" si="14"/>
        <v>2023-12</v>
      </c>
    </row>
    <row r="310" spans="1:8" x14ac:dyDescent="0.25">
      <c r="A310" t="s">
        <v>11</v>
      </c>
      <c r="B310" t="s">
        <v>97</v>
      </c>
      <c r="C310" t="s">
        <v>242</v>
      </c>
      <c r="D310">
        <v>43126</v>
      </c>
      <c r="E310">
        <v>7</v>
      </c>
      <c r="F310">
        <f t="shared" si="12"/>
        <v>2023</v>
      </c>
      <c r="G310">
        <f t="shared" si="13"/>
        <v>12</v>
      </c>
      <c r="H310" t="str">
        <f t="shared" si="14"/>
        <v>2023-12</v>
      </c>
    </row>
    <row r="311" spans="1:8" x14ac:dyDescent="0.25">
      <c r="A311" t="s">
        <v>38</v>
      </c>
      <c r="B311" t="s">
        <v>97</v>
      </c>
      <c r="C311" t="s">
        <v>242</v>
      </c>
      <c r="D311">
        <v>46030</v>
      </c>
      <c r="E311">
        <v>3</v>
      </c>
      <c r="F311">
        <f t="shared" si="12"/>
        <v>2023</v>
      </c>
      <c r="G311">
        <f t="shared" si="13"/>
        <v>12</v>
      </c>
      <c r="H311" t="str">
        <f t="shared" si="14"/>
        <v>2023-12</v>
      </c>
    </row>
    <row r="312" spans="1:8" x14ac:dyDescent="0.25">
      <c r="A312" t="s">
        <v>13</v>
      </c>
      <c r="B312" t="s">
        <v>186</v>
      </c>
      <c r="C312" t="s">
        <v>242</v>
      </c>
      <c r="D312">
        <v>23023</v>
      </c>
      <c r="E312">
        <v>9</v>
      </c>
      <c r="F312">
        <f t="shared" si="12"/>
        <v>2023</v>
      </c>
      <c r="G312">
        <f t="shared" si="13"/>
        <v>12</v>
      </c>
      <c r="H312" t="str">
        <f t="shared" si="14"/>
        <v>2023-12</v>
      </c>
    </row>
    <row r="313" spans="1:8" x14ac:dyDescent="0.25">
      <c r="A313" t="s">
        <v>13</v>
      </c>
      <c r="B313" t="s">
        <v>64</v>
      </c>
      <c r="C313" t="s">
        <v>243</v>
      </c>
      <c r="D313">
        <v>97026</v>
      </c>
      <c r="E313">
        <v>7</v>
      </c>
      <c r="F313">
        <f t="shared" si="12"/>
        <v>2023</v>
      </c>
      <c r="G313">
        <f t="shared" si="13"/>
        <v>12</v>
      </c>
      <c r="H313" t="str">
        <f t="shared" si="14"/>
        <v>2023-12</v>
      </c>
    </row>
    <row r="314" spans="1:8" x14ac:dyDescent="0.25">
      <c r="A314" t="s">
        <v>19</v>
      </c>
      <c r="B314" t="s">
        <v>196</v>
      </c>
      <c r="C314" t="s">
        <v>243</v>
      </c>
      <c r="D314">
        <v>19203</v>
      </c>
      <c r="E314">
        <v>3</v>
      </c>
      <c r="F314">
        <f t="shared" si="12"/>
        <v>2023</v>
      </c>
      <c r="G314">
        <f t="shared" si="13"/>
        <v>12</v>
      </c>
      <c r="H314" t="str">
        <f t="shared" si="14"/>
        <v>2023-12</v>
      </c>
    </row>
    <row r="315" spans="1:8" x14ac:dyDescent="0.25">
      <c r="A315" t="s">
        <v>13</v>
      </c>
      <c r="B315" t="s">
        <v>75</v>
      </c>
      <c r="C315" t="s">
        <v>244</v>
      </c>
      <c r="D315">
        <v>96695</v>
      </c>
      <c r="E315">
        <v>3</v>
      </c>
      <c r="F315">
        <f t="shared" si="12"/>
        <v>2023</v>
      </c>
      <c r="G315">
        <f t="shared" si="13"/>
        <v>12</v>
      </c>
      <c r="H315" t="str">
        <f t="shared" si="14"/>
        <v>2023-12</v>
      </c>
    </row>
    <row r="316" spans="1:8" x14ac:dyDescent="0.25">
      <c r="A316" t="s">
        <v>11</v>
      </c>
      <c r="B316" t="s">
        <v>193</v>
      </c>
      <c r="C316" t="s">
        <v>244</v>
      </c>
      <c r="D316">
        <v>38784</v>
      </c>
      <c r="E316">
        <v>6</v>
      </c>
      <c r="F316">
        <f t="shared" si="12"/>
        <v>2023</v>
      </c>
      <c r="G316">
        <f t="shared" si="13"/>
        <v>12</v>
      </c>
      <c r="H316" t="str">
        <f t="shared" si="14"/>
        <v>2023-12</v>
      </c>
    </row>
    <row r="317" spans="1:8" x14ac:dyDescent="0.25">
      <c r="A317" t="s">
        <v>26</v>
      </c>
      <c r="B317" t="s">
        <v>209</v>
      </c>
      <c r="C317" t="s">
        <v>244</v>
      </c>
      <c r="D317">
        <v>37397</v>
      </c>
      <c r="E317">
        <v>9</v>
      </c>
      <c r="F317">
        <f t="shared" si="12"/>
        <v>2023</v>
      </c>
      <c r="G317">
        <f t="shared" si="13"/>
        <v>12</v>
      </c>
      <c r="H317" t="str">
        <f t="shared" si="14"/>
        <v>2023-12</v>
      </c>
    </row>
    <row r="318" spans="1:8" x14ac:dyDescent="0.25">
      <c r="A318" t="s">
        <v>13</v>
      </c>
      <c r="B318" t="s">
        <v>221</v>
      </c>
      <c r="C318" t="s">
        <v>245</v>
      </c>
      <c r="D318">
        <v>10974</v>
      </c>
      <c r="E318">
        <v>7</v>
      </c>
      <c r="F318">
        <f t="shared" si="12"/>
        <v>2023</v>
      </c>
      <c r="G318">
        <f t="shared" si="13"/>
        <v>12</v>
      </c>
      <c r="H318" t="str">
        <f t="shared" si="14"/>
        <v>2023-12</v>
      </c>
    </row>
    <row r="319" spans="1:8" x14ac:dyDescent="0.25">
      <c r="A319" t="s">
        <v>38</v>
      </c>
      <c r="B319" t="s">
        <v>246</v>
      </c>
      <c r="C319" t="s">
        <v>245</v>
      </c>
      <c r="D319">
        <v>73539</v>
      </c>
      <c r="E319">
        <v>4</v>
      </c>
      <c r="F319">
        <f t="shared" si="12"/>
        <v>2023</v>
      </c>
      <c r="G319">
        <f t="shared" si="13"/>
        <v>12</v>
      </c>
      <c r="H319" t="str">
        <f t="shared" si="14"/>
        <v>2023-12</v>
      </c>
    </row>
    <row r="320" spans="1:8" x14ac:dyDescent="0.25">
      <c r="A320" t="s">
        <v>21</v>
      </c>
      <c r="B320" t="s">
        <v>46</v>
      </c>
      <c r="C320" t="s">
        <v>245</v>
      </c>
      <c r="D320">
        <v>86028</v>
      </c>
      <c r="E320">
        <v>3</v>
      </c>
      <c r="F320">
        <f t="shared" si="12"/>
        <v>2023</v>
      </c>
      <c r="G320">
        <f t="shared" si="13"/>
        <v>12</v>
      </c>
      <c r="H320" t="str">
        <f t="shared" si="14"/>
        <v>2023-12</v>
      </c>
    </row>
    <row r="321" spans="1:8" x14ac:dyDescent="0.25">
      <c r="A321" t="s">
        <v>19</v>
      </c>
      <c r="B321" t="s">
        <v>33</v>
      </c>
      <c r="C321" t="s">
        <v>247</v>
      </c>
      <c r="D321">
        <v>80463</v>
      </c>
      <c r="E321">
        <v>8</v>
      </c>
      <c r="F321">
        <f t="shared" si="12"/>
        <v>2024</v>
      </c>
      <c r="G321">
        <f t="shared" si="13"/>
        <v>1</v>
      </c>
      <c r="H321" t="str">
        <f t="shared" si="14"/>
        <v>2024-1</v>
      </c>
    </row>
    <row r="322" spans="1:8" x14ac:dyDescent="0.25">
      <c r="A322" t="s">
        <v>19</v>
      </c>
      <c r="B322" t="s">
        <v>46</v>
      </c>
      <c r="C322" t="s">
        <v>247</v>
      </c>
      <c r="D322">
        <v>48044</v>
      </c>
      <c r="E322">
        <v>7</v>
      </c>
      <c r="F322">
        <f t="shared" si="12"/>
        <v>2024</v>
      </c>
      <c r="G322">
        <f t="shared" si="13"/>
        <v>1</v>
      </c>
      <c r="H322" t="str">
        <f t="shared" si="14"/>
        <v>2024-1</v>
      </c>
    </row>
    <row r="323" spans="1:8" x14ac:dyDescent="0.25">
      <c r="A323" t="s">
        <v>19</v>
      </c>
      <c r="B323" t="s">
        <v>47</v>
      </c>
      <c r="C323" t="s">
        <v>247</v>
      </c>
      <c r="D323">
        <v>34356</v>
      </c>
      <c r="E323">
        <v>9</v>
      </c>
      <c r="F323">
        <f t="shared" ref="F323:F386" si="15">YEAR(C323)</f>
        <v>2024</v>
      </c>
      <c r="G323">
        <f t="shared" ref="G323:G386" si="16">MONTH(C323)</f>
        <v>1</v>
      </c>
      <c r="H323" t="str">
        <f t="shared" ref="H323:H386" si="17">F323&amp;"-"&amp;G323</f>
        <v>2024-1</v>
      </c>
    </row>
    <row r="324" spans="1:8" x14ac:dyDescent="0.25">
      <c r="A324" t="s">
        <v>38</v>
      </c>
      <c r="B324" t="s">
        <v>239</v>
      </c>
      <c r="C324" t="s">
        <v>247</v>
      </c>
      <c r="D324">
        <v>99542</v>
      </c>
      <c r="E324">
        <v>4</v>
      </c>
      <c r="F324">
        <f t="shared" si="15"/>
        <v>2024</v>
      </c>
      <c r="G324">
        <f t="shared" si="16"/>
        <v>1</v>
      </c>
      <c r="H324" t="str">
        <f t="shared" si="17"/>
        <v>2024-1</v>
      </c>
    </row>
    <row r="325" spans="1:8" x14ac:dyDescent="0.25">
      <c r="A325" t="s">
        <v>19</v>
      </c>
      <c r="B325" t="s">
        <v>215</v>
      </c>
      <c r="C325" t="s">
        <v>247</v>
      </c>
      <c r="D325">
        <v>55873</v>
      </c>
      <c r="E325">
        <v>7</v>
      </c>
      <c r="F325">
        <f t="shared" si="15"/>
        <v>2024</v>
      </c>
      <c r="G325">
        <f t="shared" si="16"/>
        <v>1</v>
      </c>
      <c r="H325" t="str">
        <f t="shared" si="17"/>
        <v>2024-1</v>
      </c>
    </row>
    <row r="326" spans="1:8" x14ac:dyDescent="0.25">
      <c r="A326" t="s">
        <v>55</v>
      </c>
      <c r="B326" t="s">
        <v>248</v>
      </c>
      <c r="C326" t="s">
        <v>247</v>
      </c>
      <c r="D326">
        <v>56217</v>
      </c>
      <c r="E326">
        <v>10</v>
      </c>
      <c r="F326">
        <f t="shared" si="15"/>
        <v>2024</v>
      </c>
      <c r="G326">
        <f t="shared" si="16"/>
        <v>1</v>
      </c>
      <c r="H326" t="str">
        <f t="shared" si="17"/>
        <v>2024-1</v>
      </c>
    </row>
    <row r="327" spans="1:8" x14ac:dyDescent="0.25">
      <c r="A327" t="s">
        <v>8</v>
      </c>
      <c r="B327" t="s">
        <v>91</v>
      </c>
      <c r="C327" t="s">
        <v>249</v>
      </c>
      <c r="D327">
        <v>24529</v>
      </c>
      <c r="E327">
        <v>9</v>
      </c>
      <c r="F327">
        <f t="shared" si="15"/>
        <v>2024</v>
      </c>
      <c r="G327">
        <f t="shared" si="16"/>
        <v>1</v>
      </c>
      <c r="H327" t="str">
        <f t="shared" si="17"/>
        <v>2024-1</v>
      </c>
    </row>
    <row r="328" spans="1:8" x14ac:dyDescent="0.25">
      <c r="A328" t="s">
        <v>19</v>
      </c>
      <c r="B328" t="s">
        <v>250</v>
      </c>
      <c r="C328" t="s">
        <v>249</v>
      </c>
      <c r="D328">
        <v>75544</v>
      </c>
      <c r="E328">
        <v>6</v>
      </c>
      <c r="F328">
        <f t="shared" si="15"/>
        <v>2024</v>
      </c>
      <c r="G328">
        <f t="shared" si="16"/>
        <v>1</v>
      </c>
      <c r="H328" t="str">
        <f t="shared" si="17"/>
        <v>2024-1</v>
      </c>
    </row>
    <row r="329" spans="1:8" x14ac:dyDescent="0.25">
      <c r="A329" t="s">
        <v>29</v>
      </c>
      <c r="B329" t="s">
        <v>125</v>
      </c>
      <c r="C329" t="s">
        <v>249</v>
      </c>
      <c r="D329">
        <v>41438</v>
      </c>
      <c r="E329">
        <v>7</v>
      </c>
      <c r="F329">
        <f t="shared" si="15"/>
        <v>2024</v>
      </c>
      <c r="G329">
        <f t="shared" si="16"/>
        <v>1</v>
      </c>
      <c r="H329" t="str">
        <f t="shared" si="17"/>
        <v>2024-1</v>
      </c>
    </row>
    <row r="330" spans="1:8" x14ac:dyDescent="0.25">
      <c r="A330" t="s">
        <v>11</v>
      </c>
      <c r="B330" t="s">
        <v>139</v>
      </c>
      <c r="C330" t="s">
        <v>249</v>
      </c>
      <c r="D330">
        <v>32885</v>
      </c>
      <c r="E330">
        <v>5</v>
      </c>
      <c r="F330">
        <f t="shared" si="15"/>
        <v>2024</v>
      </c>
      <c r="G330">
        <f t="shared" si="16"/>
        <v>1</v>
      </c>
      <c r="H330" t="str">
        <f t="shared" si="17"/>
        <v>2024-1</v>
      </c>
    </row>
    <row r="331" spans="1:8" x14ac:dyDescent="0.25">
      <c r="A331" t="s">
        <v>55</v>
      </c>
      <c r="B331" t="s">
        <v>33</v>
      </c>
      <c r="C331" t="s">
        <v>251</v>
      </c>
      <c r="D331">
        <v>76909</v>
      </c>
      <c r="E331">
        <v>6</v>
      </c>
      <c r="F331">
        <f t="shared" si="15"/>
        <v>2024</v>
      </c>
      <c r="G331">
        <f t="shared" si="16"/>
        <v>1</v>
      </c>
      <c r="H331" t="str">
        <f t="shared" si="17"/>
        <v>2024-1</v>
      </c>
    </row>
    <row r="332" spans="1:8" x14ac:dyDescent="0.25">
      <c r="A332" t="s">
        <v>55</v>
      </c>
      <c r="B332" t="s">
        <v>215</v>
      </c>
      <c r="C332" t="s">
        <v>251</v>
      </c>
      <c r="D332">
        <v>13794</v>
      </c>
      <c r="E332">
        <v>7</v>
      </c>
      <c r="F332">
        <f t="shared" si="15"/>
        <v>2024</v>
      </c>
      <c r="G332">
        <f t="shared" si="16"/>
        <v>1</v>
      </c>
      <c r="H332" t="str">
        <f t="shared" si="17"/>
        <v>2024-1</v>
      </c>
    </row>
    <row r="333" spans="1:8" x14ac:dyDescent="0.25">
      <c r="A333" t="s">
        <v>55</v>
      </c>
      <c r="B333" t="s">
        <v>54</v>
      </c>
      <c r="C333" t="s">
        <v>252</v>
      </c>
      <c r="D333">
        <v>96532</v>
      </c>
      <c r="E333">
        <v>5</v>
      </c>
      <c r="F333">
        <f t="shared" si="15"/>
        <v>2024</v>
      </c>
      <c r="G333">
        <f t="shared" si="16"/>
        <v>1</v>
      </c>
      <c r="H333" t="str">
        <f t="shared" si="17"/>
        <v>2024-1</v>
      </c>
    </row>
    <row r="334" spans="1:8" x14ac:dyDescent="0.25">
      <c r="A334" t="s">
        <v>43</v>
      </c>
      <c r="B334" t="s">
        <v>253</v>
      </c>
      <c r="C334" t="s">
        <v>252</v>
      </c>
      <c r="D334">
        <v>29103</v>
      </c>
      <c r="E334">
        <v>6</v>
      </c>
      <c r="F334">
        <f t="shared" si="15"/>
        <v>2024</v>
      </c>
      <c r="G334">
        <f t="shared" si="16"/>
        <v>1</v>
      </c>
      <c r="H334" t="str">
        <f t="shared" si="17"/>
        <v>2024-1</v>
      </c>
    </row>
    <row r="335" spans="1:8" x14ac:dyDescent="0.25">
      <c r="A335" t="s">
        <v>21</v>
      </c>
      <c r="B335" t="s">
        <v>141</v>
      </c>
      <c r="C335" t="s">
        <v>252</v>
      </c>
      <c r="D335">
        <v>64916</v>
      </c>
      <c r="E335">
        <v>9</v>
      </c>
      <c r="F335">
        <f t="shared" si="15"/>
        <v>2024</v>
      </c>
      <c r="G335">
        <f t="shared" si="16"/>
        <v>1</v>
      </c>
      <c r="H335" t="str">
        <f t="shared" si="17"/>
        <v>2024-1</v>
      </c>
    </row>
    <row r="336" spans="1:8" x14ac:dyDescent="0.25">
      <c r="A336" t="s">
        <v>29</v>
      </c>
      <c r="B336" t="s">
        <v>33</v>
      </c>
      <c r="C336" t="s">
        <v>254</v>
      </c>
      <c r="D336">
        <v>77864</v>
      </c>
      <c r="E336">
        <v>4</v>
      </c>
      <c r="F336">
        <f t="shared" si="15"/>
        <v>2024</v>
      </c>
      <c r="G336">
        <f t="shared" si="16"/>
        <v>1</v>
      </c>
      <c r="H336" t="str">
        <f t="shared" si="17"/>
        <v>2024-1</v>
      </c>
    </row>
    <row r="337" spans="1:8" x14ac:dyDescent="0.25">
      <c r="A337" t="s">
        <v>11</v>
      </c>
      <c r="B337" t="s">
        <v>161</v>
      </c>
      <c r="C337" t="s">
        <v>254</v>
      </c>
      <c r="D337">
        <v>11054</v>
      </c>
      <c r="E337">
        <v>8</v>
      </c>
      <c r="F337">
        <f t="shared" si="15"/>
        <v>2024</v>
      </c>
      <c r="G337">
        <f t="shared" si="16"/>
        <v>1</v>
      </c>
      <c r="H337" t="str">
        <f t="shared" si="17"/>
        <v>2024-1</v>
      </c>
    </row>
    <row r="338" spans="1:8" x14ac:dyDescent="0.25">
      <c r="A338" t="s">
        <v>8</v>
      </c>
      <c r="B338" t="s">
        <v>255</v>
      </c>
      <c r="C338" t="s">
        <v>254</v>
      </c>
      <c r="D338">
        <v>74987</v>
      </c>
      <c r="E338">
        <v>7</v>
      </c>
      <c r="F338">
        <f t="shared" si="15"/>
        <v>2024</v>
      </c>
      <c r="G338">
        <f t="shared" si="16"/>
        <v>1</v>
      </c>
      <c r="H338" t="str">
        <f t="shared" si="17"/>
        <v>2024-1</v>
      </c>
    </row>
    <row r="339" spans="1:8" x14ac:dyDescent="0.25">
      <c r="A339" t="s">
        <v>13</v>
      </c>
      <c r="B339" t="s">
        <v>131</v>
      </c>
      <c r="C339" t="s">
        <v>254</v>
      </c>
      <c r="D339">
        <v>27034</v>
      </c>
      <c r="E339">
        <v>7</v>
      </c>
      <c r="F339">
        <f t="shared" si="15"/>
        <v>2024</v>
      </c>
      <c r="G339">
        <f t="shared" si="16"/>
        <v>1</v>
      </c>
      <c r="H339" t="str">
        <f t="shared" si="17"/>
        <v>2024-1</v>
      </c>
    </row>
    <row r="340" spans="1:8" x14ac:dyDescent="0.25">
      <c r="A340" t="s">
        <v>11</v>
      </c>
      <c r="B340" t="s">
        <v>45</v>
      </c>
      <c r="C340" t="s">
        <v>254</v>
      </c>
      <c r="D340">
        <v>39607</v>
      </c>
      <c r="E340">
        <v>6</v>
      </c>
      <c r="F340">
        <f t="shared" si="15"/>
        <v>2024</v>
      </c>
      <c r="G340">
        <f t="shared" si="16"/>
        <v>1</v>
      </c>
      <c r="H340" t="str">
        <f t="shared" si="17"/>
        <v>2024-1</v>
      </c>
    </row>
    <row r="341" spans="1:8" x14ac:dyDescent="0.25">
      <c r="A341" t="s">
        <v>55</v>
      </c>
      <c r="B341" t="s">
        <v>100</v>
      </c>
      <c r="C341" t="s">
        <v>254</v>
      </c>
      <c r="D341">
        <v>13676</v>
      </c>
      <c r="E341">
        <v>5</v>
      </c>
      <c r="F341">
        <f t="shared" si="15"/>
        <v>2024</v>
      </c>
      <c r="G341">
        <f t="shared" si="16"/>
        <v>1</v>
      </c>
      <c r="H341" t="str">
        <f t="shared" si="17"/>
        <v>2024-1</v>
      </c>
    </row>
    <row r="342" spans="1:8" x14ac:dyDescent="0.25">
      <c r="A342" t="s">
        <v>8</v>
      </c>
      <c r="B342" t="s">
        <v>37</v>
      </c>
      <c r="C342" t="s">
        <v>254</v>
      </c>
      <c r="D342">
        <v>82580</v>
      </c>
      <c r="E342">
        <v>6</v>
      </c>
      <c r="F342">
        <f t="shared" si="15"/>
        <v>2024</v>
      </c>
      <c r="G342">
        <f t="shared" si="16"/>
        <v>1</v>
      </c>
      <c r="H342" t="str">
        <f t="shared" si="17"/>
        <v>2024-1</v>
      </c>
    </row>
    <row r="343" spans="1:8" x14ac:dyDescent="0.25">
      <c r="A343" t="s">
        <v>13</v>
      </c>
      <c r="B343" t="s">
        <v>183</v>
      </c>
      <c r="C343" t="s">
        <v>256</v>
      </c>
      <c r="D343">
        <v>40137</v>
      </c>
      <c r="E343">
        <v>8</v>
      </c>
      <c r="F343">
        <f t="shared" si="15"/>
        <v>2024</v>
      </c>
      <c r="G343">
        <f t="shared" si="16"/>
        <v>1</v>
      </c>
      <c r="H343" t="str">
        <f t="shared" si="17"/>
        <v>2024-1</v>
      </c>
    </row>
    <row r="344" spans="1:8" x14ac:dyDescent="0.25">
      <c r="A344" t="s">
        <v>13</v>
      </c>
      <c r="B344" t="s">
        <v>20</v>
      </c>
      <c r="C344" t="s">
        <v>256</v>
      </c>
      <c r="D344">
        <v>32060</v>
      </c>
      <c r="E344">
        <v>6</v>
      </c>
      <c r="F344">
        <f t="shared" si="15"/>
        <v>2024</v>
      </c>
      <c r="G344">
        <f t="shared" si="16"/>
        <v>1</v>
      </c>
      <c r="H344" t="str">
        <f t="shared" si="17"/>
        <v>2024-1</v>
      </c>
    </row>
    <row r="345" spans="1:8" x14ac:dyDescent="0.25">
      <c r="A345" t="s">
        <v>26</v>
      </c>
      <c r="B345" t="s">
        <v>73</v>
      </c>
      <c r="C345" t="s">
        <v>256</v>
      </c>
      <c r="D345">
        <v>84247</v>
      </c>
      <c r="E345">
        <v>7</v>
      </c>
      <c r="F345">
        <f t="shared" si="15"/>
        <v>2024</v>
      </c>
      <c r="G345">
        <f t="shared" si="16"/>
        <v>1</v>
      </c>
      <c r="H345" t="str">
        <f t="shared" si="17"/>
        <v>2024-1</v>
      </c>
    </row>
    <row r="346" spans="1:8" x14ac:dyDescent="0.25">
      <c r="A346" t="s">
        <v>26</v>
      </c>
      <c r="B346" t="s">
        <v>257</v>
      </c>
      <c r="C346" t="s">
        <v>256</v>
      </c>
      <c r="D346">
        <v>13634</v>
      </c>
      <c r="E346">
        <v>6</v>
      </c>
      <c r="F346">
        <f t="shared" si="15"/>
        <v>2024</v>
      </c>
      <c r="G346">
        <f t="shared" si="16"/>
        <v>1</v>
      </c>
      <c r="H346" t="str">
        <f t="shared" si="17"/>
        <v>2024-1</v>
      </c>
    </row>
    <row r="347" spans="1:8" x14ac:dyDescent="0.25">
      <c r="A347" t="s">
        <v>5</v>
      </c>
      <c r="B347" t="s">
        <v>258</v>
      </c>
      <c r="C347" t="s">
        <v>256</v>
      </c>
      <c r="D347">
        <v>75623</v>
      </c>
      <c r="E347">
        <v>8</v>
      </c>
      <c r="F347">
        <f t="shared" si="15"/>
        <v>2024</v>
      </c>
      <c r="G347">
        <f t="shared" si="16"/>
        <v>1</v>
      </c>
      <c r="H347" t="str">
        <f t="shared" si="17"/>
        <v>2024-1</v>
      </c>
    </row>
    <row r="348" spans="1:8" x14ac:dyDescent="0.25">
      <c r="A348" t="s">
        <v>26</v>
      </c>
      <c r="B348" t="s">
        <v>193</v>
      </c>
      <c r="C348" t="s">
        <v>256</v>
      </c>
      <c r="D348">
        <v>64212</v>
      </c>
      <c r="E348">
        <v>7</v>
      </c>
      <c r="F348">
        <f t="shared" si="15"/>
        <v>2024</v>
      </c>
      <c r="G348">
        <f t="shared" si="16"/>
        <v>1</v>
      </c>
      <c r="H348" t="str">
        <f t="shared" si="17"/>
        <v>2024-1</v>
      </c>
    </row>
    <row r="349" spans="1:8" x14ac:dyDescent="0.25">
      <c r="A349" t="s">
        <v>5</v>
      </c>
      <c r="B349" t="s">
        <v>167</v>
      </c>
      <c r="C349" t="s">
        <v>256</v>
      </c>
      <c r="D349">
        <v>93264</v>
      </c>
      <c r="E349">
        <v>8</v>
      </c>
      <c r="F349">
        <f t="shared" si="15"/>
        <v>2024</v>
      </c>
      <c r="G349">
        <f t="shared" si="16"/>
        <v>1</v>
      </c>
      <c r="H349" t="str">
        <f t="shared" si="17"/>
        <v>2024-1</v>
      </c>
    </row>
    <row r="350" spans="1:8" x14ac:dyDescent="0.25">
      <c r="A350" t="s">
        <v>29</v>
      </c>
      <c r="B350" t="s">
        <v>187</v>
      </c>
      <c r="C350" t="s">
        <v>259</v>
      </c>
      <c r="D350">
        <v>62010</v>
      </c>
      <c r="E350">
        <v>0</v>
      </c>
      <c r="F350">
        <f t="shared" si="15"/>
        <v>2024</v>
      </c>
      <c r="G350">
        <f t="shared" si="16"/>
        <v>1</v>
      </c>
      <c r="H350" t="str">
        <f t="shared" si="17"/>
        <v>2024-1</v>
      </c>
    </row>
    <row r="351" spans="1:8" x14ac:dyDescent="0.25">
      <c r="A351" t="s">
        <v>11</v>
      </c>
      <c r="B351" t="s">
        <v>257</v>
      </c>
      <c r="C351" t="s">
        <v>260</v>
      </c>
      <c r="D351">
        <v>28868</v>
      </c>
      <c r="E351">
        <v>6</v>
      </c>
      <c r="F351">
        <f t="shared" si="15"/>
        <v>2024</v>
      </c>
      <c r="G351">
        <f t="shared" si="16"/>
        <v>1</v>
      </c>
      <c r="H351" t="str">
        <f t="shared" si="17"/>
        <v>2024-1</v>
      </c>
    </row>
    <row r="352" spans="1:8" x14ac:dyDescent="0.25">
      <c r="A352" t="s">
        <v>26</v>
      </c>
      <c r="B352" t="s">
        <v>190</v>
      </c>
      <c r="C352" t="s">
        <v>261</v>
      </c>
      <c r="D352">
        <v>39335</v>
      </c>
      <c r="E352">
        <v>2</v>
      </c>
      <c r="F352">
        <f t="shared" si="15"/>
        <v>2024</v>
      </c>
      <c r="G352">
        <f t="shared" si="16"/>
        <v>1</v>
      </c>
      <c r="H352" t="str">
        <f t="shared" si="17"/>
        <v>2024-1</v>
      </c>
    </row>
    <row r="353" spans="1:8" x14ac:dyDescent="0.25">
      <c r="A353" t="s">
        <v>21</v>
      </c>
      <c r="B353" t="s">
        <v>91</v>
      </c>
      <c r="C353" t="s">
        <v>261</v>
      </c>
      <c r="D353">
        <v>36872</v>
      </c>
      <c r="E353">
        <v>1</v>
      </c>
      <c r="F353">
        <f t="shared" si="15"/>
        <v>2024</v>
      </c>
      <c r="G353">
        <f t="shared" si="16"/>
        <v>1</v>
      </c>
      <c r="H353" t="str">
        <f t="shared" si="17"/>
        <v>2024-1</v>
      </c>
    </row>
    <row r="354" spans="1:8" x14ac:dyDescent="0.25">
      <c r="A354" t="s">
        <v>13</v>
      </c>
      <c r="B354" t="s">
        <v>85</v>
      </c>
      <c r="C354" t="s">
        <v>261</v>
      </c>
      <c r="D354">
        <v>95042</v>
      </c>
      <c r="E354">
        <v>7</v>
      </c>
      <c r="F354">
        <f t="shared" si="15"/>
        <v>2024</v>
      </c>
      <c r="G354">
        <f t="shared" si="16"/>
        <v>1</v>
      </c>
      <c r="H354" t="str">
        <f t="shared" si="17"/>
        <v>2024-1</v>
      </c>
    </row>
    <row r="355" spans="1:8" x14ac:dyDescent="0.25">
      <c r="A355" t="s">
        <v>13</v>
      </c>
      <c r="B355" t="s">
        <v>78</v>
      </c>
      <c r="C355" t="s">
        <v>262</v>
      </c>
      <c r="D355">
        <v>85922</v>
      </c>
      <c r="E355">
        <v>3</v>
      </c>
      <c r="F355">
        <f t="shared" si="15"/>
        <v>2024</v>
      </c>
      <c r="G355">
        <f t="shared" si="16"/>
        <v>1</v>
      </c>
      <c r="H355" t="str">
        <f t="shared" si="17"/>
        <v>2024-1</v>
      </c>
    </row>
    <row r="356" spans="1:8" x14ac:dyDescent="0.25">
      <c r="A356" t="s">
        <v>16</v>
      </c>
      <c r="B356" t="s">
        <v>129</v>
      </c>
      <c r="C356" t="s">
        <v>262</v>
      </c>
      <c r="D356">
        <v>49532</v>
      </c>
      <c r="E356">
        <v>6</v>
      </c>
      <c r="F356">
        <f t="shared" si="15"/>
        <v>2024</v>
      </c>
      <c r="G356">
        <f t="shared" si="16"/>
        <v>1</v>
      </c>
      <c r="H356" t="str">
        <f t="shared" si="17"/>
        <v>2024-1</v>
      </c>
    </row>
    <row r="357" spans="1:8" x14ac:dyDescent="0.25">
      <c r="A357" t="s">
        <v>19</v>
      </c>
      <c r="B357" t="s">
        <v>34</v>
      </c>
      <c r="C357" t="s">
        <v>262</v>
      </c>
      <c r="D357">
        <v>21605</v>
      </c>
      <c r="E357">
        <v>4</v>
      </c>
      <c r="F357">
        <f t="shared" si="15"/>
        <v>2024</v>
      </c>
      <c r="G357">
        <f t="shared" si="16"/>
        <v>1</v>
      </c>
      <c r="H357" t="str">
        <f t="shared" si="17"/>
        <v>2024-1</v>
      </c>
    </row>
    <row r="358" spans="1:8" x14ac:dyDescent="0.25">
      <c r="A358" t="s">
        <v>8</v>
      </c>
      <c r="B358" t="s">
        <v>106</v>
      </c>
      <c r="C358" t="s">
        <v>262</v>
      </c>
      <c r="D358">
        <v>90713</v>
      </c>
      <c r="E358">
        <v>7</v>
      </c>
      <c r="F358">
        <f t="shared" si="15"/>
        <v>2024</v>
      </c>
      <c r="G358">
        <f t="shared" si="16"/>
        <v>1</v>
      </c>
      <c r="H358" t="str">
        <f t="shared" si="17"/>
        <v>2024-1</v>
      </c>
    </row>
    <row r="359" spans="1:8" x14ac:dyDescent="0.25">
      <c r="A359" t="s">
        <v>19</v>
      </c>
      <c r="B359" t="s">
        <v>79</v>
      </c>
      <c r="C359" t="s">
        <v>262</v>
      </c>
      <c r="D359">
        <v>61271</v>
      </c>
      <c r="E359">
        <v>6</v>
      </c>
      <c r="F359">
        <f t="shared" si="15"/>
        <v>2024</v>
      </c>
      <c r="G359">
        <f t="shared" si="16"/>
        <v>1</v>
      </c>
      <c r="H359" t="str">
        <f t="shared" si="17"/>
        <v>2024-1</v>
      </c>
    </row>
    <row r="360" spans="1:8" x14ac:dyDescent="0.25">
      <c r="A360" t="s">
        <v>5</v>
      </c>
      <c r="B360" t="s">
        <v>257</v>
      </c>
      <c r="C360" t="s">
        <v>262</v>
      </c>
      <c r="D360">
        <v>82509</v>
      </c>
      <c r="E360">
        <v>4</v>
      </c>
      <c r="F360">
        <f t="shared" si="15"/>
        <v>2024</v>
      </c>
      <c r="G360">
        <f t="shared" si="16"/>
        <v>1</v>
      </c>
      <c r="H360" t="str">
        <f t="shared" si="17"/>
        <v>2024-1</v>
      </c>
    </row>
    <row r="361" spans="1:8" x14ac:dyDescent="0.25">
      <c r="A361" t="s">
        <v>38</v>
      </c>
      <c r="B361" t="s">
        <v>79</v>
      </c>
      <c r="C361" t="s">
        <v>262</v>
      </c>
      <c r="D361">
        <v>36740</v>
      </c>
      <c r="E361">
        <v>4</v>
      </c>
      <c r="F361">
        <f t="shared" si="15"/>
        <v>2024</v>
      </c>
      <c r="G361">
        <f t="shared" si="16"/>
        <v>1</v>
      </c>
      <c r="H361" t="str">
        <f t="shared" si="17"/>
        <v>2024-1</v>
      </c>
    </row>
    <row r="362" spans="1:8" x14ac:dyDescent="0.25">
      <c r="A362" t="s">
        <v>5</v>
      </c>
      <c r="B362" t="s">
        <v>33</v>
      </c>
      <c r="C362" t="s">
        <v>262</v>
      </c>
      <c r="D362">
        <v>83414</v>
      </c>
      <c r="E362">
        <v>5</v>
      </c>
      <c r="F362">
        <f t="shared" si="15"/>
        <v>2024</v>
      </c>
      <c r="G362">
        <f t="shared" si="16"/>
        <v>1</v>
      </c>
      <c r="H362" t="str">
        <f t="shared" si="17"/>
        <v>2024-1</v>
      </c>
    </row>
    <row r="363" spans="1:8" x14ac:dyDescent="0.25">
      <c r="A363" t="s">
        <v>21</v>
      </c>
      <c r="B363" t="s">
        <v>263</v>
      </c>
      <c r="C363" t="s">
        <v>262</v>
      </c>
      <c r="D363">
        <v>72088</v>
      </c>
      <c r="E363">
        <v>9</v>
      </c>
      <c r="F363">
        <f t="shared" si="15"/>
        <v>2024</v>
      </c>
      <c r="G363">
        <f t="shared" si="16"/>
        <v>1</v>
      </c>
      <c r="H363" t="str">
        <f t="shared" si="17"/>
        <v>2024-1</v>
      </c>
    </row>
    <row r="364" spans="1:8" x14ac:dyDescent="0.25">
      <c r="A364" t="s">
        <v>11</v>
      </c>
      <c r="B364" t="s">
        <v>34</v>
      </c>
      <c r="C364" t="s">
        <v>262</v>
      </c>
      <c r="D364">
        <v>37083</v>
      </c>
      <c r="E364">
        <v>7</v>
      </c>
      <c r="F364">
        <f t="shared" si="15"/>
        <v>2024</v>
      </c>
      <c r="G364">
        <f t="shared" si="16"/>
        <v>1</v>
      </c>
      <c r="H364" t="str">
        <f t="shared" si="17"/>
        <v>2024-1</v>
      </c>
    </row>
    <row r="365" spans="1:8" x14ac:dyDescent="0.25">
      <c r="A365" t="s">
        <v>55</v>
      </c>
      <c r="B365" t="s">
        <v>264</v>
      </c>
      <c r="C365" t="s">
        <v>262</v>
      </c>
      <c r="D365">
        <v>23389</v>
      </c>
      <c r="E365">
        <v>8</v>
      </c>
      <c r="F365">
        <f t="shared" si="15"/>
        <v>2024</v>
      </c>
      <c r="G365">
        <f t="shared" si="16"/>
        <v>1</v>
      </c>
      <c r="H365" t="str">
        <f t="shared" si="17"/>
        <v>2024-1</v>
      </c>
    </row>
    <row r="366" spans="1:8" x14ac:dyDescent="0.25">
      <c r="A366" t="s">
        <v>19</v>
      </c>
      <c r="B366" t="s">
        <v>265</v>
      </c>
      <c r="C366" t="s">
        <v>266</v>
      </c>
      <c r="D366">
        <v>71593</v>
      </c>
      <c r="E366">
        <v>4</v>
      </c>
      <c r="F366">
        <f t="shared" si="15"/>
        <v>2024</v>
      </c>
      <c r="G366">
        <f t="shared" si="16"/>
        <v>1</v>
      </c>
      <c r="H366" t="str">
        <f t="shared" si="17"/>
        <v>2024-1</v>
      </c>
    </row>
    <row r="367" spans="1:8" x14ac:dyDescent="0.25">
      <c r="A367" t="s">
        <v>11</v>
      </c>
      <c r="B367" t="s">
        <v>27</v>
      </c>
      <c r="C367" t="s">
        <v>266</v>
      </c>
      <c r="D367">
        <v>57786</v>
      </c>
      <c r="E367">
        <v>8</v>
      </c>
      <c r="F367">
        <f t="shared" si="15"/>
        <v>2024</v>
      </c>
      <c r="G367">
        <f t="shared" si="16"/>
        <v>1</v>
      </c>
      <c r="H367" t="str">
        <f t="shared" si="17"/>
        <v>2024-1</v>
      </c>
    </row>
    <row r="368" spans="1:8" x14ac:dyDescent="0.25">
      <c r="A368" t="s">
        <v>13</v>
      </c>
      <c r="B368" t="s">
        <v>6</v>
      </c>
      <c r="C368" t="s">
        <v>266</v>
      </c>
      <c r="D368">
        <v>59565</v>
      </c>
      <c r="E368">
        <v>7</v>
      </c>
      <c r="F368">
        <f t="shared" si="15"/>
        <v>2024</v>
      </c>
      <c r="G368">
        <f t="shared" si="16"/>
        <v>1</v>
      </c>
      <c r="H368" t="str">
        <f t="shared" si="17"/>
        <v>2024-1</v>
      </c>
    </row>
    <row r="369" spans="1:8" x14ac:dyDescent="0.25">
      <c r="A369" t="s">
        <v>11</v>
      </c>
      <c r="B369" t="s">
        <v>267</v>
      </c>
      <c r="C369" t="s">
        <v>268</v>
      </c>
      <c r="D369">
        <v>24171</v>
      </c>
      <c r="E369">
        <v>4</v>
      </c>
      <c r="F369">
        <f t="shared" si="15"/>
        <v>2024</v>
      </c>
      <c r="G369">
        <f t="shared" si="16"/>
        <v>1</v>
      </c>
      <c r="H369" t="str">
        <f t="shared" si="17"/>
        <v>2024-1</v>
      </c>
    </row>
    <row r="370" spans="1:8" x14ac:dyDescent="0.25">
      <c r="A370" t="s">
        <v>5</v>
      </c>
      <c r="B370" t="s">
        <v>269</v>
      </c>
      <c r="C370" t="s">
        <v>268</v>
      </c>
      <c r="D370">
        <v>48658</v>
      </c>
      <c r="E370">
        <v>6</v>
      </c>
      <c r="F370">
        <f t="shared" si="15"/>
        <v>2024</v>
      </c>
      <c r="G370">
        <f t="shared" si="16"/>
        <v>1</v>
      </c>
      <c r="H370" t="str">
        <f t="shared" si="17"/>
        <v>2024-1</v>
      </c>
    </row>
    <row r="371" spans="1:8" x14ac:dyDescent="0.25">
      <c r="A371" t="s">
        <v>26</v>
      </c>
      <c r="B371" t="s">
        <v>33</v>
      </c>
      <c r="C371" t="s">
        <v>268</v>
      </c>
      <c r="D371">
        <v>27757</v>
      </c>
      <c r="E371">
        <v>3</v>
      </c>
      <c r="F371">
        <f t="shared" si="15"/>
        <v>2024</v>
      </c>
      <c r="G371">
        <f t="shared" si="16"/>
        <v>1</v>
      </c>
      <c r="H371" t="str">
        <f t="shared" si="17"/>
        <v>2024-1</v>
      </c>
    </row>
    <row r="372" spans="1:8" x14ac:dyDescent="0.25">
      <c r="A372" t="s">
        <v>43</v>
      </c>
      <c r="B372" t="s">
        <v>187</v>
      </c>
      <c r="C372" t="s">
        <v>270</v>
      </c>
      <c r="D372">
        <v>25460</v>
      </c>
      <c r="E372">
        <v>2</v>
      </c>
      <c r="F372">
        <f t="shared" si="15"/>
        <v>2024</v>
      </c>
      <c r="G372">
        <f t="shared" si="16"/>
        <v>1</v>
      </c>
      <c r="H372" t="str">
        <f t="shared" si="17"/>
        <v>2024-1</v>
      </c>
    </row>
    <row r="373" spans="1:8" x14ac:dyDescent="0.25">
      <c r="A373" t="s">
        <v>29</v>
      </c>
      <c r="B373" t="s">
        <v>181</v>
      </c>
      <c r="C373" t="s">
        <v>271</v>
      </c>
      <c r="D373">
        <v>45526</v>
      </c>
      <c r="E373">
        <v>6</v>
      </c>
      <c r="F373">
        <f t="shared" si="15"/>
        <v>2024</v>
      </c>
      <c r="G373">
        <f t="shared" si="16"/>
        <v>1</v>
      </c>
      <c r="H373" t="str">
        <f t="shared" si="17"/>
        <v>2024-1</v>
      </c>
    </row>
    <row r="374" spans="1:8" x14ac:dyDescent="0.25">
      <c r="A374" t="s">
        <v>13</v>
      </c>
      <c r="B374" t="s">
        <v>272</v>
      </c>
      <c r="C374" t="s">
        <v>271</v>
      </c>
      <c r="D374">
        <v>17542</v>
      </c>
      <c r="E374">
        <v>4</v>
      </c>
      <c r="F374">
        <f t="shared" si="15"/>
        <v>2024</v>
      </c>
      <c r="G374">
        <f t="shared" si="16"/>
        <v>1</v>
      </c>
      <c r="H374" t="str">
        <f t="shared" si="17"/>
        <v>2024-1</v>
      </c>
    </row>
    <row r="375" spans="1:8" x14ac:dyDescent="0.25">
      <c r="A375" t="s">
        <v>16</v>
      </c>
      <c r="B375" t="s">
        <v>139</v>
      </c>
      <c r="C375" t="s">
        <v>271</v>
      </c>
      <c r="D375">
        <v>81183</v>
      </c>
      <c r="E375">
        <v>6</v>
      </c>
      <c r="F375">
        <f t="shared" si="15"/>
        <v>2024</v>
      </c>
      <c r="G375">
        <f t="shared" si="16"/>
        <v>1</v>
      </c>
      <c r="H375" t="str">
        <f t="shared" si="17"/>
        <v>2024-1</v>
      </c>
    </row>
    <row r="376" spans="1:8" x14ac:dyDescent="0.25">
      <c r="A376" t="s">
        <v>38</v>
      </c>
      <c r="B376" t="s">
        <v>127</v>
      </c>
      <c r="C376" t="s">
        <v>271</v>
      </c>
      <c r="D376">
        <v>12143</v>
      </c>
      <c r="E376">
        <v>9</v>
      </c>
      <c r="F376">
        <f t="shared" si="15"/>
        <v>2024</v>
      </c>
      <c r="G376">
        <f t="shared" si="16"/>
        <v>1</v>
      </c>
      <c r="H376" t="str">
        <f t="shared" si="17"/>
        <v>2024-1</v>
      </c>
    </row>
    <row r="377" spans="1:8" x14ac:dyDescent="0.25">
      <c r="A377" t="s">
        <v>29</v>
      </c>
      <c r="B377" t="s">
        <v>47</v>
      </c>
      <c r="C377" t="s">
        <v>271</v>
      </c>
      <c r="D377">
        <v>50934</v>
      </c>
      <c r="E377">
        <v>2</v>
      </c>
      <c r="F377">
        <f t="shared" si="15"/>
        <v>2024</v>
      </c>
      <c r="G377">
        <f t="shared" si="16"/>
        <v>1</v>
      </c>
      <c r="H377" t="str">
        <f t="shared" si="17"/>
        <v>2024-1</v>
      </c>
    </row>
    <row r="378" spans="1:8" x14ac:dyDescent="0.25">
      <c r="A378" t="s">
        <v>21</v>
      </c>
      <c r="B378" t="s">
        <v>114</v>
      </c>
      <c r="C378" t="s">
        <v>273</v>
      </c>
      <c r="D378">
        <v>45656</v>
      </c>
      <c r="E378">
        <v>8</v>
      </c>
      <c r="F378">
        <f t="shared" si="15"/>
        <v>2024</v>
      </c>
      <c r="G378">
        <f t="shared" si="16"/>
        <v>1</v>
      </c>
      <c r="H378" t="str">
        <f t="shared" si="17"/>
        <v>2024-1</v>
      </c>
    </row>
    <row r="379" spans="1:8" x14ac:dyDescent="0.25">
      <c r="A379" t="s">
        <v>26</v>
      </c>
      <c r="B379" t="s">
        <v>93</v>
      </c>
      <c r="C379" t="s">
        <v>273</v>
      </c>
      <c r="D379">
        <v>70390</v>
      </c>
      <c r="E379">
        <v>5</v>
      </c>
      <c r="F379">
        <f t="shared" si="15"/>
        <v>2024</v>
      </c>
      <c r="G379">
        <f t="shared" si="16"/>
        <v>1</v>
      </c>
      <c r="H379" t="str">
        <f t="shared" si="17"/>
        <v>2024-1</v>
      </c>
    </row>
    <row r="380" spans="1:8" x14ac:dyDescent="0.25">
      <c r="A380" t="s">
        <v>8</v>
      </c>
      <c r="B380" t="s">
        <v>274</v>
      </c>
      <c r="C380" t="s">
        <v>273</v>
      </c>
      <c r="D380">
        <v>66881</v>
      </c>
      <c r="E380">
        <v>7</v>
      </c>
      <c r="F380">
        <f t="shared" si="15"/>
        <v>2024</v>
      </c>
      <c r="G380">
        <f t="shared" si="16"/>
        <v>1</v>
      </c>
      <c r="H380" t="str">
        <f t="shared" si="17"/>
        <v>2024-1</v>
      </c>
    </row>
    <row r="381" spans="1:8" x14ac:dyDescent="0.25">
      <c r="A381" t="s">
        <v>38</v>
      </c>
      <c r="B381" t="s">
        <v>206</v>
      </c>
      <c r="C381" t="s">
        <v>273</v>
      </c>
      <c r="D381">
        <v>35445</v>
      </c>
      <c r="E381">
        <v>0</v>
      </c>
      <c r="F381">
        <f t="shared" si="15"/>
        <v>2024</v>
      </c>
      <c r="G381">
        <f t="shared" si="16"/>
        <v>1</v>
      </c>
      <c r="H381" t="str">
        <f t="shared" si="17"/>
        <v>2024-1</v>
      </c>
    </row>
    <row r="382" spans="1:8" x14ac:dyDescent="0.25">
      <c r="A382" t="s">
        <v>11</v>
      </c>
      <c r="B382" t="s">
        <v>275</v>
      </c>
      <c r="C382" t="s">
        <v>273</v>
      </c>
      <c r="D382">
        <v>20514</v>
      </c>
      <c r="E382">
        <v>8</v>
      </c>
      <c r="F382">
        <f t="shared" si="15"/>
        <v>2024</v>
      </c>
      <c r="G382">
        <f t="shared" si="16"/>
        <v>1</v>
      </c>
      <c r="H382" t="str">
        <f t="shared" si="17"/>
        <v>2024-1</v>
      </c>
    </row>
    <row r="383" spans="1:8" x14ac:dyDescent="0.25">
      <c r="A383" t="s">
        <v>5</v>
      </c>
      <c r="B383" t="s">
        <v>88</v>
      </c>
      <c r="C383" t="s">
        <v>273</v>
      </c>
      <c r="D383">
        <v>41627</v>
      </c>
      <c r="E383">
        <v>4</v>
      </c>
      <c r="F383">
        <f t="shared" si="15"/>
        <v>2024</v>
      </c>
      <c r="G383">
        <f t="shared" si="16"/>
        <v>1</v>
      </c>
      <c r="H383" t="str">
        <f t="shared" si="17"/>
        <v>2024-1</v>
      </c>
    </row>
    <row r="384" spans="1:8" x14ac:dyDescent="0.25">
      <c r="A384" t="s">
        <v>5</v>
      </c>
      <c r="B384" t="s">
        <v>276</v>
      </c>
      <c r="C384" t="s">
        <v>273</v>
      </c>
      <c r="D384">
        <v>17306</v>
      </c>
      <c r="E384">
        <v>4</v>
      </c>
      <c r="F384">
        <f t="shared" si="15"/>
        <v>2024</v>
      </c>
      <c r="G384">
        <f t="shared" si="16"/>
        <v>1</v>
      </c>
      <c r="H384" t="str">
        <f t="shared" si="17"/>
        <v>2024-1</v>
      </c>
    </row>
    <row r="385" spans="1:8" x14ac:dyDescent="0.25">
      <c r="A385" t="s">
        <v>21</v>
      </c>
      <c r="B385" t="s">
        <v>73</v>
      </c>
      <c r="C385" t="s">
        <v>273</v>
      </c>
      <c r="D385">
        <v>28990</v>
      </c>
      <c r="E385">
        <v>7</v>
      </c>
      <c r="F385">
        <f t="shared" si="15"/>
        <v>2024</v>
      </c>
      <c r="G385">
        <f t="shared" si="16"/>
        <v>1</v>
      </c>
      <c r="H385" t="str">
        <f t="shared" si="17"/>
        <v>2024-1</v>
      </c>
    </row>
    <row r="386" spans="1:8" x14ac:dyDescent="0.25">
      <c r="A386" t="s">
        <v>26</v>
      </c>
      <c r="B386" t="s">
        <v>91</v>
      </c>
      <c r="C386" t="s">
        <v>273</v>
      </c>
      <c r="D386">
        <v>60610</v>
      </c>
      <c r="E386">
        <v>4</v>
      </c>
      <c r="F386">
        <f t="shared" si="15"/>
        <v>2024</v>
      </c>
      <c r="G386">
        <f t="shared" si="16"/>
        <v>1</v>
      </c>
      <c r="H386" t="str">
        <f t="shared" si="17"/>
        <v>2024-1</v>
      </c>
    </row>
    <row r="387" spans="1:8" x14ac:dyDescent="0.25">
      <c r="A387" t="s">
        <v>38</v>
      </c>
      <c r="B387" t="s">
        <v>215</v>
      </c>
      <c r="C387" t="s">
        <v>273</v>
      </c>
      <c r="D387">
        <v>72161</v>
      </c>
      <c r="E387">
        <v>4</v>
      </c>
      <c r="F387">
        <f t="shared" ref="F387:F450" si="18">YEAR(C387)</f>
        <v>2024</v>
      </c>
      <c r="G387">
        <f t="shared" ref="G387:G450" si="19">MONTH(C387)</f>
        <v>1</v>
      </c>
      <c r="H387" t="str">
        <f t="shared" ref="H387:H450" si="20">F387&amp;"-"&amp;G387</f>
        <v>2024-1</v>
      </c>
    </row>
    <row r="388" spans="1:8" x14ac:dyDescent="0.25">
      <c r="A388" t="s">
        <v>16</v>
      </c>
      <c r="B388" t="s">
        <v>82</v>
      </c>
      <c r="C388" t="s">
        <v>273</v>
      </c>
      <c r="D388">
        <v>87892</v>
      </c>
      <c r="E388">
        <v>8</v>
      </c>
      <c r="F388">
        <f t="shared" si="18"/>
        <v>2024</v>
      </c>
      <c r="G388">
        <f t="shared" si="19"/>
        <v>1</v>
      </c>
      <c r="H388" t="str">
        <f t="shared" si="20"/>
        <v>2024-1</v>
      </c>
    </row>
    <row r="389" spans="1:8" x14ac:dyDescent="0.25">
      <c r="A389" t="s">
        <v>38</v>
      </c>
      <c r="B389" t="s">
        <v>153</v>
      </c>
      <c r="C389" t="s">
        <v>273</v>
      </c>
      <c r="D389">
        <v>23493</v>
      </c>
      <c r="E389">
        <v>5</v>
      </c>
      <c r="F389">
        <f t="shared" si="18"/>
        <v>2024</v>
      </c>
      <c r="G389">
        <f t="shared" si="19"/>
        <v>1</v>
      </c>
      <c r="H389" t="str">
        <f t="shared" si="20"/>
        <v>2024-1</v>
      </c>
    </row>
    <row r="390" spans="1:8" x14ac:dyDescent="0.25">
      <c r="A390" t="s">
        <v>16</v>
      </c>
      <c r="B390" t="s">
        <v>131</v>
      </c>
      <c r="C390" t="s">
        <v>273</v>
      </c>
      <c r="D390">
        <v>43709</v>
      </c>
      <c r="E390">
        <v>1</v>
      </c>
      <c r="F390">
        <f t="shared" si="18"/>
        <v>2024</v>
      </c>
      <c r="G390">
        <f t="shared" si="19"/>
        <v>1</v>
      </c>
      <c r="H390" t="str">
        <f t="shared" si="20"/>
        <v>2024-1</v>
      </c>
    </row>
    <row r="391" spans="1:8" x14ac:dyDescent="0.25">
      <c r="A391" t="s">
        <v>13</v>
      </c>
      <c r="B391" t="s">
        <v>216</v>
      </c>
      <c r="C391" t="s">
        <v>277</v>
      </c>
      <c r="D391">
        <v>95886</v>
      </c>
      <c r="E391">
        <v>9</v>
      </c>
      <c r="F391">
        <f t="shared" si="18"/>
        <v>2024</v>
      </c>
      <c r="G391">
        <f t="shared" si="19"/>
        <v>1</v>
      </c>
      <c r="H391" t="str">
        <f t="shared" si="20"/>
        <v>2024-1</v>
      </c>
    </row>
    <row r="392" spans="1:8" x14ac:dyDescent="0.25">
      <c r="A392" t="s">
        <v>29</v>
      </c>
      <c r="B392" t="s">
        <v>151</v>
      </c>
      <c r="C392" t="s">
        <v>277</v>
      </c>
      <c r="D392">
        <v>48276</v>
      </c>
      <c r="E392">
        <v>6</v>
      </c>
      <c r="F392">
        <f t="shared" si="18"/>
        <v>2024</v>
      </c>
      <c r="G392">
        <f t="shared" si="19"/>
        <v>1</v>
      </c>
      <c r="H392" t="str">
        <f t="shared" si="20"/>
        <v>2024-1</v>
      </c>
    </row>
    <row r="393" spans="1:8" x14ac:dyDescent="0.25">
      <c r="A393" t="s">
        <v>19</v>
      </c>
      <c r="B393" t="s">
        <v>57</v>
      </c>
      <c r="C393" t="s">
        <v>277</v>
      </c>
      <c r="D393">
        <v>50637</v>
      </c>
      <c r="E393">
        <v>7</v>
      </c>
      <c r="F393">
        <f t="shared" si="18"/>
        <v>2024</v>
      </c>
      <c r="G393">
        <f t="shared" si="19"/>
        <v>1</v>
      </c>
      <c r="H393" t="str">
        <f t="shared" si="20"/>
        <v>2024-1</v>
      </c>
    </row>
    <row r="394" spans="1:8" x14ac:dyDescent="0.25">
      <c r="A394" t="s">
        <v>13</v>
      </c>
      <c r="B394" t="s">
        <v>25</v>
      </c>
      <c r="C394" t="s">
        <v>277</v>
      </c>
      <c r="D394">
        <v>33701</v>
      </c>
      <c r="E394">
        <v>6</v>
      </c>
      <c r="F394">
        <f t="shared" si="18"/>
        <v>2024</v>
      </c>
      <c r="G394">
        <f t="shared" si="19"/>
        <v>1</v>
      </c>
      <c r="H394" t="str">
        <f t="shared" si="20"/>
        <v>2024-1</v>
      </c>
    </row>
    <row r="395" spans="1:8" x14ac:dyDescent="0.25">
      <c r="A395" t="s">
        <v>5</v>
      </c>
      <c r="B395" t="s">
        <v>278</v>
      </c>
      <c r="C395" t="s">
        <v>277</v>
      </c>
      <c r="D395">
        <v>89547</v>
      </c>
      <c r="E395">
        <v>1</v>
      </c>
      <c r="F395">
        <f t="shared" si="18"/>
        <v>2024</v>
      </c>
      <c r="G395">
        <f t="shared" si="19"/>
        <v>1</v>
      </c>
      <c r="H395" t="str">
        <f t="shared" si="20"/>
        <v>2024-1</v>
      </c>
    </row>
    <row r="396" spans="1:8" x14ac:dyDescent="0.25">
      <c r="A396" t="s">
        <v>11</v>
      </c>
      <c r="B396" t="s">
        <v>76</v>
      </c>
      <c r="C396" t="s">
        <v>279</v>
      </c>
      <c r="D396">
        <v>34071</v>
      </c>
      <c r="E396">
        <v>7</v>
      </c>
      <c r="F396">
        <f t="shared" si="18"/>
        <v>2024</v>
      </c>
      <c r="G396">
        <f t="shared" si="19"/>
        <v>1</v>
      </c>
      <c r="H396" t="str">
        <f t="shared" si="20"/>
        <v>2024-1</v>
      </c>
    </row>
    <row r="397" spans="1:8" x14ac:dyDescent="0.25">
      <c r="A397" t="s">
        <v>43</v>
      </c>
      <c r="B397" t="s">
        <v>85</v>
      </c>
      <c r="C397" t="s">
        <v>279</v>
      </c>
      <c r="D397">
        <v>24425</v>
      </c>
      <c r="E397">
        <v>9</v>
      </c>
      <c r="F397">
        <f t="shared" si="18"/>
        <v>2024</v>
      </c>
      <c r="G397">
        <f t="shared" si="19"/>
        <v>1</v>
      </c>
      <c r="H397" t="str">
        <f t="shared" si="20"/>
        <v>2024-1</v>
      </c>
    </row>
    <row r="398" spans="1:8" x14ac:dyDescent="0.25">
      <c r="A398" t="s">
        <v>21</v>
      </c>
      <c r="B398" t="s">
        <v>202</v>
      </c>
      <c r="C398" t="s">
        <v>279</v>
      </c>
      <c r="D398">
        <v>14013</v>
      </c>
      <c r="E398">
        <v>6</v>
      </c>
      <c r="F398">
        <f t="shared" si="18"/>
        <v>2024</v>
      </c>
      <c r="G398">
        <f t="shared" si="19"/>
        <v>1</v>
      </c>
      <c r="H398" t="str">
        <f t="shared" si="20"/>
        <v>2024-1</v>
      </c>
    </row>
    <row r="399" spans="1:8" x14ac:dyDescent="0.25">
      <c r="A399" t="s">
        <v>43</v>
      </c>
      <c r="B399" t="s">
        <v>100</v>
      </c>
      <c r="C399" t="s">
        <v>280</v>
      </c>
      <c r="D399">
        <v>46251</v>
      </c>
      <c r="E399">
        <v>2</v>
      </c>
      <c r="F399">
        <f t="shared" si="18"/>
        <v>2024</v>
      </c>
      <c r="G399">
        <f t="shared" si="19"/>
        <v>1</v>
      </c>
      <c r="H399" t="str">
        <f t="shared" si="20"/>
        <v>2024-1</v>
      </c>
    </row>
    <row r="400" spans="1:8" x14ac:dyDescent="0.25">
      <c r="A400" t="s">
        <v>11</v>
      </c>
      <c r="B400" t="s">
        <v>96</v>
      </c>
      <c r="C400" t="s">
        <v>281</v>
      </c>
      <c r="D400">
        <v>16063</v>
      </c>
      <c r="E400">
        <v>4</v>
      </c>
      <c r="F400">
        <f t="shared" si="18"/>
        <v>2024</v>
      </c>
      <c r="G400">
        <f t="shared" si="19"/>
        <v>1</v>
      </c>
      <c r="H400" t="str">
        <f t="shared" si="20"/>
        <v>2024-1</v>
      </c>
    </row>
    <row r="401" spans="1:8" x14ac:dyDescent="0.25">
      <c r="A401" t="s">
        <v>43</v>
      </c>
      <c r="B401" t="s">
        <v>258</v>
      </c>
      <c r="C401" t="s">
        <v>282</v>
      </c>
      <c r="D401">
        <v>35536</v>
      </c>
      <c r="E401">
        <v>8</v>
      </c>
      <c r="F401">
        <f t="shared" si="18"/>
        <v>2024</v>
      </c>
      <c r="G401">
        <f t="shared" si="19"/>
        <v>1</v>
      </c>
      <c r="H401" t="str">
        <f t="shared" si="20"/>
        <v>2024-1</v>
      </c>
    </row>
    <row r="402" spans="1:8" x14ac:dyDescent="0.25">
      <c r="A402" t="s">
        <v>55</v>
      </c>
      <c r="B402" t="s">
        <v>283</v>
      </c>
      <c r="C402" t="s">
        <v>282</v>
      </c>
      <c r="D402">
        <v>99695</v>
      </c>
      <c r="E402">
        <v>7</v>
      </c>
      <c r="F402">
        <f t="shared" si="18"/>
        <v>2024</v>
      </c>
      <c r="G402">
        <f t="shared" si="19"/>
        <v>1</v>
      </c>
      <c r="H402" t="str">
        <f t="shared" si="20"/>
        <v>2024-1</v>
      </c>
    </row>
    <row r="403" spans="1:8" x14ac:dyDescent="0.25">
      <c r="A403" t="s">
        <v>21</v>
      </c>
      <c r="B403" t="s">
        <v>12</v>
      </c>
      <c r="C403" t="s">
        <v>282</v>
      </c>
      <c r="D403">
        <v>52042</v>
      </c>
      <c r="E403">
        <v>10</v>
      </c>
      <c r="F403">
        <f t="shared" si="18"/>
        <v>2024</v>
      </c>
      <c r="G403">
        <f t="shared" si="19"/>
        <v>1</v>
      </c>
      <c r="H403" t="str">
        <f t="shared" si="20"/>
        <v>2024-1</v>
      </c>
    </row>
    <row r="404" spans="1:8" x14ac:dyDescent="0.25">
      <c r="A404" t="s">
        <v>21</v>
      </c>
      <c r="B404" t="s">
        <v>184</v>
      </c>
      <c r="C404" t="s">
        <v>282</v>
      </c>
      <c r="D404">
        <v>39022</v>
      </c>
      <c r="E404">
        <v>0</v>
      </c>
      <c r="F404">
        <f t="shared" si="18"/>
        <v>2024</v>
      </c>
      <c r="G404">
        <f t="shared" si="19"/>
        <v>1</v>
      </c>
      <c r="H404" t="str">
        <f t="shared" si="20"/>
        <v>2024-1</v>
      </c>
    </row>
    <row r="405" spans="1:8" x14ac:dyDescent="0.25">
      <c r="A405" t="s">
        <v>16</v>
      </c>
      <c r="B405" t="s">
        <v>187</v>
      </c>
      <c r="C405" t="s">
        <v>282</v>
      </c>
      <c r="D405">
        <v>56600</v>
      </c>
      <c r="E405">
        <v>6</v>
      </c>
      <c r="F405">
        <f t="shared" si="18"/>
        <v>2024</v>
      </c>
      <c r="G405">
        <f t="shared" si="19"/>
        <v>1</v>
      </c>
      <c r="H405" t="str">
        <f t="shared" si="20"/>
        <v>2024-1</v>
      </c>
    </row>
    <row r="406" spans="1:8" x14ac:dyDescent="0.25">
      <c r="A406" t="s">
        <v>8</v>
      </c>
      <c r="B406" t="s">
        <v>79</v>
      </c>
      <c r="C406" t="s">
        <v>282</v>
      </c>
      <c r="D406">
        <v>38663</v>
      </c>
      <c r="E406">
        <v>1</v>
      </c>
      <c r="F406">
        <f t="shared" si="18"/>
        <v>2024</v>
      </c>
      <c r="G406">
        <f t="shared" si="19"/>
        <v>1</v>
      </c>
      <c r="H406" t="str">
        <f t="shared" si="20"/>
        <v>2024-1</v>
      </c>
    </row>
    <row r="407" spans="1:8" x14ac:dyDescent="0.25">
      <c r="A407" t="s">
        <v>38</v>
      </c>
      <c r="B407" t="s">
        <v>188</v>
      </c>
      <c r="C407" t="s">
        <v>282</v>
      </c>
      <c r="D407">
        <v>18441</v>
      </c>
      <c r="E407">
        <v>4</v>
      </c>
      <c r="F407">
        <f t="shared" si="18"/>
        <v>2024</v>
      </c>
      <c r="G407">
        <f t="shared" si="19"/>
        <v>1</v>
      </c>
      <c r="H407" t="str">
        <f t="shared" si="20"/>
        <v>2024-1</v>
      </c>
    </row>
    <row r="408" spans="1:8" x14ac:dyDescent="0.25">
      <c r="A408" t="s">
        <v>19</v>
      </c>
      <c r="B408" t="s">
        <v>167</v>
      </c>
      <c r="C408" t="s">
        <v>282</v>
      </c>
      <c r="D408">
        <v>35739</v>
      </c>
      <c r="E408">
        <v>7</v>
      </c>
      <c r="F408">
        <f t="shared" si="18"/>
        <v>2024</v>
      </c>
      <c r="G408">
        <f t="shared" si="19"/>
        <v>1</v>
      </c>
      <c r="H408" t="str">
        <f t="shared" si="20"/>
        <v>2024-1</v>
      </c>
    </row>
    <row r="409" spans="1:8" x14ac:dyDescent="0.25">
      <c r="A409" t="s">
        <v>29</v>
      </c>
      <c r="B409" t="s">
        <v>144</v>
      </c>
      <c r="C409" t="s">
        <v>282</v>
      </c>
      <c r="D409">
        <v>40236</v>
      </c>
      <c r="E409">
        <v>8</v>
      </c>
      <c r="F409">
        <f t="shared" si="18"/>
        <v>2024</v>
      </c>
      <c r="G409">
        <f t="shared" si="19"/>
        <v>1</v>
      </c>
      <c r="H409" t="str">
        <f t="shared" si="20"/>
        <v>2024-1</v>
      </c>
    </row>
    <row r="410" spans="1:8" x14ac:dyDescent="0.25">
      <c r="A410" t="s">
        <v>21</v>
      </c>
      <c r="B410" t="s">
        <v>258</v>
      </c>
      <c r="C410" t="s">
        <v>282</v>
      </c>
      <c r="D410">
        <v>55135</v>
      </c>
      <c r="E410">
        <v>3</v>
      </c>
      <c r="F410">
        <f t="shared" si="18"/>
        <v>2024</v>
      </c>
      <c r="G410">
        <f t="shared" si="19"/>
        <v>1</v>
      </c>
      <c r="H410" t="str">
        <f t="shared" si="20"/>
        <v>2024-1</v>
      </c>
    </row>
    <row r="411" spans="1:8" x14ac:dyDescent="0.25">
      <c r="A411" t="s">
        <v>38</v>
      </c>
      <c r="B411" t="s">
        <v>97</v>
      </c>
      <c r="C411" t="s">
        <v>282</v>
      </c>
      <c r="D411">
        <v>46244</v>
      </c>
      <c r="E411">
        <v>10</v>
      </c>
      <c r="F411">
        <f t="shared" si="18"/>
        <v>2024</v>
      </c>
      <c r="G411">
        <f t="shared" si="19"/>
        <v>1</v>
      </c>
      <c r="H411" t="str">
        <f t="shared" si="20"/>
        <v>2024-1</v>
      </c>
    </row>
    <row r="412" spans="1:8" x14ac:dyDescent="0.25">
      <c r="A412" t="s">
        <v>8</v>
      </c>
      <c r="B412" t="s">
        <v>71</v>
      </c>
      <c r="C412" t="s">
        <v>282</v>
      </c>
      <c r="D412">
        <v>34754</v>
      </c>
      <c r="E412">
        <v>2</v>
      </c>
      <c r="F412">
        <f t="shared" si="18"/>
        <v>2024</v>
      </c>
      <c r="G412">
        <f t="shared" si="19"/>
        <v>1</v>
      </c>
      <c r="H412" t="str">
        <f t="shared" si="20"/>
        <v>2024-1</v>
      </c>
    </row>
    <row r="413" spans="1:8" x14ac:dyDescent="0.25">
      <c r="A413" t="s">
        <v>43</v>
      </c>
      <c r="B413" t="s">
        <v>165</v>
      </c>
      <c r="C413" t="s">
        <v>284</v>
      </c>
      <c r="D413">
        <v>37931</v>
      </c>
      <c r="E413">
        <v>4</v>
      </c>
      <c r="F413">
        <f t="shared" si="18"/>
        <v>2024</v>
      </c>
      <c r="G413">
        <f t="shared" si="19"/>
        <v>1</v>
      </c>
      <c r="H413" t="str">
        <f t="shared" si="20"/>
        <v>2024-1</v>
      </c>
    </row>
    <row r="414" spans="1:8" x14ac:dyDescent="0.25">
      <c r="A414" t="s">
        <v>5</v>
      </c>
      <c r="B414" t="s">
        <v>71</v>
      </c>
      <c r="C414" t="s">
        <v>284</v>
      </c>
      <c r="D414">
        <v>12714</v>
      </c>
      <c r="E414">
        <v>6</v>
      </c>
      <c r="F414">
        <f t="shared" si="18"/>
        <v>2024</v>
      </c>
      <c r="G414">
        <f t="shared" si="19"/>
        <v>1</v>
      </c>
      <c r="H414" t="str">
        <f t="shared" si="20"/>
        <v>2024-1</v>
      </c>
    </row>
    <row r="415" spans="1:8" x14ac:dyDescent="0.25">
      <c r="A415" t="s">
        <v>19</v>
      </c>
      <c r="B415" t="s">
        <v>209</v>
      </c>
      <c r="C415" t="s">
        <v>284</v>
      </c>
      <c r="D415">
        <v>21713</v>
      </c>
      <c r="E415">
        <v>8</v>
      </c>
      <c r="F415">
        <f t="shared" si="18"/>
        <v>2024</v>
      </c>
      <c r="G415">
        <f t="shared" si="19"/>
        <v>1</v>
      </c>
      <c r="H415" t="str">
        <f t="shared" si="20"/>
        <v>2024-1</v>
      </c>
    </row>
    <row r="416" spans="1:8" x14ac:dyDescent="0.25">
      <c r="A416" t="s">
        <v>38</v>
      </c>
      <c r="B416" t="s">
        <v>172</v>
      </c>
      <c r="C416" t="s">
        <v>284</v>
      </c>
      <c r="D416">
        <v>79421</v>
      </c>
      <c r="E416">
        <v>9</v>
      </c>
      <c r="F416">
        <f t="shared" si="18"/>
        <v>2024</v>
      </c>
      <c r="G416">
        <f t="shared" si="19"/>
        <v>1</v>
      </c>
      <c r="H416" t="str">
        <f t="shared" si="20"/>
        <v>2024-1</v>
      </c>
    </row>
    <row r="417" spans="1:8" x14ac:dyDescent="0.25">
      <c r="A417" t="s">
        <v>19</v>
      </c>
      <c r="B417" t="s">
        <v>49</v>
      </c>
      <c r="C417" t="s">
        <v>285</v>
      </c>
      <c r="D417">
        <v>65707</v>
      </c>
      <c r="E417">
        <v>7</v>
      </c>
      <c r="F417">
        <f t="shared" si="18"/>
        <v>2024</v>
      </c>
      <c r="G417">
        <f t="shared" si="19"/>
        <v>1</v>
      </c>
      <c r="H417" t="str">
        <f t="shared" si="20"/>
        <v>2024-1</v>
      </c>
    </row>
    <row r="418" spans="1:8" x14ac:dyDescent="0.25">
      <c r="A418" t="s">
        <v>8</v>
      </c>
      <c r="B418" t="s">
        <v>92</v>
      </c>
      <c r="C418" t="s">
        <v>285</v>
      </c>
      <c r="D418">
        <v>72534</v>
      </c>
      <c r="E418">
        <v>9</v>
      </c>
      <c r="F418">
        <f t="shared" si="18"/>
        <v>2024</v>
      </c>
      <c r="G418">
        <f t="shared" si="19"/>
        <v>1</v>
      </c>
      <c r="H418" t="str">
        <f t="shared" si="20"/>
        <v>2024-1</v>
      </c>
    </row>
    <row r="419" spans="1:8" x14ac:dyDescent="0.25">
      <c r="A419" t="s">
        <v>8</v>
      </c>
      <c r="B419" t="s">
        <v>74</v>
      </c>
      <c r="C419" t="s">
        <v>285</v>
      </c>
      <c r="D419">
        <v>72322</v>
      </c>
      <c r="E419">
        <v>8</v>
      </c>
      <c r="F419">
        <f t="shared" si="18"/>
        <v>2024</v>
      </c>
      <c r="G419">
        <f t="shared" si="19"/>
        <v>1</v>
      </c>
      <c r="H419" t="str">
        <f t="shared" si="20"/>
        <v>2024-1</v>
      </c>
    </row>
    <row r="420" spans="1:8" x14ac:dyDescent="0.25">
      <c r="A420" t="s">
        <v>16</v>
      </c>
      <c r="B420" t="s">
        <v>217</v>
      </c>
      <c r="C420" t="s">
        <v>285</v>
      </c>
      <c r="D420">
        <v>24228</v>
      </c>
      <c r="E420">
        <v>9</v>
      </c>
      <c r="F420">
        <f t="shared" si="18"/>
        <v>2024</v>
      </c>
      <c r="G420">
        <f t="shared" si="19"/>
        <v>1</v>
      </c>
      <c r="H420" t="str">
        <f t="shared" si="20"/>
        <v>2024-1</v>
      </c>
    </row>
    <row r="421" spans="1:8" x14ac:dyDescent="0.25">
      <c r="A421" t="s">
        <v>13</v>
      </c>
      <c r="B421" t="s">
        <v>187</v>
      </c>
      <c r="C421" t="s">
        <v>286</v>
      </c>
      <c r="D421">
        <v>86176</v>
      </c>
      <c r="E421">
        <v>6</v>
      </c>
      <c r="F421">
        <f t="shared" si="18"/>
        <v>2024</v>
      </c>
      <c r="G421">
        <f t="shared" si="19"/>
        <v>2</v>
      </c>
      <c r="H421" t="str">
        <f t="shared" si="20"/>
        <v>2024-2</v>
      </c>
    </row>
    <row r="422" spans="1:8" x14ac:dyDescent="0.25">
      <c r="A422" t="s">
        <v>19</v>
      </c>
      <c r="B422" t="s">
        <v>28</v>
      </c>
      <c r="C422" t="s">
        <v>286</v>
      </c>
      <c r="D422">
        <v>91852</v>
      </c>
      <c r="E422">
        <v>7</v>
      </c>
      <c r="F422">
        <f t="shared" si="18"/>
        <v>2024</v>
      </c>
      <c r="G422">
        <f t="shared" si="19"/>
        <v>2</v>
      </c>
      <c r="H422" t="str">
        <f t="shared" si="20"/>
        <v>2024-2</v>
      </c>
    </row>
    <row r="423" spans="1:8" x14ac:dyDescent="0.25">
      <c r="A423" t="s">
        <v>19</v>
      </c>
      <c r="B423" t="s">
        <v>54</v>
      </c>
      <c r="C423" t="s">
        <v>286</v>
      </c>
      <c r="D423">
        <v>12700</v>
      </c>
      <c r="E423">
        <v>4</v>
      </c>
      <c r="F423">
        <f t="shared" si="18"/>
        <v>2024</v>
      </c>
      <c r="G423">
        <f t="shared" si="19"/>
        <v>2</v>
      </c>
      <c r="H423" t="str">
        <f t="shared" si="20"/>
        <v>2024-2</v>
      </c>
    </row>
    <row r="424" spans="1:8" x14ac:dyDescent="0.25">
      <c r="A424" t="s">
        <v>5</v>
      </c>
      <c r="B424" t="s">
        <v>248</v>
      </c>
      <c r="C424" t="s">
        <v>287</v>
      </c>
      <c r="D424">
        <v>38400</v>
      </c>
      <c r="E424">
        <v>7</v>
      </c>
      <c r="F424">
        <f t="shared" si="18"/>
        <v>2024</v>
      </c>
      <c r="G424">
        <f t="shared" si="19"/>
        <v>2</v>
      </c>
      <c r="H424" t="str">
        <f t="shared" si="20"/>
        <v>2024-2</v>
      </c>
    </row>
    <row r="425" spans="1:8" x14ac:dyDescent="0.25">
      <c r="A425" t="s">
        <v>21</v>
      </c>
      <c r="B425" t="s">
        <v>269</v>
      </c>
      <c r="C425" t="s">
        <v>287</v>
      </c>
      <c r="D425">
        <v>36977</v>
      </c>
      <c r="E425">
        <v>8</v>
      </c>
      <c r="F425">
        <f t="shared" si="18"/>
        <v>2024</v>
      </c>
      <c r="G425">
        <f t="shared" si="19"/>
        <v>2</v>
      </c>
      <c r="H425" t="str">
        <f t="shared" si="20"/>
        <v>2024-2</v>
      </c>
    </row>
    <row r="426" spans="1:8" x14ac:dyDescent="0.25">
      <c r="A426" t="s">
        <v>55</v>
      </c>
      <c r="B426" t="s">
        <v>125</v>
      </c>
      <c r="C426" t="s">
        <v>287</v>
      </c>
      <c r="D426">
        <v>57153</v>
      </c>
      <c r="E426">
        <v>6</v>
      </c>
      <c r="F426">
        <f t="shared" si="18"/>
        <v>2024</v>
      </c>
      <c r="G426">
        <f t="shared" si="19"/>
        <v>2</v>
      </c>
      <c r="H426" t="str">
        <f t="shared" si="20"/>
        <v>2024-2</v>
      </c>
    </row>
    <row r="427" spans="1:8" x14ac:dyDescent="0.25">
      <c r="A427" t="s">
        <v>8</v>
      </c>
      <c r="B427" t="s">
        <v>28</v>
      </c>
      <c r="C427" t="s">
        <v>287</v>
      </c>
      <c r="D427">
        <v>35824</v>
      </c>
      <c r="E427">
        <v>8</v>
      </c>
      <c r="F427">
        <f t="shared" si="18"/>
        <v>2024</v>
      </c>
      <c r="G427">
        <f t="shared" si="19"/>
        <v>2</v>
      </c>
      <c r="H427" t="str">
        <f t="shared" si="20"/>
        <v>2024-2</v>
      </c>
    </row>
    <row r="428" spans="1:8" x14ac:dyDescent="0.25">
      <c r="A428" t="s">
        <v>11</v>
      </c>
      <c r="B428" t="s">
        <v>72</v>
      </c>
      <c r="C428" t="s">
        <v>287</v>
      </c>
      <c r="D428">
        <v>98979</v>
      </c>
      <c r="E428">
        <v>8</v>
      </c>
      <c r="F428">
        <f t="shared" si="18"/>
        <v>2024</v>
      </c>
      <c r="G428">
        <f t="shared" si="19"/>
        <v>2</v>
      </c>
      <c r="H428" t="str">
        <f t="shared" si="20"/>
        <v>2024-2</v>
      </c>
    </row>
    <row r="429" spans="1:8" x14ac:dyDescent="0.25">
      <c r="A429" t="s">
        <v>55</v>
      </c>
      <c r="B429" t="s">
        <v>73</v>
      </c>
      <c r="C429" t="s">
        <v>287</v>
      </c>
      <c r="D429">
        <v>91141</v>
      </c>
      <c r="E429">
        <v>8</v>
      </c>
      <c r="F429">
        <f t="shared" si="18"/>
        <v>2024</v>
      </c>
      <c r="G429">
        <f t="shared" si="19"/>
        <v>2</v>
      </c>
      <c r="H429" t="str">
        <f t="shared" si="20"/>
        <v>2024-2</v>
      </c>
    </row>
    <row r="430" spans="1:8" x14ac:dyDescent="0.25">
      <c r="A430" t="s">
        <v>16</v>
      </c>
      <c r="B430" t="s">
        <v>96</v>
      </c>
      <c r="C430" t="s">
        <v>287</v>
      </c>
      <c r="D430">
        <v>39066</v>
      </c>
      <c r="E430">
        <v>8</v>
      </c>
      <c r="F430">
        <f t="shared" si="18"/>
        <v>2024</v>
      </c>
      <c r="G430">
        <f t="shared" si="19"/>
        <v>2</v>
      </c>
      <c r="H430" t="str">
        <f t="shared" si="20"/>
        <v>2024-2</v>
      </c>
    </row>
    <row r="431" spans="1:8" x14ac:dyDescent="0.25">
      <c r="A431" t="s">
        <v>38</v>
      </c>
      <c r="B431" t="s">
        <v>188</v>
      </c>
      <c r="C431" t="s">
        <v>287</v>
      </c>
      <c r="D431">
        <v>12285</v>
      </c>
      <c r="E431">
        <v>6</v>
      </c>
      <c r="F431">
        <f t="shared" si="18"/>
        <v>2024</v>
      </c>
      <c r="G431">
        <f t="shared" si="19"/>
        <v>2</v>
      </c>
      <c r="H431" t="str">
        <f t="shared" si="20"/>
        <v>2024-2</v>
      </c>
    </row>
    <row r="432" spans="1:8" x14ac:dyDescent="0.25">
      <c r="A432" t="s">
        <v>8</v>
      </c>
      <c r="B432" t="s">
        <v>30</v>
      </c>
      <c r="C432" t="s">
        <v>288</v>
      </c>
      <c r="D432">
        <v>74203</v>
      </c>
      <c r="E432">
        <v>5</v>
      </c>
      <c r="F432">
        <f t="shared" si="18"/>
        <v>2024</v>
      </c>
      <c r="G432">
        <f t="shared" si="19"/>
        <v>2</v>
      </c>
      <c r="H432" t="str">
        <f t="shared" si="20"/>
        <v>2024-2</v>
      </c>
    </row>
    <row r="433" spans="1:8" x14ac:dyDescent="0.25">
      <c r="A433" t="s">
        <v>26</v>
      </c>
      <c r="B433" t="s">
        <v>177</v>
      </c>
      <c r="C433" t="s">
        <v>288</v>
      </c>
      <c r="D433">
        <v>72738</v>
      </c>
      <c r="E433">
        <v>9</v>
      </c>
      <c r="F433">
        <f t="shared" si="18"/>
        <v>2024</v>
      </c>
      <c r="G433">
        <f t="shared" si="19"/>
        <v>2</v>
      </c>
      <c r="H433" t="str">
        <f t="shared" si="20"/>
        <v>2024-2</v>
      </c>
    </row>
    <row r="434" spans="1:8" x14ac:dyDescent="0.25">
      <c r="A434" t="s">
        <v>19</v>
      </c>
      <c r="B434" t="s">
        <v>199</v>
      </c>
      <c r="C434" t="s">
        <v>288</v>
      </c>
      <c r="D434">
        <v>21383</v>
      </c>
      <c r="E434">
        <v>9</v>
      </c>
      <c r="F434">
        <f t="shared" si="18"/>
        <v>2024</v>
      </c>
      <c r="G434">
        <f t="shared" si="19"/>
        <v>2</v>
      </c>
      <c r="H434" t="str">
        <f t="shared" si="20"/>
        <v>2024-2</v>
      </c>
    </row>
    <row r="435" spans="1:8" x14ac:dyDescent="0.25">
      <c r="A435" t="s">
        <v>8</v>
      </c>
      <c r="B435" t="s">
        <v>289</v>
      </c>
      <c r="C435" t="s">
        <v>288</v>
      </c>
      <c r="D435">
        <v>59008</v>
      </c>
      <c r="E435">
        <v>7</v>
      </c>
      <c r="F435">
        <f t="shared" si="18"/>
        <v>2024</v>
      </c>
      <c r="G435">
        <f t="shared" si="19"/>
        <v>2</v>
      </c>
      <c r="H435" t="str">
        <f t="shared" si="20"/>
        <v>2024-2</v>
      </c>
    </row>
    <row r="436" spans="1:8" x14ac:dyDescent="0.25">
      <c r="A436" t="s">
        <v>16</v>
      </c>
      <c r="B436" t="s">
        <v>257</v>
      </c>
      <c r="C436" t="s">
        <v>288</v>
      </c>
      <c r="D436">
        <v>99178</v>
      </c>
      <c r="E436">
        <v>2</v>
      </c>
      <c r="F436">
        <f t="shared" si="18"/>
        <v>2024</v>
      </c>
      <c r="G436">
        <f t="shared" si="19"/>
        <v>2</v>
      </c>
      <c r="H436" t="str">
        <f t="shared" si="20"/>
        <v>2024-2</v>
      </c>
    </row>
    <row r="437" spans="1:8" x14ac:dyDescent="0.25">
      <c r="A437" t="s">
        <v>19</v>
      </c>
      <c r="B437" t="s">
        <v>171</v>
      </c>
      <c r="C437" t="s">
        <v>290</v>
      </c>
      <c r="D437">
        <v>18601</v>
      </c>
      <c r="E437">
        <v>8</v>
      </c>
      <c r="F437">
        <f t="shared" si="18"/>
        <v>2024</v>
      </c>
      <c r="G437">
        <f t="shared" si="19"/>
        <v>2</v>
      </c>
      <c r="H437" t="str">
        <f t="shared" si="20"/>
        <v>2024-2</v>
      </c>
    </row>
    <row r="438" spans="1:8" x14ac:dyDescent="0.25">
      <c r="A438" t="s">
        <v>29</v>
      </c>
      <c r="B438" t="s">
        <v>112</v>
      </c>
      <c r="C438" t="s">
        <v>290</v>
      </c>
      <c r="D438">
        <v>10752</v>
      </c>
      <c r="E438">
        <v>9</v>
      </c>
      <c r="F438">
        <f t="shared" si="18"/>
        <v>2024</v>
      </c>
      <c r="G438">
        <f t="shared" si="19"/>
        <v>2</v>
      </c>
      <c r="H438" t="str">
        <f t="shared" si="20"/>
        <v>2024-2</v>
      </c>
    </row>
    <row r="439" spans="1:8" x14ac:dyDescent="0.25">
      <c r="A439" t="s">
        <v>11</v>
      </c>
      <c r="B439" t="s">
        <v>121</v>
      </c>
      <c r="C439" t="s">
        <v>290</v>
      </c>
      <c r="D439">
        <v>61036</v>
      </c>
      <c r="E439">
        <v>4</v>
      </c>
      <c r="F439">
        <f t="shared" si="18"/>
        <v>2024</v>
      </c>
      <c r="G439">
        <f t="shared" si="19"/>
        <v>2</v>
      </c>
      <c r="H439" t="str">
        <f t="shared" si="20"/>
        <v>2024-2</v>
      </c>
    </row>
    <row r="440" spans="1:8" x14ac:dyDescent="0.25">
      <c r="A440" t="s">
        <v>8</v>
      </c>
      <c r="B440" t="s">
        <v>64</v>
      </c>
      <c r="C440" t="s">
        <v>290</v>
      </c>
      <c r="D440">
        <v>38380</v>
      </c>
      <c r="E440">
        <v>5</v>
      </c>
      <c r="F440">
        <f t="shared" si="18"/>
        <v>2024</v>
      </c>
      <c r="G440">
        <f t="shared" si="19"/>
        <v>2</v>
      </c>
      <c r="H440" t="str">
        <f t="shared" si="20"/>
        <v>2024-2</v>
      </c>
    </row>
    <row r="441" spans="1:8" x14ac:dyDescent="0.25">
      <c r="A441" t="s">
        <v>13</v>
      </c>
      <c r="B441" t="s">
        <v>237</v>
      </c>
      <c r="C441" t="s">
        <v>290</v>
      </c>
      <c r="D441">
        <v>72807</v>
      </c>
      <c r="E441">
        <v>5</v>
      </c>
      <c r="F441">
        <f t="shared" si="18"/>
        <v>2024</v>
      </c>
      <c r="G441">
        <f t="shared" si="19"/>
        <v>2</v>
      </c>
      <c r="H441" t="str">
        <f t="shared" si="20"/>
        <v>2024-2</v>
      </c>
    </row>
    <row r="442" spans="1:8" x14ac:dyDescent="0.25">
      <c r="A442" t="s">
        <v>26</v>
      </c>
      <c r="B442" t="s">
        <v>274</v>
      </c>
      <c r="C442" t="s">
        <v>291</v>
      </c>
      <c r="D442">
        <v>59143</v>
      </c>
      <c r="E442">
        <v>10</v>
      </c>
      <c r="F442">
        <f t="shared" si="18"/>
        <v>2024</v>
      </c>
      <c r="G442">
        <f t="shared" si="19"/>
        <v>2</v>
      </c>
      <c r="H442" t="str">
        <f t="shared" si="20"/>
        <v>2024-2</v>
      </c>
    </row>
    <row r="443" spans="1:8" x14ac:dyDescent="0.25">
      <c r="A443" t="s">
        <v>16</v>
      </c>
      <c r="B443" t="s">
        <v>63</v>
      </c>
      <c r="C443" t="s">
        <v>291</v>
      </c>
      <c r="D443">
        <v>73166</v>
      </c>
      <c r="E443">
        <v>9</v>
      </c>
      <c r="F443">
        <f t="shared" si="18"/>
        <v>2024</v>
      </c>
      <c r="G443">
        <f t="shared" si="19"/>
        <v>2</v>
      </c>
      <c r="H443" t="str">
        <f t="shared" si="20"/>
        <v>2024-2</v>
      </c>
    </row>
    <row r="444" spans="1:8" x14ac:dyDescent="0.25">
      <c r="A444" t="s">
        <v>21</v>
      </c>
      <c r="B444" t="s">
        <v>269</v>
      </c>
      <c r="C444" t="s">
        <v>291</v>
      </c>
      <c r="D444">
        <v>92055</v>
      </c>
      <c r="E444">
        <v>0</v>
      </c>
      <c r="F444">
        <f t="shared" si="18"/>
        <v>2024</v>
      </c>
      <c r="G444">
        <f t="shared" si="19"/>
        <v>2</v>
      </c>
      <c r="H444" t="str">
        <f t="shared" si="20"/>
        <v>2024-2</v>
      </c>
    </row>
    <row r="445" spans="1:8" x14ac:dyDescent="0.25">
      <c r="A445" t="s">
        <v>38</v>
      </c>
      <c r="B445" t="s">
        <v>144</v>
      </c>
      <c r="C445" t="s">
        <v>291</v>
      </c>
      <c r="D445">
        <v>10264</v>
      </c>
      <c r="E445">
        <v>8</v>
      </c>
      <c r="F445">
        <f t="shared" si="18"/>
        <v>2024</v>
      </c>
      <c r="G445">
        <f t="shared" si="19"/>
        <v>2</v>
      </c>
      <c r="H445" t="str">
        <f t="shared" si="20"/>
        <v>2024-2</v>
      </c>
    </row>
    <row r="446" spans="1:8" x14ac:dyDescent="0.25">
      <c r="A446" t="s">
        <v>38</v>
      </c>
      <c r="B446" t="s">
        <v>28</v>
      </c>
      <c r="C446" t="s">
        <v>292</v>
      </c>
      <c r="D446">
        <v>32512</v>
      </c>
      <c r="E446">
        <v>6</v>
      </c>
      <c r="F446">
        <f t="shared" si="18"/>
        <v>2024</v>
      </c>
      <c r="G446">
        <f t="shared" si="19"/>
        <v>2</v>
      </c>
      <c r="H446" t="str">
        <f t="shared" si="20"/>
        <v>2024-2</v>
      </c>
    </row>
    <row r="447" spans="1:8" x14ac:dyDescent="0.25">
      <c r="A447" t="s">
        <v>26</v>
      </c>
      <c r="B447" t="s">
        <v>121</v>
      </c>
      <c r="C447" t="s">
        <v>292</v>
      </c>
      <c r="D447">
        <v>30922</v>
      </c>
      <c r="E447">
        <v>7</v>
      </c>
      <c r="F447">
        <f t="shared" si="18"/>
        <v>2024</v>
      </c>
      <c r="G447">
        <f t="shared" si="19"/>
        <v>2</v>
      </c>
      <c r="H447" t="str">
        <f t="shared" si="20"/>
        <v>2024-2</v>
      </c>
    </row>
    <row r="448" spans="1:8" x14ac:dyDescent="0.25">
      <c r="A448" t="s">
        <v>38</v>
      </c>
      <c r="B448" t="s">
        <v>76</v>
      </c>
      <c r="C448" t="s">
        <v>292</v>
      </c>
      <c r="D448">
        <v>89095</v>
      </c>
      <c r="E448">
        <v>3</v>
      </c>
      <c r="F448">
        <f t="shared" si="18"/>
        <v>2024</v>
      </c>
      <c r="G448">
        <f t="shared" si="19"/>
        <v>2</v>
      </c>
      <c r="H448" t="str">
        <f t="shared" si="20"/>
        <v>2024-2</v>
      </c>
    </row>
    <row r="449" spans="1:8" x14ac:dyDescent="0.25">
      <c r="A449" t="s">
        <v>16</v>
      </c>
      <c r="B449" t="s">
        <v>293</v>
      </c>
      <c r="C449" t="s">
        <v>292</v>
      </c>
      <c r="D449">
        <v>97139</v>
      </c>
      <c r="E449">
        <v>8</v>
      </c>
      <c r="F449">
        <f t="shared" si="18"/>
        <v>2024</v>
      </c>
      <c r="G449">
        <f t="shared" si="19"/>
        <v>2</v>
      </c>
      <c r="H449" t="str">
        <f t="shared" si="20"/>
        <v>2024-2</v>
      </c>
    </row>
    <row r="450" spans="1:8" x14ac:dyDescent="0.25">
      <c r="A450" t="s">
        <v>11</v>
      </c>
      <c r="B450" t="s">
        <v>257</v>
      </c>
      <c r="C450" t="s">
        <v>292</v>
      </c>
      <c r="D450">
        <v>55394</v>
      </c>
      <c r="E450">
        <v>9</v>
      </c>
      <c r="F450">
        <f t="shared" si="18"/>
        <v>2024</v>
      </c>
      <c r="G450">
        <f t="shared" si="19"/>
        <v>2</v>
      </c>
      <c r="H450" t="str">
        <f t="shared" si="20"/>
        <v>2024-2</v>
      </c>
    </row>
    <row r="451" spans="1:8" x14ac:dyDescent="0.25">
      <c r="A451" t="s">
        <v>29</v>
      </c>
      <c r="B451" t="s">
        <v>63</v>
      </c>
      <c r="C451" t="s">
        <v>292</v>
      </c>
      <c r="D451">
        <v>33124</v>
      </c>
      <c r="E451">
        <v>8</v>
      </c>
      <c r="F451">
        <f t="shared" ref="F451:F514" si="21">YEAR(C451)</f>
        <v>2024</v>
      </c>
      <c r="G451">
        <f t="shared" ref="G451:G514" si="22">MONTH(C451)</f>
        <v>2</v>
      </c>
      <c r="H451" t="str">
        <f t="shared" ref="H451:H514" si="23">F451&amp;"-"&amp;G451</f>
        <v>2024-2</v>
      </c>
    </row>
    <row r="452" spans="1:8" x14ac:dyDescent="0.25">
      <c r="A452" t="s">
        <v>5</v>
      </c>
      <c r="B452" t="s">
        <v>123</v>
      </c>
      <c r="C452" t="s">
        <v>292</v>
      </c>
      <c r="D452">
        <v>39062</v>
      </c>
      <c r="E452">
        <v>3</v>
      </c>
      <c r="F452">
        <f t="shared" si="21"/>
        <v>2024</v>
      </c>
      <c r="G452">
        <f t="shared" si="22"/>
        <v>2</v>
      </c>
      <c r="H452" t="str">
        <f t="shared" si="23"/>
        <v>2024-2</v>
      </c>
    </row>
    <row r="453" spans="1:8" x14ac:dyDescent="0.25">
      <c r="A453" t="s">
        <v>55</v>
      </c>
      <c r="B453" t="s">
        <v>294</v>
      </c>
      <c r="C453" t="s">
        <v>292</v>
      </c>
      <c r="D453">
        <v>30305</v>
      </c>
      <c r="E453">
        <v>6</v>
      </c>
      <c r="F453">
        <f t="shared" si="21"/>
        <v>2024</v>
      </c>
      <c r="G453">
        <f t="shared" si="22"/>
        <v>2</v>
      </c>
      <c r="H453" t="str">
        <f t="shared" si="23"/>
        <v>2024-2</v>
      </c>
    </row>
    <row r="454" spans="1:8" x14ac:dyDescent="0.25">
      <c r="A454" t="s">
        <v>13</v>
      </c>
      <c r="B454" t="s">
        <v>295</v>
      </c>
      <c r="C454" t="s">
        <v>296</v>
      </c>
      <c r="D454">
        <v>69883</v>
      </c>
      <c r="E454">
        <v>7</v>
      </c>
      <c r="F454">
        <f t="shared" si="21"/>
        <v>2024</v>
      </c>
      <c r="G454">
        <f t="shared" si="22"/>
        <v>2</v>
      </c>
      <c r="H454" t="str">
        <f t="shared" si="23"/>
        <v>2024-2</v>
      </c>
    </row>
    <row r="455" spans="1:8" x14ac:dyDescent="0.25">
      <c r="A455" t="s">
        <v>16</v>
      </c>
      <c r="B455" t="s">
        <v>234</v>
      </c>
      <c r="C455" t="s">
        <v>296</v>
      </c>
      <c r="D455">
        <v>96678</v>
      </c>
      <c r="E455">
        <v>6</v>
      </c>
      <c r="F455">
        <f t="shared" si="21"/>
        <v>2024</v>
      </c>
      <c r="G455">
        <f t="shared" si="22"/>
        <v>2</v>
      </c>
      <c r="H455" t="str">
        <f t="shared" si="23"/>
        <v>2024-2</v>
      </c>
    </row>
    <row r="456" spans="1:8" x14ac:dyDescent="0.25">
      <c r="A456" t="s">
        <v>11</v>
      </c>
      <c r="B456" t="s">
        <v>168</v>
      </c>
      <c r="C456" t="s">
        <v>296</v>
      </c>
      <c r="D456">
        <v>20103</v>
      </c>
      <c r="E456">
        <v>5</v>
      </c>
      <c r="F456">
        <f t="shared" si="21"/>
        <v>2024</v>
      </c>
      <c r="G456">
        <f t="shared" si="22"/>
        <v>2</v>
      </c>
      <c r="H456" t="str">
        <f t="shared" si="23"/>
        <v>2024-2</v>
      </c>
    </row>
    <row r="457" spans="1:8" x14ac:dyDescent="0.25">
      <c r="A457" t="s">
        <v>21</v>
      </c>
      <c r="B457" t="s">
        <v>97</v>
      </c>
      <c r="C457" t="s">
        <v>296</v>
      </c>
      <c r="D457">
        <v>93675</v>
      </c>
      <c r="E457">
        <v>9</v>
      </c>
      <c r="F457">
        <f t="shared" si="21"/>
        <v>2024</v>
      </c>
      <c r="G457">
        <f t="shared" si="22"/>
        <v>2</v>
      </c>
      <c r="H457" t="str">
        <f t="shared" si="23"/>
        <v>2024-2</v>
      </c>
    </row>
    <row r="458" spans="1:8" x14ac:dyDescent="0.25">
      <c r="A458" t="s">
        <v>43</v>
      </c>
      <c r="B458" t="s">
        <v>6</v>
      </c>
      <c r="C458" t="s">
        <v>296</v>
      </c>
      <c r="D458">
        <v>52315</v>
      </c>
      <c r="E458">
        <v>7</v>
      </c>
      <c r="F458">
        <f t="shared" si="21"/>
        <v>2024</v>
      </c>
      <c r="G458">
        <f t="shared" si="22"/>
        <v>2</v>
      </c>
      <c r="H458" t="str">
        <f t="shared" si="23"/>
        <v>2024-2</v>
      </c>
    </row>
    <row r="459" spans="1:8" x14ac:dyDescent="0.25">
      <c r="A459" t="s">
        <v>19</v>
      </c>
      <c r="B459" t="s">
        <v>104</v>
      </c>
      <c r="C459" t="s">
        <v>296</v>
      </c>
      <c r="D459">
        <v>29961</v>
      </c>
      <c r="E459">
        <v>4</v>
      </c>
      <c r="F459">
        <f t="shared" si="21"/>
        <v>2024</v>
      </c>
      <c r="G459">
        <f t="shared" si="22"/>
        <v>2</v>
      </c>
      <c r="H459" t="str">
        <f t="shared" si="23"/>
        <v>2024-2</v>
      </c>
    </row>
    <row r="460" spans="1:8" x14ac:dyDescent="0.25">
      <c r="A460" t="s">
        <v>21</v>
      </c>
      <c r="B460" t="s">
        <v>187</v>
      </c>
      <c r="C460" t="s">
        <v>297</v>
      </c>
      <c r="D460">
        <v>64260</v>
      </c>
      <c r="E460">
        <v>4</v>
      </c>
      <c r="F460">
        <f t="shared" si="21"/>
        <v>2024</v>
      </c>
      <c r="G460">
        <f t="shared" si="22"/>
        <v>2</v>
      </c>
      <c r="H460" t="str">
        <f t="shared" si="23"/>
        <v>2024-2</v>
      </c>
    </row>
    <row r="461" spans="1:8" x14ac:dyDescent="0.25">
      <c r="A461" t="s">
        <v>29</v>
      </c>
      <c r="B461" t="s">
        <v>82</v>
      </c>
      <c r="C461" t="s">
        <v>297</v>
      </c>
      <c r="D461">
        <v>66621</v>
      </c>
      <c r="E461">
        <v>7</v>
      </c>
      <c r="F461">
        <f t="shared" si="21"/>
        <v>2024</v>
      </c>
      <c r="G461">
        <f t="shared" si="22"/>
        <v>2</v>
      </c>
      <c r="H461" t="str">
        <f t="shared" si="23"/>
        <v>2024-2</v>
      </c>
    </row>
    <row r="462" spans="1:8" x14ac:dyDescent="0.25">
      <c r="A462" t="s">
        <v>55</v>
      </c>
      <c r="B462" t="s">
        <v>146</v>
      </c>
      <c r="C462" t="s">
        <v>297</v>
      </c>
      <c r="D462">
        <v>13243</v>
      </c>
      <c r="E462">
        <v>6</v>
      </c>
      <c r="F462">
        <f t="shared" si="21"/>
        <v>2024</v>
      </c>
      <c r="G462">
        <f t="shared" si="22"/>
        <v>2</v>
      </c>
      <c r="H462" t="str">
        <f t="shared" si="23"/>
        <v>2024-2</v>
      </c>
    </row>
    <row r="463" spans="1:8" x14ac:dyDescent="0.25">
      <c r="A463" t="s">
        <v>11</v>
      </c>
      <c r="B463" t="s">
        <v>227</v>
      </c>
      <c r="C463" t="s">
        <v>298</v>
      </c>
      <c r="D463">
        <v>28740</v>
      </c>
      <c r="E463">
        <v>8</v>
      </c>
      <c r="F463">
        <f t="shared" si="21"/>
        <v>2024</v>
      </c>
      <c r="G463">
        <f t="shared" si="22"/>
        <v>2</v>
      </c>
      <c r="H463" t="str">
        <f t="shared" si="23"/>
        <v>2024-2</v>
      </c>
    </row>
    <row r="464" spans="1:8" x14ac:dyDescent="0.25">
      <c r="A464" t="s">
        <v>19</v>
      </c>
      <c r="B464" t="s">
        <v>92</v>
      </c>
      <c r="C464" t="s">
        <v>298</v>
      </c>
      <c r="D464">
        <v>64755</v>
      </c>
      <c r="E464">
        <v>3</v>
      </c>
      <c r="F464">
        <f t="shared" si="21"/>
        <v>2024</v>
      </c>
      <c r="G464">
        <f t="shared" si="22"/>
        <v>2</v>
      </c>
      <c r="H464" t="str">
        <f t="shared" si="23"/>
        <v>2024-2</v>
      </c>
    </row>
    <row r="465" spans="1:8" x14ac:dyDescent="0.25">
      <c r="A465" t="s">
        <v>16</v>
      </c>
      <c r="B465" t="s">
        <v>18</v>
      </c>
      <c r="C465" t="s">
        <v>298</v>
      </c>
      <c r="D465">
        <v>99404</v>
      </c>
      <c r="E465">
        <v>8</v>
      </c>
      <c r="F465">
        <f t="shared" si="21"/>
        <v>2024</v>
      </c>
      <c r="G465">
        <f t="shared" si="22"/>
        <v>2</v>
      </c>
      <c r="H465" t="str">
        <f t="shared" si="23"/>
        <v>2024-2</v>
      </c>
    </row>
    <row r="466" spans="1:8" x14ac:dyDescent="0.25">
      <c r="A466" t="s">
        <v>16</v>
      </c>
      <c r="B466" t="s">
        <v>253</v>
      </c>
      <c r="C466" t="s">
        <v>298</v>
      </c>
      <c r="D466">
        <v>74546</v>
      </c>
      <c r="E466">
        <v>3</v>
      </c>
      <c r="F466">
        <f t="shared" si="21"/>
        <v>2024</v>
      </c>
      <c r="G466">
        <f t="shared" si="22"/>
        <v>2</v>
      </c>
      <c r="H466" t="str">
        <f t="shared" si="23"/>
        <v>2024-2</v>
      </c>
    </row>
    <row r="467" spans="1:8" x14ac:dyDescent="0.25">
      <c r="A467" t="s">
        <v>5</v>
      </c>
      <c r="B467" t="s">
        <v>156</v>
      </c>
      <c r="C467" t="s">
        <v>298</v>
      </c>
      <c r="D467">
        <v>35646</v>
      </c>
      <c r="E467">
        <v>7</v>
      </c>
      <c r="F467">
        <f t="shared" si="21"/>
        <v>2024</v>
      </c>
      <c r="G467">
        <f t="shared" si="22"/>
        <v>2</v>
      </c>
      <c r="H467" t="str">
        <f t="shared" si="23"/>
        <v>2024-2</v>
      </c>
    </row>
    <row r="468" spans="1:8" x14ac:dyDescent="0.25">
      <c r="A468" t="s">
        <v>43</v>
      </c>
      <c r="B468" t="s">
        <v>91</v>
      </c>
      <c r="C468" t="s">
        <v>298</v>
      </c>
      <c r="D468">
        <v>13727</v>
      </c>
      <c r="E468">
        <v>7</v>
      </c>
      <c r="F468">
        <f t="shared" si="21"/>
        <v>2024</v>
      </c>
      <c r="G468">
        <f t="shared" si="22"/>
        <v>2</v>
      </c>
      <c r="H468" t="str">
        <f t="shared" si="23"/>
        <v>2024-2</v>
      </c>
    </row>
    <row r="469" spans="1:8" x14ac:dyDescent="0.25">
      <c r="A469" t="s">
        <v>38</v>
      </c>
      <c r="B469" t="s">
        <v>68</v>
      </c>
      <c r="C469" t="s">
        <v>298</v>
      </c>
      <c r="D469">
        <v>80025</v>
      </c>
      <c r="E469">
        <v>7</v>
      </c>
      <c r="F469">
        <f t="shared" si="21"/>
        <v>2024</v>
      </c>
      <c r="G469">
        <f t="shared" si="22"/>
        <v>2</v>
      </c>
      <c r="H469" t="str">
        <f t="shared" si="23"/>
        <v>2024-2</v>
      </c>
    </row>
    <row r="470" spans="1:8" x14ac:dyDescent="0.25">
      <c r="A470" t="s">
        <v>16</v>
      </c>
      <c r="B470" t="s">
        <v>63</v>
      </c>
      <c r="C470" t="s">
        <v>298</v>
      </c>
      <c r="D470">
        <v>31192</v>
      </c>
      <c r="E470">
        <v>5</v>
      </c>
      <c r="F470">
        <f t="shared" si="21"/>
        <v>2024</v>
      </c>
      <c r="G470">
        <f t="shared" si="22"/>
        <v>2</v>
      </c>
      <c r="H470" t="str">
        <f t="shared" si="23"/>
        <v>2024-2</v>
      </c>
    </row>
    <row r="471" spans="1:8" x14ac:dyDescent="0.25">
      <c r="A471" t="s">
        <v>38</v>
      </c>
      <c r="B471" t="s">
        <v>34</v>
      </c>
      <c r="C471" t="s">
        <v>298</v>
      </c>
      <c r="D471">
        <v>37670</v>
      </c>
      <c r="E471">
        <v>7</v>
      </c>
      <c r="F471">
        <f t="shared" si="21"/>
        <v>2024</v>
      </c>
      <c r="G471">
        <f t="shared" si="22"/>
        <v>2</v>
      </c>
      <c r="H471" t="str">
        <f t="shared" si="23"/>
        <v>2024-2</v>
      </c>
    </row>
    <row r="472" spans="1:8" x14ac:dyDescent="0.25">
      <c r="A472" t="s">
        <v>5</v>
      </c>
      <c r="B472" t="s">
        <v>299</v>
      </c>
      <c r="C472" t="s">
        <v>300</v>
      </c>
      <c r="D472">
        <v>26883</v>
      </c>
      <c r="E472">
        <v>7</v>
      </c>
      <c r="F472">
        <f t="shared" si="21"/>
        <v>2024</v>
      </c>
      <c r="G472">
        <f t="shared" si="22"/>
        <v>2</v>
      </c>
      <c r="H472" t="str">
        <f t="shared" si="23"/>
        <v>2024-2</v>
      </c>
    </row>
    <row r="473" spans="1:8" x14ac:dyDescent="0.25">
      <c r="A473" t="s">
        <v>5</v>
      </c>
      <c r="B473" t="s">
        <v>112</v>
      </c>
      <c r="C473" t="s">
        <v>301</v>
      </c>
      <c r="D473">
        <v>40353</v>
      </c>
      <c r="E473">
        <v>2</v>
      </c>
      <c r="F473">
        <f t="shared" si="21"/>
        <v>2024</v>
      </c>
      <c r="G473">
        <f t="shared" si="22"/>
        <v>2</v>
      </c>
      <c r="H473" t="str">
        <f t="shared" si="23"/>
        <v>2024-2</v>
      </c>
    </row>
    <row r="474" spans="1:8" x14ac:dyDescent="0.25">
      <c r="A474" t="s">
        <v>43</v>
      </c>
      <c r="B474" t="s">
        <v>18</v>
      </c>
      <c r="C474" t="s">
        <v>301</v>
      </c>
      <c r="D474">
        <v>86851</v>
      </c>
      <c r="E474">
        <v>5</v>
      </c>
      <c r="F474">
        <f t="shared" si="21"/>
        <v>2024</v>
      </c>
      <c r="G474">
        <f t="shared" si="22"/>
        <v>2</v>
      </c>
      <c r="H474" t="str">
        <f t="shared" si="23"/>
        <v>2024-2</v>
      </c>
    </row>
    <row r="475" spans="1:8" x14ac:dyDescent="0.25">
      <c r="A475" t="s">
        <v>55</v>
      </c>
      <c r="B475" t="s">
        <v>119</v>
      </c>
      <c r="C475" t="s">
        <v>301</v>
      </c>
      <c r="D475">
        <v>88565</v>
      </c>
      <c r="E475">
        <v>5</v>
      </c>
      <c r="F475">
        <f t="shared" si="21"/>
        <v>2024</v>
      </c>
      <c r="G475">
        <f t="shared" si="22"/>
        <v>2</v>
      </c>
      <c r="H475" t="str">
        <f t="shared" si="23"/>
        <v>2024-2</v>
      </c>
    </row>
    <row r="476" spans="1:8" x14ac:dyDescent="0.25">
      <c r="A476" t="s">
        <v>26</v>
      </c>
      <c r="B476" t="s">
        <v>51</v>
      </c>
      <c r="C476" t="s">
        <v>302</v>
      </c>
      <c r="D476">
        <v>95378</v>
      </c>
      <c r="E476">
        <v>7</v>
      </c>
      <c r="F476">
        <f t="shared" si="21"/>
        <v>2024</v>
      </c>
      <c r="G476">
        <f t="shared" si="22"/>
        <v>2</v>
      </c>
      <c r="H476" t="str">
        <f t="shared" si="23"/>
        <v>2024-2</v>
      </c>
    </row>
    <row r="477" spans="1:8" x14ac:dyDescent="0.25">
      <c r="A477" t="s">
        <v>55</v>
      </c>
      <c r="B477" t="s">
        <v>74</v>
      </c>
      <c r="C477" t="s">
        <v>302</v>
      </c>
      <c r="D477">
        <v>74977</v>
      </c>
      <c r="E477">
        <v>1</v>
      </c>
      <c r="F477">
        <f t="shared" si="21"/>
        <v>2024</v>
      </c>
      <c r="G477">
        <f t="shared" si="22"/>
        <v>2</v>
      </c>
      <c r="H477" t="str">
        <f t="shared" si="23"/>
        <v>2024-2</v>
      </c>
    </row>
    <row r="478" spans="1:8" x14ac:dyDescent="0.25">
      <c r="A478" t="s">
        <v>43</v>
      </c>
      <c r="B478" t="s">
        <v>303</v>
      </c>
      <c r="C478" t="s">
        <v>302</v>
      </c>
      <c r="D478">
        <v>81099</v>
      </c>
      <c r="E478">
        <v>9</v>
      </c>
      <c r="F478">
        <f t="shared" si="21"/>
        <v>2024</v>
      </c>
      <c r="G478">
        <f t="shared" si="22"/>
        <v>2</v>
      </c>
      <c r="H478" t="str">
        <f t="shared" si="23"/>
        <v>2024-2</v>
      </c>
    </row>
    <row r="479" spans="1:8" x14ac:dyDescent="0.25">
      <c r="A479" t="s">
        <v>43</v>
      </c>
      <c r="B479" t="s">
        <v>93</v>
      </c>
      <c r="C479" t="s">
        <v>304</v>
      </c>
      <c r="D479">
        <v>98178</v>
      </c>
      <c r="E479">
        <v>9</v>
      </c>
      <c r="F479">
        <f t="shared" si="21"/>
        <v>2024</v>
      </c>
      <c r="G479">
        <f t="shared" si="22"/>
        <v>2</v>
      </c>
      <c r="H479" t="str">
        <f t="shared" si="23"/>
        <v>2024-2</v>
      </c>
    </row>
    <row r="480" spans="1:8" x14ac:dyDescent="0.25">
      <c r="A480" t="s">
        <v>29</v>
      </c>
      <c r="B480" t="s">
        <v>22</v>
      </c>
      <c r="C480" t="s">
        <v>304</v>
      </c>
      <c r="D480">
        <v>79031</v>
      </c>
      <c r="E480">
        <v>7</v>
      </c>
      <c r="F480">
        <f t="shared" si="21"/>
        <v>2024</v>
      </c>
      <c r="G480">
        <f t="shared" si="22"/>
        <v>2</v>
      </c>
      <c r="H480" t="str">
        <f t="shared" si="23"/>
        <v>2024-2</v>
      </c>
    </row>
    <row r="481" spans="1:8" x14ac:dyDescent="0.25">
      <c r="A481" t="s">
        <v>11</v>
      </c>
      <c r="B481" t="s">
        <v>305</v>
      </c>
      <c r="C481" t="s">
        <v>304</v>
      </c>
      <c r="D481">
        <v>60850</v>
      </c>
      <c r="E481">
        <v>8</v>
      </c>
      <c r="F481">
        <f t="shared" si="21"/>
        <v>2024</v>
      </c>
      <c r="G481">
        <f t="shared" si="22"/>
        <v>2</v>
      </c>
      <c r="H481" t="str">
        <f t="shared" si="23"/>
        <v>2024-2</v>
      </c>
    </row>
    <row r="482" spans="1:8" x14ac:dyDescent="0.25">
      <c r="A482" t="s">
        <v>13</v>
      </c>
      <c r="B482" t="s">
        <v>92</v>
      </c>
      <c r="C482" t="s">
        <v>304</v>
      </c>
      <c r="D482">
        <v>85441</v>
      </c>
      <c r="E482">
        <v>4</v>
      </c>
      <c r="F482">
        <f t="shared" si="21"/>
        <v>2024</v>
      </c>
      <c r="G482">
        <f t="shared" si="22"/>
        <v>2</v>
      </c>
      <c r="H482" t="str">
        <f t="shared" si="23"/>
        <v>2024-2</v>
      </c>
    </row>
    <row r="483" spans="1:8" x14ac:dyDescent="0.25">
      <c r="A483" t="s">
        <v>21</v>
      </c>
      <c r="B483" t="s">
        <v>264</v>
      </c>
      <c r="C483" t="s">
        <v>306</v>
      </c>
      <c r="D483">
        <v>45778</v>
      </c>
      <c r="E483">
        <v>7</v>
      </c>
      <c r="F483">
        <f t="shared" si="21"/>
        <v>2024</v>
      </c>
      <c r="G483">
        <f t="shared" si="22"/>
        <v>2</v>
      </c>
      <c r="H483" t="str">
        <f t="shared" si="23"/>
        <v>2024-2</v>
      </c>
    </row>
    <row r="484" spans="1:8" x14ac:dyDescent="0.25">
      <c r="A484" t="s">
        <v>55</v>
      </c>
      <c r="B484" t="s">
        <v>184</v>
      </c>
      <c r="C484" t="s">
        <v>306</v>
      </c>
      <c r="D484">
        <v>92606</v>
      </c>
      <c r="E484">
        <v>8</v>
      </c>
      <c r="F484">
        <f t="shared" si="21"/>
        <v>2024</v>
      </c>
      <c r="G484">
        <f t="shared" si="22"/>
        <v>2</v>
      </c>
      <c r="H484" t="str">
        <f t="shared" si="23"/>
        <v>2024-2</v>
      </c>
    </row>
    <row r="485" spans="1:8" x14ac:dyDescent="0.25">
      <c r="A485" t="s">
        <v>13</v>
      </c>
      <c r="B485" t="s">
        <v>174</v>
      </c>
      <c r="C485" t="s">
        <v>306</v>
      </c>
      <c r="D485">
        <v>65130</v>
      </c>
      <c r="E485">
        <v>5</v>
      </c>
      <c r="F485">
        <f t="shared" si="21"/>
        <v>2024</v>
      </c>
      <c r="G485">
        <f t="shared" si="22"/>
        <v>2</v>
      </c>
      <c r="H485" t="str">
        <f t="shared" si="23"/>
        <v>2024-2</v>
      </c>
    </row>
    <row r="486" spans="1:8" x14ac:dyDescent="0.25">
      <c r="A486" t="s">
        <v>13</v>
      </c>
      <c r="B486" t="s">
        <v>49</v>
      </c>
      <c r="C486" t="s">
        <v>306</v>
      </c>
      <c r="D486">
        <v>62191</v>
      </c>
      <c r="E486">
        <v>2</v>
      </c>
      <c r="F486">
        <f t="shared" si="21"/>
        <v>2024</v>
      </c>
      <c r="G486">
        <f t="shared" si="22"/>
        <v>2</v>
      </c>
      <c r="H486" t="str">
        <f t="shared" si="23"/>
        <v>2024-2</v>
      </c>
    </row>
    <row r="487" spans="1:8" x14ac:dyDescent="0.25">
      <c r="A487" t="s">
        <v>5</v>
      </c>
      <c r="B487" t="s">
        <v>289</v>
      </c>
      <c r="C487" t="s">
        <v>306</v>
      </c>
      <c r="D487">
        <v>23402</v>
      </c>
      <c r="E487">
        <v>7</v>
      </c>
      <c r="F487">
        <f t="shared" si="21"/>
        <v>2024</v>
      </c>
      <c r="G487">
        <f t="shared" si="22"/>
        <v>2</v>
      </c>
      <c r="H487" t="str">
        <f t="shared" si="23"/>
        <v>2024-2</v>
      </c>
    </row>
    <row r="488" spans="1:8" x14ac:dyDescent="0.25">
      <c r="A488" t="s">
        <v>11</v>
      </c>
      <c r="B488" t="s">
        <v>94</v>
      </c>
      <c r="C488" t="s">
        <v>307</v>
      </c>
      <c r="D488">
        <v>62868</v>
      </c>
      <c r="E488">
        <v>5</v>
      </c>
      <c r="F488">
        <f t="shared" si="21"/>
        <v>2024</v>
      </c>
      <c r="G488">
        <f t="shared" si="22"/>
        <v>2</v>
      </c>
      <c r="H488" t="str">
        <f t="shared" si="23"/>
        <v>2024-2</v>
      </c>
    </row>
    <row r="489" spans="1:8" x14ac:dyDescent="0.25">
      <c r="A489" t="s">
        <v>5</v>
      </c>
      <c r="B489" t="s">
        <v>274</v>
      </c>
      <c r="C489" t="s">
        <v>307</v>
      </c>
      <c r="D489">
        <v>80465</v>
      </c>
      <c r="E489">
        <v>7</v>
      </c>
      <c r="F489">
        <f t="shared" si="21"/>
        <v>2024</v>
      </c>
      <c r="G489">
        <f t="shared" si="22"/>
        <v>2</v>
      </c>
      <c r="H489" t="str">
        <f t="shared" si="23"/>
        <v>2024-2</v>
      </c>
    </row>
    <row r="490" spans="1:8" x14ac:dyDescent="0.25">
      <c r="A490" t="s">
        <v>38</v>
      </c>
      <c r="B490" t="s">
        <v>111</v>
      </c>
      <c r="C490" t="s">
        <v>308</v>
      </c>
      <c r="D490">
        <v>18061</v>
      </c>
      <c r="E490">
        <v>8</v>
      </c>
      <c r="F490">
        <f t="shared" si="21"/>
        <v>2024</v>
      </c>
      <c r="G490">
        <f t="shared" si="22"/>
        <v>2</v>
      </c>
      <c r="H490" t="str">
        <f t="shared" si="23"/>
        <v>2024-2</v>
      </c>
    </row>
    <row r="491" spans="1:8" x14ac:dyDescent="0.25">
      <c r="A491" t="s">
        <v>11</v>
      </c>
      <c r="B491" t="s">
        <v>217</v>
      </c>
      <c r="C491" t="s">
        <v>308</v>
      </c>
      <c r="D491">
        <v>79791</v>
      </c>
      <c r="E491">
        <v>3</v>
      </c>
      <c r="F491">
        <f t="shared" si="21"/>
        <v>2024</v>
      </c>
      <c r="G491">
        <f t="shared" si="22"/>
        <v>2</v>
      </c>
      <c r="H491" t="str">
        <f t="shared" si="23"/>
        <v>2024-2</v>
      </c>
    </row>
    <row r="492" spans="1:8" x14ac:dyDescent="0.25">
      <c r="A492" t="s">
        <v>38</v>
      </c>
      <c r="B492" t="s">
        <v>172</v>
      </c>
      <c r="C492" t="s">
        <v>308</v>
      </c>
      <c r="D492">
        <v>60035</v>
      </c>
      <c r="E492">
        <v>7</v>
      </c>
      <c r="F492">
        <f t="shared" si="21"/>
        <v>2024</v>
      </c>
      <c r="G492">
        <f t="shared" si="22"/>
        <v>2</v>
      </c>
      <c r="H492" t="str">
        <f t="shared" si="23"/>
        <v>2024-2</v>
      </c>
    </row>
    <row r="493" spans="1:8" x14ac:dyDescent="0.25">
      <c r="A493" t="s">
        <v>16</v>
      </c>
      <c r="B493" t="s">
        <v>73</v>
      </c>
      <c r="C493" t="s">
        <v>308</v>
      </c>
      <c r="D493">
        <v>92637</v>
      </c>
      <c r="E493">
        <v>7</v>
      </c>
      <c r="F493">
        <f t="shared" si="21"/>
        <v>2024</v>
      </c>
      <c r="G493">
        <f t="shared" si="22"/>
        <v>2</v>
      </c>
      <c r="H493" t="str">
        <f t="shared" si="23"/>
        <v>2024-2</v>
      </c>
    </row>
    <row r="494" spans="1:8" x14ac:dyDescent="0.25">
      <c r="A494" t="s">
        <v>13</v>
      </c>
      <c r="B494" t="s">
        <v>75</v>
      </c>
      <c r="C494" t="s">
        <v>309</v>
      </c>
      <c r="D494">
        <v>99553</v>
      </c>
      <c r="E494">
        <v>7</v>
      </c>
      <c r="F494">
        <f t="shared" si="21"/>
        <v>2024</v>
      </c>
      <c r="G494">
        <f t="shared" si="22"/>
        <v>3</v>
      </c>
      <c r="H494" t="str">
        <f t="shared" si="23"/>
        <v>2024-3</v>
      </c>
    </row>
    <row r="495" spans="1:8" x14ac:dyDescent="0.25">
      <c r="A495" t="s">
        <v>5</v>
      </c>
      <c r="B495" t="s">
        <v>59</v>
      </c>
      <c r="C495" t="s">
        <v>310</v>
      </c>
      <c r="D495">
        <v>68106</v>
      </c>
      <c r="E495">
        <v>9</v>
      </c>
      <c r="F495">
        <f t="shared" si="21"/>
        <v>2024</v>
      </c>
      <c r="G495">
        <f t="shared" si="22"/>
        <v>3</v>
      </c>
      <c r="H495" t="str">
        <f t="shared" si="23"/>
        <v>2024-3</v>
      </c>
    </row>
    <row r="496" spans="1:8" x14ac:dyDescent="0.25">
      <c r="A496" t="s">
        <v>5</v>
      </c>
      <c r="B496" t="s">
        <v>193</v>
      </c>
      <c r="C496" t="s">
        <v>310</v>
      </c>
      <c r="D496">
        <v>20122</v>
      </c>
      <c r="E496">
        <v>6</v>
      </c>
      <c r="F496">
        <f t="shared" si="21"/>
        <v>2024</v>
      </c>
      <c r="G496">
        <f t="shared" si="22"/>
        <v>3</v>
      </c>
      <c r="H496" t="str">
        <f t="shared" si="23"/>
        <v>2024-3</v>
      </c>
    </row>
    <row r="497" spans="1:8" x14ac:dyDescent="0.25">
      <c r="A497" t="s">
        <v>43</v>
      </c>
      <c r="B497" t="s">
        <v>12</v>
      </c>
      <c r="C497" t="s">
        <v>310</v>
      </c>
      <c r="D497">
        <v>35770</v>
      </c>
      <c r="E497">
        <v>7</v>
      </c>
      <c r="F497">
        <f t="shared" si="21"/>
        <v>2024</v>
      </c>
      <c r="G497">
        <f t="shared" si="22"/>
        <v>3</v>
      </c>
      <c r="H497" t="str">
        <f t="shared" si="23"/>
        <v>2024-3</v>
      </c>
    </row>
    <row r="498" spans="1:8" x14ac:dyDescent="0.25">
      <c r="A498" t="s">
        <v>21</v>
      </c>
      <c r="B498" t="s">
        <v>57</v>
      </c>
      <c r="C498" t="s">
        <v>310</v>
      </c>
      <c r="D498">
        <v>49965</v>
      </c>
      <c r="E498">
        <v>4</v>
      </c>
      <c r="F498">
        <f t="shared" si="21"/>
        <v>2024</v>
      </c>
      <c r="G498">
        <f t="shared" si="22"/>
        <v>3</v>
      </c>
      <c r="H498" t="str">
        <f t="shared" si="23"/>
        <v>2024-3</v>
      </c>
    </row>
    <row r="499" spans="1:8" x14ac:dyDescent="0.25">
      <c r="A499" t="s">
        <v>43</v>
      </c>
      <c r="B499" t="s">
        <v>264</v>
      </c>
      <c r="C499" t="s">
        <v>310</v>
      </c>
      <c r="D499">
        <v>29749</v>
      </c>
      <c r="E499">
        <v>5</v>
      </c>
      <c r="F499">
        <f t="shared" si="21"/>
        <v>2024</v>
      </c>
      <c r="G499">
        <f t="shared" si="22"/>
        <v>3</v>
      </c>
      <c r="H499" t="str">
        <f t="shared" si="23"/>
        <v>2024-3</v>
      </c>
    </row>
    <row r="500" spans="1:8" x14ac:dyDescent="0.25">
      <c r="A500" t="s">
        <v>13</v>
      </c>
      <c r="B500" t="s">
        <v>50</v>
      </c>
      <c r="C500" t="s">
        <v>310</v>
      </c>
      <c r="D500">
        <v>62903</v>
      </c>
      <c r="E500">
        <v>3</v>
      </c>
      <c r="F500">
        <f t="shared" si="21"/>
        <v>2024</v>
      </c>
      <c r="G500">
        <f t="shared" si="22"/>
        <v>3</v>
      </c>
      <c r="H500" t="str">
        <f t="shared" si="23"/>
        <v>2024-3</v>
      </c>
    </row>
    <row r="501" spans="1:8" x14ac:dyDescent="0.25">
      <c r="A501" t="s">
        <v>11</v>
      </c>
      <c r="B501" t="s">
        <v>311</v>
      </c>
      <c r="C501" t="s">
        <v>310</v>
      </c>
      <c r="D501">
        <v>86261</v>
      </c>
      <c r="E501">
        <v>6</v>
      </c>
      <c r="F501">
        <f t="shared" si="21"/>
        <v>2024</v>
      </c>
      <c r="G501">
        <f t="shared" si="22"/>
        <v>3</v>
      </c>
      <c r="H501" t="str">
        <f t="shared" si="23"/>
        <v>2024-3</v>
      </c>
    </row>
    <row r="502" spans="1:8" x14ac:dyDescent="0.25">
      <c r="A502" t="s">
        <v>43</v>
      </c>
      <c r="B502" t="s">
        <v>94</v>
      </c>
      <c r="C502" t="s">
        <v>310</v>
      </c>
      <c r="D502">
        <v>25225</v>
      </c>
      <c r="E502">
        <v>6</v>
      </c>
      <c r="F502">
        <f t="shared" si="21"/>
        <v>2024</v>
      </c>
      <c r="G502">
        <f t="shared" si="22"/>
        <v>3</v>
      </c>
      <c r="H502" t="str">
        <f t="shared" si="23"/>
        <v>2024-3</v>
      </c>
    </row>
    <row r="503" spans="1:8" x14ac:dyDescent="0.25">
      <c r="A503" t="s">
        <v>21</v>
      </c>
      <c r="B503" t="s">
        <v>20</v>
      </c>
      <c r="C503" t="s">
        <v>310</v>
      </c>
      <c r="D503">
        <v>43244</v>
      </c>
      <c r="E503">
        <v>8</v>
      </c>
      <c r="F503">
        <f t="shared" si="21"/>
        <v>2024</v>
      </c>
      <c r="G503">
        <f t="shared" si="22"/>
        <v>3</v>
      </c>
      <c r="H503" t="str">
        <f t="shared" si="23"/>
        <v>2024-3</v>
      </c>
    </row>
    <row r="504" spans="1:8" x14ac:dyDescent="0.25">
      <c r="A504" t="s">
        <v>11</v>
      </c>
      <c r="B504" t="s">
        <v>153</v>
      </c>
      <c r="C504" t="s">
        <v>310</v>
      </c>
      <c r="D504">
        <v>67387</v>
      </c>
      <c r="E504">
        <v>9</v>
      </c>
      <c r="F504">
        <f t="shared" si="21"/>
        <v>2024</v>
      </c>
      <c r="G504">
        <f t="shared" si="22"/>
        <v>3</v>
      </c>
      <c r="H504" t="str">
        <f t="shared" si="23"/>
        <v>2024-3</v>
      </c>
    </row>
    <row r="505" spans="1:8" x14ac:dyDescent="0.25">
      <c r="A505" t="s">
        <v>19</v>
      </c>
      <c r="B505" t="s">
        <v>161</v>
      </c>
      <c r="C505" t="s">
        <v>312</v>
      </c>
      <c r="D505">
        <v>12689</v>
      </c>
      <c r="E505">
        <v>5</v>
      </c>
      <c r="F505">
        <f t="shared" si="21"/>
        <v>2024</v>
      </c>
      <c r="G505">
        <f t="shared" si="22"/>
        <v>3</v>
      </c>
      <c r="H505" t="str">
        <f t="shared" si="23"/>
        <v>2024-3</v>
      </c>
    </row>
    <row r="506" spans="1:8" x14ac:dyDescent="0.25">
      <c r="A506" t="s">
        <v>5</v>
      </c>
      <c r="B506" t="s">
        <v>34</v>
      </c>
      <c r="C506" t="s">
        <v>312</v>
      </c>
      <c r="D506">
        <v>70311</v>
      </c>
      <c r="E506">
        <v>6</v>
      </c>
      <c r="F506">
        <f t="shared" si="21"/>
        <v>2024</v>
      </c>
      <c r="G506">
        <f t="shared" si="22"/>
        <v>3</v>
      </c>
      <c r="H506" t="str">
        <f t="shared" si="23"/>
        <v>2024-3</v>
      </c>
    </row>
    <row r="507" spans="1:8" x14ac:dyDescent="0.25">
      <c r="A507" t="s">
        <v>26</v>
      </c>
      <c r="B507" t="s">
        <v>74</v>
      </c>
      <c r="C507" t="s">
        <v>312</v>
      </c>
      <c r="D507">
        <v>47684</v>
      </c>
      <c r="E507">
        <v>5</v>
      </c>
      <c r="F507">
        <f t="shared" si="21"/>
        <v>2024</v>
      </c>
      <c r="G507">
        <f t="shared" si="22"/>
        <v>3</v>
      </c>
      <c r="H507" t="str">
        <f t="shared" si="23"/>
        <v>2024-3</v>
      </c>
    </row>
    <row r="508" spans="1:8" x14ac:dyDescent="0.25">
      <c r="A508" t="s">
        <v>11</v>
      </c>
      <c r="B508" t="s">
        <v>194</v>
      </c>
      <c r="C508" t="s">
        <v>313</v>
      </c>
      <c r="D508">
        <v>62829</v>
      </c>
      <c r="E508">
        <v>10</v>
      </c>
      <c r="F508">
        <f t="shared" si="21"/>
        <v>2024</v>
      </c>
      <c r="G508">
        <f t="shared" si="22"/>
        <v>3</v>
      </c>
      <c r="H508" t="str">
        <f t="shared" si="23"/>
        <v>2024-3</v>
      </c>
    </row>
    <row r="509" spans="1:8" x14ac:dyDescent="0.25">
      <c r="A509" t="s">
        <v>5</v>
      </c>
      <c r="B509" t="s">
        <v>177</v>
      </c>
      <c r="C509" t="s">
        <v>313</v>
      </c>
      <c r="D509">
        <v>46286</v>
      </c>
      <c r="E509">
        <v>3</v>
      </c>
      <c r="F509">
        <f t="shared" si="21"/>
        <v>2024</v>
      </c>
      <c r="G509">
        <f t="shared" si="22"/>
        <v>3</v>
      </c>
      <c r="H509" t="str">
        <f t="shared" si="23"/>
        <v>2024-3</v>
      </c>
    </row>
    <row r="510" spans="1:8" x14ac:dyDescent="0.25">
      <c r="A510" t="s">
        <v>29</v>
      </c>
      <c r="B510" t="s">
        <v>76</v>
      </c>
      <c r="C510" t="s">
        <v>314</v>
      </c>
      <c r="D510">
        <v>89079</v>
      </c>
      <c r="E510">
        <v>2</v>
      </c>
      <c r="F510">
        <f t="shared" si="21"/>
        <v>2024</v>
      </c>
      <c r="G510">
        <f t="shared" si="22"/>
        <v>3</v>
      </c>
      <c r="H510" t="str">
        <f t="shared" si="23"/>
        <v>2024-3</v>
      </c>
    </row>
    <row r="511" spans="1:8" x14ac:dyDescent="0.25">
      <c r="A511" t="s">
        <v>55</v>
      </c>
      <c r="B511" t="s">
        <v>102</v>
      </c>
      <c r="C511" t="s">
        <v>314</v>
      </c>
      <c r="D511">
        <v>16202</v>
      </c>
      <c r="E511">
        <v>6</v>
      </c>
      <c r="F511">
        <f t="shared" si="21"/>
        <v>2024</v>
      </c>
      <c r="G511">
        <f t="shared" si="22"/>
        <v>3</v>
      </c>
      <c r="H511" t="str">
        <f t="shared" si="23"/>
        <v>2024-3</v>
      </c>
    </row>
    <row r="512" spans="1:8" x14ac:dyDescent="0.25">
      <c r="A512" t="s">
        <v>29</v>
      </c>
      <c r="B512" t="s">
        <v>299</v>
      </c>
      <c r="C512" t="s">
        <v>314</v>
      </c>
      <c r="D512">
        <v>54638</v>
      </c>
      <c r="E512">
        <v>6</v>
      </c>
      <c r="F512">
        <f t="shared" si="21"/>
        <v>2024</v>
      </c>
      <c r="G512">
        <f t="shared" si="22"/>
        <v>3</v>
      </c>
      <c r="H512" t="str">
        <f t="shared" si="23"/>
        <v>2024-3</v>
      </c>
    </row>
    <row r="513" spans="1:8" x14ac:dyDescent="0.25">
      <c r="A513" t="s">
        <v>38</v>
      </c>
      <c r="B513" t="s">
        <v>114</v>
      </c>
      <c r="C513" t="s">
        <v>314</v>
      </c>
      <c r="D513">
        <v>63678</v>
      </c>
      <c r="E513">
        <v>8</v>
      </c>
      <c r="F513">
        <f t="shared" si="21"/>
        <v>2024</v>
      </c>
      <c r="G513">
        <f t="shared" si="22"/>
        <v>3</v>
      </c>
      <c r="H513" t="str">
        <f t="shared" si="23"/>
        <v>2024-3</v>
      </c>
    </row>
    <row r="514" spans="1:8" x14ac:dyDescent="0.25">
      <c r="A514" t="s">
        <v>26</v>
      </c>
      <c r="B514" t="s">
        <v>148</v>
      </c>
      <c r="C514" t="s">
        <v>315</v>
      </c>
      <c r="D514">
        <v>74490</v>
      </c>
      <c r="E514">
        <v>8</v>
      </c>
      <c r="F514">
        <f t="shared" si="21"/>
        <v>2024</v>
      </c>
      <c r="G514">
        <f t="shared" si="22"/>
        <v>3</v>
      </c>
      <c r="H514" t="str">
        <f t="shared" si="23"/>
        <v>2024-3</v>
      </c>
    </row>
    <row r="515" spans="1:8" x14ac:dyDescent="0.25">
      <c r="A515" t="s">
        <v>21</v>
      </c>
      <c r="B515" t="s">
        <v>50</v>
      </c>
      <c r="C515" t="s">
        <v>316</v>
      </c>
      <c r="D515">
        <v>57990</v>
      </c>
      <c r="E515">
        <v>6</v>
      </c>
      <c r="F515">
        <f t="shared" ref="F515:F578" si="24">YEAR(C515)</f>
        <v>2024</v>
      </c>
      <c r="G515">
        <f t="shared" ref="G515:G578" si="25">MONTH(C515)</f>
        <v>3</v>
      </c>
      <c r="H515" t="str">
        <f t="shared" ref="H515:H578" si="26">F515&amp;"-"&amp;G515</f>
        <v>2024-3</v>
      </c>
    </row>
    <row r="516" spans="1:8" x14ac:dyDescent="0.25">
      <c r="A516" t="s">
        <v>21</v>
      </c>
      <c r="B516" t="s">
        <v>115</v>
      </c>
      <c r="C516" t="s">
        <v>316</v>
      </c>
      <c r="D516">
        <v>75937</v>
      </c>
      <c r="E516">
        <v>8</v>
      </c>
      <c r="F516">
        <f t="shared" si="24"/>
        <v>2024</v>
      </c>
      <c r="G516">
        <f t="shared" si="25"/>
        <v>3</v>
      </c>
      <c r="H516" t="str">
        <f t="shared" si="26"/>
        <v>2024-3</v>
      </c>
    </row>
    <row r="517" spans="1:8" x14ac:dyDescent="0.25">
      <c r="A517" t="s">
        <v>5</v>
      </c>
      <c r="B517" t="s">
        <v>85</v>
      </c>
      <c r="C517" t="s">
        <v>316</v>
      </c>
      <c r="D517">
        <v>91592</v>
      </c>
      <c r="E517">
        <v>8</v>
      </c>
      <c r="F517">
        <f t="shared" si="24"/>
        <v>2024</v>
      </c>
      <c r="G517">
        <f t="shared" si="25"/>
        <v>3</v>
      </c>
      <c r="H517" t="str">
        <f t="shared" si="26"/>
        <v>2024-3</v>
      </c>
    </row>
    <row r="518" spans="1:8" x14ac:dyDescent="0.25">
      <c r="A518" t="s">
        <v>5</v>
      </c>
      <c r="B518" t="s">
        <v>51</v>
      </c>
      <c r="C518" t="s">
        <v>316</v>
      </c>
      <c r="D518">
        <v>37593</v>
      </c>
      <c r="E518">
        <v>7</v>
      </c>
      <c r="F518">
        <f t="shared" si="24"/>
        <v>2024</v>
      </c>
      <c r="G518">
        <f t="shared" si="25"/>
        <v>3</v>
      </c>
      <c r="H518" t="str">
        <f t="shared" si="26"/>
        <v>2024-3</v>
      </c>
    </row>
    <row r="519" spans="1:8" x14ac:dyDescent="0.25">
      <c r="A519" t="s">
        <v>21</v>
      </c>
      <c r="B519" t="s">
        <v>32</v>
      </c>
      <c r="C519" t="s">
        <v>316</v>
      </c>
      <c r="D519">
        <v>44783</v>
      </c>
      <c r="E519">
        <v>1</v>
      </c>
      <c r="F519">
        <f t="shared" si="24"/>
        <v>2024</v>
      </c>
      <c r="G519">
        <f t="shared" si="25"/>
        <v>3</v>
      </c>
      <c r="H519" t="str">
        <f t="shared" si="26"/>
        <v>2024-3</v>
      </c>
    </row>
    <row r="520" spans="1:8" x14ac:dyDescent="0.25">
      <c r="A520" t="s">
        <v>26</v>
      </c>
      <c r="B520" t="s">
        <v>92</v>
      </c>
      <c r="C520" t="s">
        <v>316</v>
      </c>
      <c r="D520">
        <v>53453</v>
      </c>
      <c r="E520">
        <v>7</v>
      </c>
      <c r="F520">
        <f t="shared" si="24"/>
        <v>2024</v>
      </c>
      <c r="G520">
        <f t="shared" si="25"/>
        <v>3</v>
      </c>
      <c r="H520" t="str">
        <f t="shared" si="26"/>
        <v>2024-3</v>
      </c>
    </row>
    <row r="521" spans="1:8" x14ac:dyDescent="0.25">
      <c r="A521" t="s">
        <v>43</v>
      </c>
      <c r="B521" t="s">
        <v>123</v>
      </c>
      <c r="C521" t="s">
        <v>316</v>
      </c>
      <c r="D521">
        <v>20747</v>
      </c>
      <c r="E521">
        <v>9</v>
      </c>
      <c r="F521">
        <f t="shared" si="24"/>
        <v>2024</v>
      </c>
      <c r="G521">
        <f t="shared" si="25"/>
        <v>3</v>
      </c>
      <c r="H521" t="str">
        <f t="shared" si="26"/>
        <v>2024-3</v>
      </c>
    </row>
    <row r="522" spans="1:8" x14ac:dyDescent="0.25">
      <c r="A522" t="s">
        <v>21</v>
      </c>
      <c r="B522" t="s">
        <v>42</v>
      </c>
      <c r="C522" t="s">
        <v>317</v>
      </c>
      <c r="D522">
        <v>53698</v>
      </c>
      <c r="E522">
        <v>7</v>
      </c>
      <c r="F522">
        <f t="shared" si="24"/>
        <v>2024</v>
      </c>
      <c r="G522">
        <f t="shared" si="25"/>
        <v>3</v>
      </c>
      <c r="H522" t="str">
        <f t="shared" si="26"/>
        <v>2024-3</v>
      </c>
    </row>
    <row r="523" spans="1:8" x14ac:dyDescent="0.25">
      <c r="A523" t="s">
        <v>43</v>
      </c>
      <c r="B523" t="s">
        <v>74</v>
      </c>
      <c r="C523" t="s">
        <v>317</v>
      </c>
      <c r="D523">
        <v>11501</v>
      </c>
      <c r="E523">
        <v>10</v>
      </c>
      <c r="F523">
        <f t="shared" si="24"/>
        <v>2024</v>
      </c>
      <c r="G523">
        <f t="shared" si="25"/>
        <v>3</v>
      </c>
      <c r="H523" t="str">
        <f t="shared" si="26"/>
        <v>2024-3</v>
      </c>
    </row>
    <row r="524" spans="1:8" x14ac:dyDescent="0.25">
      <c r="A524" t="s">
        <v>11</v>
      </c>
      <c r="B524" t="s">
        <v>187</v>
      </c>
      <c r="C524" t="s">
        <v>317</v>
      </c>
      <c r="D524">
        <v>94461</v>
      </c>
      <c r="E524">
        <v>7</v>
      </c>
      <c r="F524">
        <f t="shared" si="24"/>
        <v>2024</v>
      </c>
      <c r="G524">
        <f t="shared" si="25"/>
        <v>3</v>
      </c>
      <c r="H524" t="str">
        <f t="shared" si="26"/>
        <v>2024-3</v>
      </c>
    </row>
    <row r="525" spans="1:8" x14ac:dyDescent="0.25">
      <c r="A525" t="s">
        <v>16</v>
      </c>
      <c r="B525" t="s">
        <v>78</v>
      </c>
      <c r="C525" t="s">
        <v>317</v>
      </c>
      <c r="D525">
        <v>14501</v>
      </c>
      <c r="E525">
        <v>6</v>
      </c>
      <c r="F525">
        <f t="shared" si="24"/>
        <v>2024</v>
      </c>
      <c r="G525">
        <f t="shared" si="25"/>
        <v>3</v>
      </c>
      <c r="H525" t="str">
        <f t="shared" si="26"/>
        <v>2024-3</v>
      </c>
    </row>
    <row r="526" spans="1:8" x14ac:dyDescent="0.25">
      <c r="A526" t="s">
        <v>13</v>
      </c>
      <c r="B526" t="s">
        <v>165</v>
      </c>
      <c r="C526" t="s">
        <v>318</v>
      </c>
      <c r="D526">
        <v>54622</v>
      </c>
      <c r="E526">
        <v>5</v>
      </c>
      <c r="F526">
        <f t="shared" si="24"/>
        <v>2024</v>
      </c>
      <c r="G526">
        <f t="shared" si="25"/>
        <v>3</v>
      </c>
      <c r="H526" t="str">
        <f t="shared" si="26"/>
        <v>2024-3</v>
      </c>
    </row>
    <row r="527" spans="1:8" x14ac:dyDescent="0.25">
      <c r="A527" t="s">
        <v>29</v>
      </c>
      <c r="B527" t="s">
        <v>74</v>
      </c>
      <c r="C527" t="s">
        <v>318</v>
      </c>
      <c r="D527">
        <v>62560</v>
      </c>
      <c r="E527">
        <v>7</v>
      </c>
      <c r="F527">
        <f t="shared" si="24"/>
        <v>2024</v>
      </c>
      <c r="G527">
        <f t="shared" si="25"/>
        <v>3</v>
      </c>
      <c r="H527" t="str">
        <f t="shared" si="26"/>
        <v>2024-3</v>
      </c>
    </row>
    <row r="528" spans="1:8" x14ac:dyDescent="0.25">
      <c r="A528" t="s">
        <v>5</v>
      </c>
      <c r="B528" t="s">
        <v>319</v>
      </c>
      <c r="C528" t="s">
        <v>318</v>
      </c>
      <c r="D528">
        <v>65512</v>
      </c>
      <c r="E528">
        <v>3</v>
      </c>
      <c r="F528">
        <f t="shared" si="24"/>
        <v>2024</v>
      </c>
      <c r="G528">
        <f t="shared" si="25"/>
        <v>3</v>
      </c>
      <c r="H528" t="str">
        <f t="shared" si="26"/>
        <v>2024-3</v>
      </c>
    </row>
    <row r="529" spans="1:8" x14ac:dyDescent="0.25">
      <c r="A529" t="s">
        <v>26</v>
      </c>
      <c r="B529" t="s">
        <v>217</v>
      </c>
      <c r="C529" t="s">
        <v>320</v>
      </c>
      <c r="D529">
        <v>44160</v>
      </c>
      <c r="E529">
        <v>7</v>
      </c>
      <c r="F529">
        <f t="shared" si="24"/>
        <v>2024</v>
      </c>
      <c r="G529">
        <f t="shared" si="25"/>
        <v>3</v>
      </c>
      <c r="H529" t="str">
        <f t="shared" si="26"/>
        <v>2024-3</v>
      </c>
    </row>
    <row r="530" spans="1:8" x14ac:dyDescent="0.25">
      <c r="A530" t="s">
        <v>16</v>
      </c>
      <c r="B530" t="s">
        <v>199</v>
      </c>
      <c r="C530" t="s">
        <v>320</v>
      </c>
      <c r="D530">
        <v>28513</v>
      </c>
      <c r="E530">
        <v>10</v>
      </c>
      <c r="F530">
        <f t="shared" si="24"/>
        <v>2024</v>
      </c>
      <c r="G530">
        <f t="shared" si="25"/>
        <v>3</v>
      </c>
      <c r="H530" t="str">
        <f t="shared" si="26"/>
        <v>2024-3</v>
      </c>
    </row>
    <row r="531" spans="1:8" x14ac:dyDescent="0.25">
      <c r="A531" t="s">
        <v>21</v>
      </c>
      <c r="B531" t="s">
        <v>319</v>
      </c>
      <c r="C531" t="s">
        <v>320</v>
      </c>
      <c r="D531">
        <v>85308</v>
      </c>
      <c r="E531">
        <v>7</v>
      </c>
      <c r="F531">
        <f t="shared" si="24"/>
        <v>2024</v>
      </c>
      <c r="G531">
        <f t="shared" si="25"/>
        <v>3</v>
      </c>
      <c r="H531" t="str">
        <f t="shared" si="26"/>
        <v>2024-3</v>
      </c>
    </row>
    <row r="532" spans="1:8" x14ac:dyDescent="0.25">
      <c r="A532" t="s">
        <v>13</v>
      </c>
      <c r="B532" t="s">
        <v>61</v>
      </c>
      <c r="C532" t="s">
        <v>321</v>
      </c>
      <c r="D532">
        <v>97579</v>
      </c>
      <c r="E532">
        <v>8</v>
      </c>
      <c r="F532">
        <f t="shared" si="24"/>
        <v>2024</v>
      </c>
      <c r="G532">
        <f t="shared" si="25"/>
        <v>3</v>
      </c>
      <c r="H532" t="str">
        <f t="shared" si="26"/>
        <v>2024-3</v>
      </c>
    </row>
    <row r="533" spans="1:8" x14ac:dyDescent="0.25">
      <c r="A533" t="s">
        <v>5</v>
      </c>
      <c r="B533" t="s">
        <v>227</v>
      </c>
      <c r="C533" t="s">
        <v>321</v>
      </c>
      <c r="D533">
        <v>82198</v>
      </c>
      <c r="E533">
        <v>10</v>
      </c>
      <c r="F533">
        <f t="shared" si="24"/>
        <v>2024</v>
      </c>
      <c r="G533">
        <f t="shared" si="25"/>
        <v>3</v>
      </c>
      <c r="H533" t="str">
        <f t="shared" si="26"/>
        <v>2024-3</v>
      </c>
    </row>
    <row r="534" spans="1:8" x14ac:dyDescent="0.25">
      <c r="A534" t="s">
        <v>8</v>
      </c>
      <c r="B534" t="s">
        <v>173</v>
      </c>
      <c r="C534" t="s">
        <v>321</v>
      </c>
      <c r="D534">
        <v>46445</v>
      </c>
      <c r="E534">
        <v>7</v>
      </c>
      <c r="F534">
        <f t="shared" si="24"/>
        <v>2024</v>
      </c>
      <c r="G534">
        <f t="shared" si="25"/>
        <v>3</v>
      </c>
      <c r="H534" t="str">
        <f t="shared" si="26"/>
        <v>2024-3</v>
      </c>
    </row>
    <row r="535" spans="1:8" x14ac:dyDescent="0.25">
      <c r="A535" t="s">
        <v>13</v>
      </c>
      <c r="B535" t="s">
        <v>131</v>
      </c>
      <c r="C535" t="s">
        <v>322</v>
      </c>
      <c r="D535">
        <v>73971</v>
      </c>
      <c r="E535">
        <v>6</v>
      </c>
      <c r="F535">
        <f t="shared" si="24"/>
        <v>2024</v>
      </c>
      <c r="G535">
        <f t="shared" si="25"/>
        <v>3</v>
      </c>
      <c r="H535" t="str">
        <f t="shared" si="26"/>
        <v>2024-3</v>
      </c>
    </row>
    <row r="536" spans="1:8" x14ac:dyDescent="0.25">
      <c r="A536" t="s">
        <v>43</v>
      </c>
      <c r="B536" t="s">
        <v>102</v>
      </c>
      <c r="C536" t="s">
        <v>322</v>
      </c>
      <c r="D536">
        <v>75345</v>
      </c>
      <c r="E536">
        <v>2</v>
      </c>
      <c r="F536">
        <f t="shared" si="24"/>
        <v>2024</v>
      </c>
      <c r="G536">
        <f t="shared" si="25"/>
        <v>3</v>
      </c>
      <c r="H536" t="str">
        <f t="shared" si="26"/>
        <v>2024-3</v>
      </c>
    </row>
    <row r="537" spans="1:8" x14ac:dyDescent="0.25">
      <c r="A537" t="s">
        <v>19</v>
      </c>
      <c r="B537" t="s">
        <v>257</v>
      </c>
      <c r="C537" t="s">
        <v>322</v>
      </c>
      <c r="D537">
        <v>62292</v>
      </c>
      <c r="E537">
        <v>0</v>
      </c>
      <c r="F537">
        <f t="shared" si="24"/>
        <v>2024</v>
      </c>
      <c r="G537">
        <f t="shared" si="25"/>
        <v>3</v>
      </c>
      <c r="H537" t="str">
        <f t="shared" si="26"/>
        <v>2024-3</v>
      </c>
    </row>
    <row r="538" spans="1:8" x14ac:dyDescent="0.25">
      <c r="A538" t="s">
        <v>43</v>
      </c>
      <c r="B538" t="s">
        <v>153</v>
      </c>
      <c r="C538" t="s">
        <v>322</v>
      </c>
      <c r="D538">
        <v>84637</v>
      </c>
      <c r="E538">
        <v>3</v>
      </c>
      <c r="F538">
        <f t="shared" si="24"/>
        <v>2024</v>
      </c>
      <c r="G538">
        <f t="shared" si="25"/>
        <v>3</v>
      </c>
      <c r="H538" t="str">
        <f t="shared" si="26"/>
        <v>2024-3</v>
      </c>
    </row>
    <row r="539" spans="1:8" x14ac:dyDescent="0.25">
      <c r="A539" t="s">
        <v>38</v>
      </c>
      <c r="B539" t="s">
        <v>73</v>
      </c>
      <c r="C539" t="s">
        <v>322</v>
      </c>
      <c r="D539">
        <v>37131</v>
      </c>
      <c r="E539">
        <v>7</v>
      </c>
      <c r="F539">
        <f t="shared" si="24"/>
        <v>2024</v>
      </c>
      <c r="G539">
        <f t="shared" si="25"/>
        <v>3</v>
      </c>
      <c r="H539" t="str">
        <f t="shared" si="26"/>
        <v>2024-3</v>
      </c>
    </row>
    <row r="540" spans="1:8" x14ac:dyDescent="0.25">
      <c r="A540" t="s">
        <v>43</v>
      </c>
      <c r="B540" t="s">
        <v>9</v>
      </c>
      <c r="C540" t="s">
        <v>322</v>
      </c>
      <c r="D540">
        <v>42219</v>
      </c>
      <c r="E540">
        <v>3</v>
      </c>
      <c r="F540">
        <f t="shared" si="24"/>
        <v>2024</v>
      </c>
      <c r="G540">
        <f t="shared" si="25"/>
        <v>3</v>
      </c>
      <c r="H540" t="str">
        <f t="shared" si="26"/>
        <v>2024-3</v>
      </c>
    </row>
    <row r="541" spans="1:8" x14ac:dyDescent="0.25">
      <c r="A541" t="s">
        <v>5</v>
      </c>
      <c r="B541" t="s">
        <v>12</v>
      </c>
      <c r="C541" t="s">
        <v>322</v>
      </c>
      <c r="D541">
        <v>92916</v>
      </c>
      <c r="E541">
        <v>2</v>
      </c>
      <c r="F541">
        <f t="shared" si="24"/>
        <v>2024</v>
      </c>
      <c r="G541">
        <f t="shared" si="25"/>
        <v>3</v>
      </c>
      <c r="H541" t="str">
        <f t="shared" si="26"/>
        <v>2024-3</v>
      </c>
    </row>
    <row r="542" spans="1:8" x14ac:dyDescent="0.25">
      <c r="A542" t="s">
        <v>11</v>
      </c>
      <c r="B542" t="s">
        <v>186</v>
      </c>
      <c r="C542" t="s">
        <v>322</v>
      </c>
      <c r="D542">
        <v>65722</v>
      </c>
      <c r="E542">
        <v>10</v>
      </c>
      <c r="F542">
        <f t="shared" si="24"/>
        <v>2024</v>
      </c>
      <c r="G542">
        <f t="shared" si="25"/>
        <v>3</v>
      </c>
      <c r="H542" t="str">
        <f t="shared" si="26"/>
        <v>2024-3</v>
      </c>
    </row>
    <row r="543" spans="1:8" x14ac:dyDescent="0.25">
      <c r="A543" t="s">
        <v>26</v>
      </c>
      <c r="B543" t="s">
        <v>22</v>
      </c>
      <c r="C543" t="s">
        <v>323</v>
      </c>
      <c r="D543">
        <v>36924</v>
      </c>
      <c r="E543">
        <v>0</v>
      </c>
      <c r="F543">
        <f t="shared" si="24"/>
        <v>2024</v>
      </c>
      <c r="G543">
        <f t="shared" si="25"/>
        <v>3</v>
      </c>
      <c r="H543" t="str">
        <f t="shared" si="26"/>
        <v>2024-3</v>
      </c>
    </row>
    <row r="544" spans="1:8" x14ac:dyDescent="0.25">
      <c r="A544" t="s">
        <v>26</v>
      </c>
      <c r="B544" t="s">
        <v>237</v>
      </c>
      <c r="C544" t="s">
        <v>323</v>
      </c>
      <c r="D544">
        <v>19494</v>
      </c>
      <c r="E544">
        <v>6</v>
      </c>
      <c r="F544">
        <f t="shared" si="24"/>
        <v>2024</v>
      </c>
      <c r="G544">
        <f t="shared" si="25"/>
        <v>3</v>
      </c>
      <c r="H544" t="str">
        <f t="shared" si="26"/>
        <v>2024-3</v>
      </c>
    </row>
    <row r="545" spans="1:8" x14ac:dyDescent="0.25">
      <c r="A545" t="s">
        <v>13</v>
      </c>
      <c r="B545" t="s">
        <v>186</v>
      </c>
      <c r="C545" t="s">
        <v>323</v>
      </c>
      <c r="D545">
        <v>17927</v>
      </c>
      <c r="E545">
        <v>9</v>
      </c>
      <c r="F545">
        <f t="shared" si="24"/>
        <v>2024</v>
      </c>
      <c r="G545">
        <f t="shared" si="25"/>
        <v>3</v>
      </c>
      <c r="H545" t="str">
        <f t="shared" si="26"/>
        <v>2024-3</v>
      </c>
    </row>
    <row r="546" spans="1:8" x14ac:dyDescent="0.25">
      <c r="A546" t="s">
        <v>16</v>
      </c>
      <c r="B546" t="s">
        <v>160</v>
      </c>
      <c r="C546" t="s">
        <v>323</v>
      </c>
      <c r="D546">
        <v>24871</v>
      </c>
      <c r="E546">
        <v>6</v>
      </c>
      <c r="F546">
        <f t="shared" si="24"/>
        <v>2024</v>
      </c>
      <c r="G546">
        <f t="shared" si="25"/>
        <v>3</v>
      </c>
      <c r="H546" t="str">
        <f t="shared" si="26"/>
        <v>2024-3</v>
      </c>
    </row>
    <row r="547" spans="1:8" x14ac:dyDescent="0.25">
      <c r="A547" t="s">
        <v>21</v>
      </c>
      <c r="B547" t="s">
        <v>102</v>
      </c>
      <c r="C547" t="s">
        <v>324</v>
      </c>
      <c r="D547">
        <v>76801</v>
      </c>
      <c r="E547">
        <v>3</v>
      </c>
      <c r="F547">
        <f t="shared" si="24"/>
        <v>2024</v>
      </c>
      <c r="G547">
        <f t="shared" si="25"/>
        <v>3</v>
      </c>
      <c r="H547" t="str">
        <f t="shared" si="26"/>
        <v>2024-3</v>
      </c>
    </row>
    <row r="548" spans="1:8" x14ac:dyDescent="0.25">
      <c r="A548" t="s">
        <v>43</v>
      </c>
      <c r="B548" t="s">
        <v>258</v>
      </c>
      <c r="C548" t="s">
        <v>324</v>
      </c>
      <c r="D548">
        <v>59038</v>
      </c>
      <c r="E548">
        <v>6</v>
      </c>
      <c r="F548">
        <f t="shared" si="24"/>
        <v>2024</v>
      </c>
      <c r="G548">
        <f t="shared" si="25"/>
        <v>3</v>
      </c>
      <c r="H548" t="str">
        <f t="shared" si="26"/>
        <v>2024-3</v>
      </c>
    </row>
    <row r="549" spans="1:8" x14ac:dyDescent="0.25">
      <c r="A549" t="s">
        <v>38</v>
      </c>
      <c r="B549" t="s">
        <v>102</v>
      </c>
      <c r="C549" t="s">
        <v>324</v>
      </c>
      <c r="D549">
        <v>87049</v>
      </c>
      <c r="E549">
        <v>6</v>
      </c>
      <c r="F549">
        <f t="shared" si="24"/>
        <v>2024</v>
      </c>
      <c r="G549">
        <f t="shared" si="25"/>
        <v>3</v>
      </c>
      <c r="H549" t="str">
        <f t="shared" si="26"/>
        <v>2024-3</v>
      </c>
    </row>
    <row r="550" spans="1:8" x14ac:dyDescent="0.25">
      <c r="A550" t="s">
        <v>13</v>
      </c>
      <c r="B550" t="s">
        <v>47</v>
      </c>
      <c r="C550" t="s">
        <v>324</v>
      </c>
      <c r="D550">
        <v>86585</v>
      </c>
      <c r="E550">
        <v>6</v>
      </c>
      <c r="F550">
        <f t="shared" si="24"/>
        <v>2024</v>
      </c>
      <c r="G550">
        <f t="shared" si="25"/>
        <v>3</v>
      </c>
      <c r="H550" t="str">
        <f t="shared" si="26"/>
        <v>2024-3</v>
      </c>
    </row>
    <row r="551" spans="1:8" x14ac:dyDescent="0.25">
      <c r="A551" t="s">
        <v>16</v>
      </c>
      <c r="B551" t="s">
        <v>178</v>
      </c>
      <c r="C551" t="s">
        <v>325</v>
      </c>
      <c r="D551">
        <v>99041</v>
      </c>
      <c r="E551">
        <v>7</v>
      </c>
      <c r="F551">
        <f t="shared" si="24"/>
        <v>2024</v>
      </c>
      <c r="G551">
        <f t="shared" si="25"/>
        <v>3</v>
      </c>
      <c r="H551" t="str">
        <f t="shared" si="26"/>
        <v>2024-3</v>
      </c>
    </row>
    <row r="552" spans="1:8" x14ac:dyDescent="0.25">
      <c r="A552" t="s">
        <v>11</v>
      </c>
      <c r="B552" t="s">
        <v>144</v>
      </c>
      <c r="C552" t="s">
        <v>325</v>
      </c>
      <c r="D552">
        <v>15625</v>
      </c>
      <c r="E552">
        <v>7</v>
      </c>
      <c r="F552">
        <f t="shared" si="24"/>
        <v>2024</v>
      </c>
      <c r="G552">
        <f t="shared" si="25"/>
        <v>3</v>
      </c>
      <c r="H552" t="str">
        <f t="shared" si="26"/>
        <v>2024-3</v>
      </c>
    </row>
    <row r="553" spans="1:8" x14ac:dyDescent="0.25">
      <c r="A553" t="s">
        <v>29</v>
      </c>
      <c r="B553" t="s">
        <v>190</v>
      </c>
      <c r="C553" t="s">
        <v>325</v>
      </c>
      <c r="D553">
        <v>71949</v>
      </c>
      <c r="E553">
        <v>6</v>
      </c>
      <c r="F553">
        <f t="shared" si="24"/>
        <v>2024</v>
      </c>
      <c r="G553">
        <f t="shared" si="25"/>
        <v>3</v>
      </c>
      <c r="H553" t="str">
        <f t="shared" si="26"/>
        <v>2024-3</v>
      </c>
    </row>
    <row r="554" spans="1:8" x14ac:dyDescent="0.25">
      <c r="A554" t="s">
        <v>5</v>
      </c>
      <c r="B554" t="s">
        <v>206</v>
      </c>
      <c r="C554" t="s">
        <v>325</v>
      </c>
      <c r="D554">
        <v>86818</v>
      </c>
      <c r="E554">
        <v>9</v>
      </c>
      <c r="F554">
        <f t="shared" si="24"/>
        <v>2024</v>
      </c>
      <c r="G554">
        <f t="shared" si="25"/>
        <v>3</v>
      </c>
      <c r="H554" t="str">
        <f t="shared" si="26"/>
        <v>2024-3</v>
      </c>
    </row>
    <row r="555" spans="1:8" x14ac:dyDescent="0.25">
      <c r="A555" t="s">
        <v>29</v>
      </c>
      <c r="B555" t="s">
        <v>217</v>
      </c>
      <c r="C555" t="s">
        <v>325</v>
      </c>
      <c r="D555">
        <v>68453</v>
      </c>
      <c r="E555">
        <v>8</v>
      </c>
      <c r="F555">
        <f t="shared" si="24"/>
        <v>2024</v>
      </c>
      <c r="G555">
        <f t="shared" si="25"/>
        <v>3</v>
      </c>
      <c r="H555" t="str">
        <f t="shared" si="26"/>
        <v>2024-3</v>
      </c>
    </row>
    <row r="556" spans="1:8" x14ac:dyDescent="0.25">
      <c r="A556" t="s">
        <v>21</v>
      </c>
      <c r="B556" t="s">
        <v>184</v>
      </c>
      <c r="C556" t="s">
        <v>325</v>
      </c>
      <c r="D556">
        <v>87448</v>
      </c>
      <c r="E556">
        <v>7</v>
      </c>
      <c r="F556">
        <f t="shared" si="24"/>
        <v>2024</v>
      </c>
      <c r="G556">
        <f t="shared" si="25"/>
        <v>3</v>
      </c>
      <c r="H556" t="str">
        <f t="shared" si="26"/>
        <v>2024-3</v>
      </c>
    </row>
    <row r="557" spans="1:8" x14ac:dyDescent="0.25">
      <c r="A557" t="s">
        <v>16</v>
      </c>
      <c r="B557" t="s">
        <v>22</v>
      </c>
      <c r="C557" t="s">
        <v>325</v>
      </c>
      <c r="D557">
        <v>20500</v>
      </c>
      <c r="E557">
        <v>0</v>
      </c>
      <c r="F557">
        <f t="shared" si="24"/>
        <v>2024</v>
      </c>
      <c r="G557">
        <f t="shared" si="25"/>
        <v>3</v>
      </c>
      <c r="H557" t="str">
        <f t="shared" si="26"/>
        <v>2024-3</v>
      </c>
    </row>
    <row r="558" spans="1:8" x14ac:dyDescent="0.25">
      <c r="A558" t="s">
        <v>13</v>
      </c>
      <c r="B558" t="s">
        <v>326</v>
      </c>
      <c r="C558" t="s">
        <v>325</v>
      </c>
      <c r="D558">
        <v>26897</v>
      </c>
      <c r="E558">
        <v>6</v>
      </c>
      <c r="F558">
        <f t="shared" si="24"/>
        <v>2024</v>
      </c>
      <c r="G558">
        <f t="shared" si="25"/>
        <v>3</v>
      </c>
      <c r="H558" t="str">
        <f t="shared" si="26"/>
        <v>2024-3</v>
      </c>
    </row>
    <row r="559" spans="1:8" x14ac:dyDescent="0.25">
      <c r="A559" t="s">
        <v>21</v>
      </c>
      <c r="B559" t="s">
        <v>141</v>
      </c>
      <c r="C559" t="s">
        <v>325</v>
      </c>
      <c r="D559">
        <v>87006</v>
      </c>
      <c r="E559">
        <v>7</v>
      </c>
      <c r="F559">
        <f t="shared" si="24"/>
        <v>2024</v>
      </c>
      <c r="G559">
        <f t="shared" si="25"/>
        <v>3</v>
      </c>
      <c r="H559" t="str">
        <f t="shared" si="26"/>
        <v>2024-3</v>
      </c>
    </row>
    <row r="560" spans="1:8" x14ac:dyDescent="0.25">
      <c r="A560" t="s">
        <v>16</v>
      </c>
      <c r="B560" t="s">
        <v>200</v>
      </c>
      <c r="C560" t="s">
        <v>325</v>
      </c>
      <c r="D560">
        <v>43286</v>
      </c>
      <c r="E560">
        <v>9</v>
      </c>
      <c r="F560">
        <f t="shared" si="24"/>
        <v>2024</v>
      </c>
      <c r="G560">
        <f t="shared" si="25"/>
        <v>3</v>
      </c>
      <c r="H560" t="str">
        <f t="shared" si="26"/>
        <v>2024-3</v>
      </c>
    </row>
    <row r="561" spans="1:8" x14ac:dyDescent="0.25">
      <c r="A561" t="s">
        <v>21</v>
      </c>
      <c r="B561" t="s">
        <v>49</v>
      </c>
      <c r="C561" t="s">
        <v>325</v>
      </c>
      <c r="D561">
        <v>23593</v>
      </c>
      <c r="E561">
        <v>6</v>
      </c>
      <c r="F561">
        <f t="shared" si="24"/>
        <v>2024</v>
      </c>
      <c r="G561">
        <f t="shared" si="25"/>
        <v>3</v>
      </c>
      <c r="H561" t="str">
        <f t="shared" si="26"/>
        <v>2024-3</v>
      </c>
    </row>
    <row r="562" spans="1:8" x14ac:dyDescent="0.25">
      <c r="A562" t="s">
        <v>26</v>
      </c>
      <c r="B562" t="s">
        <v>295</v>
      </c>
      <c r="C562" t="s">
        <v>325</v>
      </c>
      <c r="D562">
        <v>40925</v>
      </c>
      <c r="E562">
        <v>7</v>
      </c>
      <c r="F562">
        <f t="shared" si="24"/>
        <v>2024</v>
      </c>
      <c r="G562">
        <f t="shared" si="25"/>
        <v>3</v>
      </c>
      <c r="H562" t="str">
        <f t="shared" si="26"/>
        <v>2024-3</v>
      </c>
    </row>
    <row r="563" spans="1:8" x14ac:dyDescent="0.25">
      <c r="A563" t="s">
        <v>43</v>
      </c>
      <c r="B563" t="s">
        <v>104</v>
      </c>
      <c r="C563" t="s">
        <v>327</v>
      </c>
      <c r="D563">
        <v>21487</v>
      </c>
      <c r="E563">
        <v>5</v>
      </c>
      <c r="F563">
        <f t="shared" si="24"/>
        <v>2024</v>
      </c>
      <c r="G563">
        <f t="shared" si="25"/>
        <v>3</v>
      </c>
      <c r="H563" t="str">
        <f t="shared" si="26"/>
        <v>2024-3</v>
      </c>
    </row>
    <row r="564" spans="1:8" x14ac:dyDescent="0.25">
      <c r="A564" t="s">
        <v>38</v>
      </c>
      <c r="B564" t="s">
        <v>328</v>
      </c>
      <c r="C564" t="s">
        <v>329</v>
      </c>
      <c r="D564">
        <v>44203</v>
      </c>
      <c r="E564">
        <v>7</v>
      </c>
      <c r="F564">
        <f t="shared" si="24"/>
        <v>2024</v>
      </c>
      <c r="G564">
        <f t="shared" si="25"/>
        <v>3</v>
      </c>
      <c r="H564" t="str">
        <f t="shared" si="26"/>
        <v>2024-3</v>
      </c>
    </row>
    <row r="565" spans="1:8" x14ac:dyDescent="0.25">
      <c r="A565" t="s">
        <v>26</v>
      </c>
      <c r="B565" t="s">
        <v>123</v>
      </c>
      <c r="C565" t="s">
        <v>329</v>
      </c>
      <c r="D565">
        <v>96568</v>
      </c>
      <c r="E565">
        <v>7</v>
      </c>
      <c r="F565">
        <f t="shared" si="24"/>
        <v>2024</v>
      </c>
      <c r="G565">
        <f t="shared" si="25"/>
        <v>3</v>
      </c>
      <c r="H565" t="str">
        <f t="shared" si="26"/>
        <v>2024-3</v>
      </c>
    </row>
    <row r="566" spans="1:8" x14ac:dyDescent="0.25">
      <c r="A566" t="s">
        <v>8</v>
      </c>
      <c r="B566" t="s">
        <v>274</v>
      </c>
      <c r="C566" t="s">
        <v>329</v>
      </c>
      <c r="D566">
        <v>91861</v>
      </c>
      <c r="E566">
        <v>8</v>
      </c>
      <c r="F566">
        <f t="shared" si="24"/>
        <v>2024</v>
      </c>
      <c r="G566">
        <f t="shared" si="25"/>
        <v>3</v>
      </c>
      <c r="H566" t="str">
        <f t="shared" si="26"/>
        <v>2024-3</v>
      </c>
    </row>
    <row r="567" spans="1:8" x14ac:dyDescent="0.25">
      <c r="A567" t="s">
        <v>5</v>
      </c>
      <c r="B567" t="s">
        <v>65</v>
      </c>
      <c r="C567" t="s">
        <v>330</v>
      </c>
      <c r="D567">
        <v>81050</v>
      </c>
      <c r="E567">
        <v>6</v>
      </c>
      <c r="F567">
        <f t="shared" si="24"/>
        <v>2024</v>
      </c>
      <c r="G567">
        <f t="shared" si="25"/>
        <v>3</v>
      </c>
      <c r="H567" t="str">
        <f t="shared" si="26"/>
        <v>2024-3</v>
      </c>
    </row>
    <row r="568" spans="1:8" x14ac:dyDescent="0.25">
      <c r="A568" t="s">
        <v>55</v>
      </c>
      <c r="B568" t="s">
        <v>211</v>
      </c>
      <c r="C568" t="s">
        <v>330</v>
      </c>
      <c r="D568">
        <v>88463</v>
      </c>
      <c r="E568">
        <v>8</v>
      </c>
      <c r="F568">
        <f t="shared" si="24"/>
        <v>2024</v>
      </c>
      <c r="G568">
        <f t="shared" si="25"/>
        <v>3</v>
      </c>
      <c r="H568" t="str">
        <f t="shared" si="26"/>
        <v>2024-3</v>
      </c>
    </row>
    <row r="569" spans="1:8" x14ac:dyDescent="0.25">
      <c r="A569" t="s">
        <v>19</v>
      </c>
      <c r="B569" t="s">
        <v>33</v>
      </c>
      <c r="C569" t="s">
        <v>330</v>
      </c>
      <c r="D569">
        <v>50108</v>
      </c>
      <c r="E569">
        <v>8</v>
      </c>
      <c r="F569">
        <f t="shared" si="24"/>
        <v>2024</v>
      </c>
      <c r="G569">
        <f t="shared" si="25"/>
        <v>3</v>
      </c>
      <c r="H569" t="str">
        <f t="shared" si="26"/>
        <v>2024-3</v>
      </c>
    </row>
    <row r="570" spans="1:8" x14ac:dyDescent="0.25">
      <c r="A570" t="s">
        <v>11</v>
      </c>
      <c r="B570" t="s">
        <v>33</v>
      </c>
      <c r="C570" t="s">
        <v>330</v>
      </c>
      <c r="D570">
        <v>99410</v>
      </c>
      <c r="E570">
        <v>0</v>
      </c>
      <c r="F570">
        <f t="shared" si="24"/>
        <v>2024</v>
      </c>
      <c r="G570">
        <f t="shared" si="25"/>
        <v>3</v>
      </c>
      <c r="H570" t="str">
        <f t="shared" si="26"/>
        <v>2024-3</v>
      </c>
    </row>
    <row r="571" spans="1:8" x14ac:dyDescent="0.25">
      <c r="A571" t="s">
        <v>19</v>
      </c>
      <c r="B571" t="s">
        <v>32</v>
      </c>
      <c r="C571" t="s">
        <v>330</v>
      </c>
      <c r="D571">
        <v>19645</v>
      </c>
      <c r="E571">
        <v>8</v>
      </c>
      <c r="F571">
        <f t="shared" si="24"/>
        <v>2024</v>
      </c>
      <c r="G571">
        <f t="shared" si="25"/>
        <v>3</v>
      </c>
      <c r="H571" t="str">
        <f t="shared" si="26"/>
        <v>2024-3</v>
      </c>
    </row>
    <row r="572" spans="1:8" x14ac:dyDescent="0.25">
      <c r="A572" t="s">
        <v>11</v>
      </c>
      <c r="B572" t="s">
        <v>44</v>
      </c>
      <c r="C572" t="s">
        <v>331</v>
      </c>
      <c r="D572">
        <v>31575</v>
      </c>
      <c r="E572">
        <v>7</v>
      </c>
      <c r="F572">
        <f t="shared" si="24"/>
        <v>2024</v>
      </c>
      <c r="G572">
        <f t="shared" si="25"/>
        <v>3</v>
      </c>
      <c r="H572" t="str">
        <f t="shared" si="26"/>
        <v>2024-3</v>
      </c>
    </row>
    <row r="573" spans="1:8" x14ac:dyDescent="0.25">
      <c r="A573" t="s">
        <v>43</v>
      </c>
      <c r="B573" t="s">
        <v>106</v>
      </c>
      <c r="C573" t="s">
        <v>331</v>
      </c>
      <c r="D573">
        <v>47993</v>
      </c>
      <c r="E573">
        <v>7</v>
      </c>
      <c r="F573">
        <f t="shared" si="24"/>
        <v>2024</v>
      </c>
      <c r="G573">
        <f t="shared" si="25"/>
        <v>3</v>
      </c>
      <c r="H573" t="str">
        <f t="shared" si="26"/>
        <v>2024-3</v>
      </c>
    </row>
    <row r="574" spans="1:8" x14ac:dyDescent="0.25">
      <c r="A574" t="s">
        <v>11</v>
      </c>
      <c r="B574" t="s">
        <v>165</v>
      </c>
      <c r="C574" t="s">
        <v>332</v>
      </c>
      <c r="D574">
        <v>57251</v>
      </c>
      <c r="E574">
        <v>8</v>
      </c>
      <c r="F574">
        <f t="shared" si="24"/>
        <v>2024</v>
      </c>
      <c r="G574">
        <f t="shared" si="25"/>
        <v>4</v>
      </c>
      <c r="H574" t="str">
        <f t="shared" si="26"/>
        <v>2024-4</v>
      </c>
    </row>
    <row r="575" spans="1:8" x14ac:dyDescent="0.25">
      <c r="A575" t="s">
        <v>38</v>
      </c>
      <c r="B575" t="s">
        <v>39</v>
      </c>
      <c r="C575" t="s">
        <v>332</v>
      </c>
      <c r="D575">
        <v>79075</v>
      </c>
      <c r="E575">
        <v>8</v>
      </c>
      <c r="F575">
        <f t="shared" si="24"/>
        <v>2024</v>
      </c>
      <c r="G575">
        <f t="shared" si="25"/>
        <v>4</v>
      </c>
      <c r="H575" t="str">
        <f t="shared" si="26"/>
        <v>2024-4</v>
      </c>
    </row>
    <row r="576" spans="1:8" x14ac:dyDescent="0.25">
      <c r="A576" t="s">
        <v>29</v>
      </c>
      <c r="B576" t="s">
        <v>88</v>
      </c>
      <c r="C576" t="s">
        <v>332</v>
      </c>
      <c r="D576">
        <v>88374</v>
      </c>
      <c r="E576">
        <v>9</v>
      </c>
      <c r="F576">
        <f t="shared" si="24"/>
        <v>2024</v>
      </c>
      <c r="G576">
        <f t="shared" si="25"/>
        <v>4</v>
      </c>
      <c r="H576" t="str">
        <f t="shared" si="26"/>
        <v>2024-4</v>
      </c>
    </row>
    <row r="577" spans="1:8" x14ac:dyDescent="0.25">
      <c r="A577" t="s">
        <v>43</v>
      </c>
      <c r="B577" t="s">
        <v>263</v>
      </c>
      <c r="C577" t="s">
        <v>332</v>
      </c>
      <c r="D577">
        <v>47149</v>
      </c>
      <c r="E577">
        <v>5</v>
      </c>
      <c r="F577">
        <f t="shared" si="24"/>
        <v>2024</v>
      </c>
      <c r="G577">
        <f t="shared" si="25"/>
        <v>4</v>
      </c>
      <c r="H577" t="str">
        <f t="shared" si="26"/>
        <v>2024-4</v>
      </c>
    </row>
    <row r="578" spans="1:8" x14ac:dyDescent="0.25">
      <c r="A578" t="s">
        <v>38</v>
      </c>
      <c r="B578" t="s">
        <v>28</v>
      </c>
      <c r="C578" t="s">
        <v>332</v>
      </c>
      <c r="D578">
        <v>33091</v>
      </c>
      <c r="E578">
        <v>8</v>
      </c>
      <c r="F578">
        <f t="shared" si="24"/>
        <v>2024</v>
      </c>
      <c r="G578">
        <f t="shared" si="25"/>
        <v>4</v>
      </c>
      <c r="H578" t="str">
        <f t="shared" si="26"/>
        <v>2024-4</v>
      </c>
    </row>
    <row r="579" spans="1:8" x14ac:dyDescent="0.25">
      <c r="A579" t="s">
        <v>11</v>
      </c>
      <c r="B579" t="s">
        <v>275</v>
      </c>
      <c r="C579" t="s">
        <v>332</v>
      </c>
      <c r="D579">
        <v>76361</v>
      </c>
      <c r="E579">
        <v>10</v>
      </c>
      <c r="F579">
        <f t="shared" ref="F579:F642" si="27">YEAR(C579)</f>
        <v>2024</v>
      </c>
      <c r="G579">
        <f t="shared" ref="G579:G642" si="28">MONTH(C579)</f>
        <v>4</v>
      </c>
      <c r="H579" t="str">
        <f t="shared" ref="H579:H642" si="29">F579&amp;"-"&amp;G579</f>
        <v>2024-4</v>
      </c>
    </row>
    <row r="580" spans="1:8" x14ac:dyDescent="0.25">
      <c r="A580" t="s">
        <v>16</v>
      </c>
      <c r="B580" t="s">
        <v>130</v>
      </c>
      <c r="C580" t="s">
        <v>332</v>
      </c>
      <c r="D580">
        <v>69950</v>
      </c>
      <c r="E580">
        <v>6</v>
      </c>
      <c r="F580">
        <f t="shared" si="27"/>
        <v>2024</v>
      </c>
      <c r="G580">
        <f t="shared" si="28"/>
        <v>4</v>
      </c>
      <c r="H580" t="str">
        <f t="shared" si="29"/>
        <v>2024-4</v>
      </c>
    </row>
    <row r="581" spans="1:8" x14ac:dyDescent="0.25">
      <c r="A581" t="s">
        <v>26</v>
      </c>
      <c r="B581" t="s">
        <v>265</v>
      </c>
      <c r="C581" t="s">
        <v>332</v>
      </c>
      <c r="D581">
        <v>36344</v>
      </c>
      <c r="E581">
        <v>5</v>
      </c>
      <c r="F581">
        <f t="shared" si="27"/>
        <v>2024</v>
      </c>
      <c r="G581">
        <f t="shared" si="28"/>
        <v>4</v>
      </c>
      <c r="H581" t="str">
        <f t="shared" si="29"/>
        <v>2024-4</v>
      </c>
    </row>
    <row r="582" spans="1:8" x14ac:dyDescent="0.25">
      <c r="A582" t="s">
        <v>8</v>
      </c>
      <c r="B582" t="s">
        <v>333</v>
      </c>
      <c r="C582" t="s">
        <v>332</v>
      </c>
      <c r="D582">
        <v>39263</v>
      </c>
      <c r="E582">
        <v>4</v>
      </c>
      <c r="F582">
        <f t="shared" si="27"/>
        <v>2024</v>
      </c>
      <c r="G582">
        <f t="shared" si="28"/>
        <v>4</v>
      </c>
      <c r="H582" t="str">
        <f t="shared" si="29"/>
        <v>2024-4</v>
      </c>
    </row>
    <row r="583" spans="1:8" x14ac:dyDescent="0.25">
      <c r="A583" t="s">
        <v>19</v>
      </c>
      <c r="B583" t="s">
        <v>237</v>
      </c>
      <c r="C583" t="s">
        <v>332</v>
      </c>
      <c r="D583">
        <v>75162</v>
      </c>
      <c r="E583">
        <v>6</v>
      </c>
      <c r="F583">
        <f t="shared" si="27"/>
        <v>2024</v>
      </c>
      <c r="G583">
        <f t="shared" si="28"/>
        <v>4</v>
      </c>
      <c r="H583" t="str">
        <f t="shared" si="29"/>
        <v>2024-4</v>
      </c>
    </row>
    <row r="584" spans="1:8" x14ac:dyDescent="0.25">
      <c r="A584" t="s">
        <v>13</v>
      </c>
      <c r="B584" t="s">
        <v>82</v>
      </c>
      <c r="C584" t="s">
        <v>332</v>
      </c>
      <c r="D584">
        <v>22646</v>
      </c>
      <c r="E584">
        <v>8</v>
      </c>
      <c r="F584">
        <f t="shared" si="27"/>
        <v>2024</v>
      </c>
      <c r="G584">
        <f t="shared" si="28"/>
        <v>4</v>
      </c>
      <c r="H584" t="str">
        <f t="shared" si="29"/>
        <v>2024-4</v>
      </c>
    </row>
    <row r="585" spans="1:8" x14ac:dyDescent="0.25">
      <c r="A585" t="s">
        <v>16</v>
      </c>
      <c r="B585" t="s">
        <v>67</v>
      </c>
      <c r="C585" t="s">
        <v>332</v>
      </c>
      <c r="D585">
        <v>75501</v>
      </c>
      <c r="E585">
        <v>7</v>
      </c>
      <c r="F585">
        <f t="shared" si="27"/>
        <v>2024</v>
      </c>
      <c r="G585">
        <f t="shared" si="28"/>
        <v>4</v>
      </c>
      <c r="H585" t="str">
        <f t="shared" si="29"/>
        <v>2024-4</v>
      </c>
    </row>
    <row r="586" spans="1:8" x14ac:dyDescent="0.25">
      <c r="A586" t="s">
        <v>43</v>
      </c>
      <c r="B586" t="s">
        <v>264</v>
      </c>
      <c r="C586" t="s">
        <v>332</v>
      </c>
      <c r="D586">
        <v>52491</v>
      </c>
      <c r="E586">
        <v>8</v>
      </c>
      <c r="F586">
        <f t="shared" si="27"/>
        <v>2024</v>
      </c>
      <c r="G586">
        <f t="shared" si="28"/>
        <v>4</v>
      </c>
      <c r="H586" t="str">
        <f t="shared" si="29"/>
        <v>2024-4</v>
      </c>
    </row>
    <row r="587" spans="1:8" x14ac:dyDescent="0.25">
      <c r="A587" t="s">
        <v>13</v>
      </c>
      <c r="B587" t="s">
        <v>129</v>
      </c>
      <c r="C587" t="s">
        <v>334</v>
      </c>
      <c r="D587">
        <v>86625</v>
      </c>
      <c r="E587">
        <v>9</v>
      </c>
      <c r="F587">
        <f t="shared" si="27"/>
        <v>2024</v>
      </c>
      <c r="G587">
        <f t="shared" si="28"/>
        <v>4</v>
      </c>
      <c r="H587" t="str">
        <f t="shared" si="29"/>
        <v>2024-4</v>
      </c>
    </row>
    <row r="588" spans="1:8" x14ac:dyDescent="0.25">
      <c r="A588" t="s">
        <v>16</v>
      </c>
      <c r="B588" t="s">
        <v>221</v>
      </c>
      <c r="C588" t="s">
        <v>334</v>
      </c>
      <c r="D588">
        <v>87678</v>
      </c>
      <c r="E588">
        <v>3</v>
      </c>
      <c r="F588">
        <f t="shared" si="27"/>
        <v>2024</v>
      </c>
      <c r="G588">
        <f t="shared" si="28"/>
        <v>4</v>
      </c>
      <c r="H588" t="str">
        <f t="shared" si="29"/>
        <v>2024-4</v>
      </c>
    </row>
    <row r="589" spans="1:8" x14ac:dyDescent="0.25">
      <c r="A589" t="s">
        <v>16</v>
      </c>
      <c r="B589" t="s">
        <v>111</v>
      </c>
      <c r="C589" t="s">
        <v>334</v>
      </c>
      <c r="D589">
        <v>20491</v>
      </c>
      <c r="E589">
        <v>7</v>
      </c>
      <c r="F589">
        <f t="shared" si="27"/>
        <v>2024</v>
      </c>
      <c r="G589">
        <f t="shared" si="28"/>
        <v>4</v>
      </c>
      <c r="H589" t="str">
        <f t="shared" si="29"/>
        <v>2024-4</v>
      </c>
    </row>
    <row r="590" spans="1:8" x14ac:dyDescent="0.25">
      <c r="A590" t="s">
        <v>19</v>
      </c>
      <c r="B590" t="s">
        <v>149</v>
      </c>
      <c r="C590" t="s">
        <v>334</v>
      </c>
      <c r="D590">
        <v>12534</v>
      </c>
      <c r="E590">
        <v>7</v>
      </c>
      <c r="F590">
        <f t="shared" si="27"/>
        <v>2024</v>
      </c>
      <c r="G590">
        <f t="shared" si="28"/>
        <v>4</v>
      </c>
      <c r="H590" t="str">
        <f t="shared" si="29"/>
        <v>2024-4</v>
      </c>
    </row>
    <row r="591" spans="1:8" x14ac:dyDescent="0.25">
      <c r="A591" t="s">
        <v>19</v>
      </c>
      <c r="B591" t="s">
        <v>264</v>
      </c>
      <c r="C591" t="s">
        <v>335</v>
      </c>
      <c r="D591">
        <v>87132</v>
      </c>
      <c r="E591">
        <v>5</v>
      </c>
      <c r="F591">
        <f t="shared" si="27"/>
        <v>2024</v>
      </c>
      <c r="G591">
        <f t="shared" si="28"/>
        <v>4</v>
      </c>
      <c r="H591" t="str">
        <f t="shared" si="29"/>
        <v>2024-4</v>
      </c>
    </row>
    <row r="592" spans="1:8" x14ac:dyDescent="0.25">
      <c r="A592" t="s">
        <v>16</v>
      </c>
      <c r="B592" t="s">
        <v>109</v>
      </c>
      <c r="C592" t="s">
        <v>335</v>
      </c>
      <c r="D592">
        <v>58480</v>
      </c>
      <c r="E592">
        <v>3</v>
      </c>
      <c r="F592">
        <f t="shared" si="27"/>
        <v>2024</v>
      </c>
      <c r="G592">
        <f t="shared" si="28"/>
        <v>4</v>
      </c>
      <c r="H592" t="str">
        <f t="shared" si="29"/>
        <v>2024-4</v>
      </c>
    </row>
    <row r="593" spans="1:8" x14ac:dyDescent="0.25">
      <c r="A593" t="s">
        <v>5</v>
      </c>
      <c r="B593" t="s">
        <v>74</v>
      </c>
      <c r="C593" t="s">
        <v>336</v>
      </c>
      <c r="D593">
        <v>27017</v>
      </c>
      <c r="E593">
        <v>7</v>
      </c>
      <c r="F593">
        <f t="shared" si="27"/>
        <v>2024</v>
      </c>
      <c r="G593">
        <f t="shared" si="28"/>
        <v>4</v>
      </c>
      <c r="H593" t="str">
        <f t="shared" si="29"/>
        <v>2024-4</v>
      </c>
    </row>
    <row r="594" spans="1:8" x14ac:dyDescent="0.25">
      <c r="A594" t="s">
        <v>21</v>
      </c>
      <c r="B594" t="s">
        <v>59</v>
      </c>
      <c r="C594" t="s">
        <v>336</v>
      </c>
      <c r="D594">
        <v>48771</v>
      </c>
      <c r="E594">
        <v>3</v>
      </c>
      <c r="F594">
        <f t="shared" si="27"/>
        <v>2024</v>
      </c>
      <c r="G594">
        <f t="shared" si="28"/>
        <v>4</v>
      </c>
      <c r="H594" t="str">
        <f t="shared" si="29"/>
        <v>2024-4</v>
      </c>
    </row>
    <row r="595" spans="1:8" x14ac:dyDescent="0.25">
      <c r="A595" t="s">
        <v>21</v>
      </c>
      <c r="B595" t="s">
        <v>263</v>
      </c>
      <c r="C595" t="s">
        <v>337</v>
      </c>
      <c r="D595">
        <v>16819</v>
      </c>
      <c r="E595">
        <v>10</v>
      </c>
      <c r="F595">
        <f t="shared" si="27"/>
        <v>2024</v>
      </c>
      <c r="G595">
        <f t="shared" si="28"/>
        <v>4</v>
      </c>
      <c r="H595" t="str">
        <f t="shared" si="29"/>
        <v>2024-4</v>
      </c>
    </row>
    <row r="596" spans="1:8" x14ac:dyDescent="0.25">
      <c r="A596" t="s">
        <v>55</v>
      </c>
      <c r="B596" t="s">
        <v>139</v>
      </c>
      <c r="C596" t="s">
        <v>337</v>
      </c>
      <c r="D596">
        <v>53168</v>
      </c>
      <c r="E596">
        <v>0</v>
      </c>
      <c r="F596">
        <f t="shared" si="27"/>
        <v>2024</v>
      </c>
      <c r="G596">
        <f t="shared" si="28"/>
        <v>4</v>
      </c>
      <c r="H596" t="str">
        <f t="shared" si="29"/>
        <v>2024-4</v>
      </c>
    </row>
    <row r="597" spans="1:8" x14ac:dyDescent="0.25">
      <c r="A597" t="s">
        <v>26</v>
      </c>
      <c r="B597" t="s">
        <v>169</v>
      </c>
      <c r="C597" t="s">
        <v>338</v>
      </c>
      <c r="D597">
        <v>27418</v>
      </c>
      <c r="E597">
        <v>8</v>
      </c>
      <c r="F597">
        <f t="shared" si="27"/>
        <v>2024</v>
      </c>
      <c r="G597">
        <f t="shared" si="28"/>
        <v>4</v>
      </c>
      <c r="H597" t="str">
        <f t="shared" si="29"/>
        <v>2024-4</v>
      </c>
    </row>
    <row r="598" spans="1:8" x14ac:dyDescent="0.25">
      <c r="A598" t="s">
        <v>26</v>
      </c>
      <c r="B598" t="s">
        <v>193</v>
      </c>
      <c r="C598" t="s">
        <v>338</v>
      </c>
      <c r="D598">
        <v>83781</v>
      </c>
      <c r="E598">
        <v>1</v>
      </c>
      <c r="F598">
        <f t="shared" si="27"/>
        <v>2024</v>
      </c>
      <c r="G598">
        <f t="shared" si="28"/>
        <v>4</v>
      </c>
      <c r="H598" t="str">
        <f t="shared" si="29"/>
        <v>2024-4</v>
      </c>
    </row>
    <row r="599" spans="1:8" x14ac:dyDescent="0.25">
      <c r="A599" t="s">
        <v>5</v>
      </c>
      <c r="B599" t="s">
        <v>275</v>
      </c>
      <c r="C599" t="s">
        <v>338</v>
      </c>
      <c r="D599">
        <v>44158</v>
      </c>
      <c r="E599">
        <v>6</v>
      </c>
      <c r="F599">
        <f t="shared" si="27"/>
        <v>2024</v>
      </c>
      <c r="G599">
        <f t="shared" si="28"/>
        <v>4</v>
      </c>
      <c r="H599" t="str">
        <f t="shared" si="29"/>
        <v>2024-4</v>
      </c>
    </row>
    <row r="600" spans="1:8" x14ac:dyDescent="0.25">
      <c r="A600" t="s">
        <v>19</v>
      </c>
      <c r="B600" t="s">
        <v>165</v>
      </c>
      <c r="C600" t="s">
        <v>338</v>
      </c>
      <c r="D600">
        <v>93497</v>
      </c>
      <c r="E600">
        <v>6</v>
      </c>
      <c r="F600">
        <f t="shared" si="27"/>
        <v>2024</v>
      </c>
      <c r="G600">
        <f t="shared" si="28"/>
        <v>4</v>
      </c>
      <c r="H600" t="str">
        <f t="shared" si="29"/>
        <v>2024-4</v>
      </c>
    </row>
    <row r="601" spans="1:8" x14ac:dyDescent="0.25">
      <c r="A601" t="s">
        <v>19</v>
      </c>
      <c r="B601" t="s">
        <v>39</v>
      </c>
      <c r="C601" t="s">
        <v>338</v>
      </c>
      <c r="D601">
        <v>74151</v>
      </c>
      <c r="E601">
        <v>9</v>
      </c>
      <c r="F601">
        <f t="shared" si="27"/>
        <v>2024</v>
      </c>
      <c r="G601">
        <f t="shared" si="28"/>
        <v>4</v>
      </c>
      <c r="H601" t="str">
        <f t="shared" si="29"/>
        <v>2024-4</v>
      </c>
    </row>
    <row r="602" spans="1:8" x14ac:dyDescent="0.25">
      <c r="A602" t="s">
        <v>26</v>
      </c>
      <c r="B602" t="s">
        <v>339</v>
      </c>
      <c r="C602" t="s">
        <v>338</v>
      </c>
      <c r="D602">
        <v>41661</v>
      </c>
      <c r="E602">
        <v>9</v>
      </c>
      <c r="F602">
        <f t="shared" si="27"/>
        <v>2024</v>
      </c>
      <c r="G602">
        <f t="shared" si="28"/>
        <v>4</v>
      </c>
      <c r="H602" t="str">
        <f t="shared" si="29"/>
        <v>2024-4</v>
      </c>
    </row>
    <row r="603" spans="1:8" x14ac:dyDescent="0.25">
      <c r="A603" t="s">
        <v>8</v>
      </c>
      <c r="B603" t="s">
        <v>125</v>
      </c>
      <c r="C603" t="s">
        <v>338</v>
      </c>
      <c r="D603">
        <v>21630</v>
      </c>
      <c r="E603">
        <v>7</v>
      </c>
      <c r="F603">
        <f t="shared" si="27"/>
        <v>2024</v>
      </c>
      <c r="G603">
        <f t="shared" si="28"/>
        <v>4</v>
      </c>
      <c r="H603" t="str">
        <f t="shared" si="29"/>
        <v>2024-4</v>
      </c>
    </row>
    <row r="604" spans="1:8" x14ac:dyDescent="0.25">
      <c r="A604" t="s">
        <v>21</v>
      </c>
      <c r="B604" t="s">
        <v>295</v>
      </c>
      <c r="C604" t="s">
        <v>338</v>
      </c>
      <c r="D604">
        <v>91642</v>
      </c>
      <c r="E604">
        <v>7</v>
      </c>
      <c r="F604">
        <f t="shared" si="27"/>
        <v>2024</v>
      </c>
      <c r="G604">
        <f t="shared" si="28"/>
        <v>4</v>
      </c>
      <c r="H604" t="str">
        <f t="shared" si="29"/>
        <v>2024-4</v>
      </c>
    </row>
    <row r="605" spans="1:8" x14ac:dyDescent="0.25">
      <c r="A605" t="s">
        <v>55</v>
      </c>
      <c r="B605" t="s">
        <v>340</v>
      </c>
      <c r="C605" t="s">
        <v>341</v>
      </c>
      <c r="D605">
        <v>24161</v>
      </c>
      <c r="E605">
        <v>7</v>
      </c>
      <c r="F605">
        <f t="shared" si="27"/>
        <v>2024</v>
      </c>
      <c r="G605">
        <f t="shared" si="28"/>
        <v>4</v>
      </c>
      <c r="H605" t="str">
        <f t="shared" si="29"/>
        <v>2024-4</v>
      </c>
    </row>
    <row r="606" spans="1:8" x14ac:dyDescent="0.25">
      <c r="A606" t="s">
        <v>55</v>
      </c>
      <c r="B606" t="s">
        <v>342</v>
      </c>
      <c r="C606" t="s">
        <v>341</v>
      </c>
      <c r="D606">
        <v>98112</v>
      </c>
      <c r="E606">
        <v>7</v>
      </c>
      <c r="F606">
        <f t="shared" si="27"/>
        <v>2024</v>
      </c>
      <c r="G606">
        <f t="shared" si="28"/>
        <v>4</v>
      </c>
      <c r="H606" t="str">
        <f t="shared" si="29"/>
        <v>2024-4</v>
      </c>
    </row>
    <row r="607" spans="1:8" x14ac:dyDescent="0.25">
      <c r="A607" t="s">
        <v>55</v>
      </c>
      <c r="B607" t="s">
        <v>22</v>
      </c>
      <c r="C607" t="s">
        <v>341</v>
      </c>
      <c r="D607">
        <v>53484</v>
      </c>
      <c r="E607">
        <v>6</v>
      </c>
      <c r="F607">
        <f t="shared" si="27"/>
        <v>2024</v>
      </c>
      <c r="G607">
        <f t="shared" si="28"/>
        <v>4</v>
      </c>
      <c r="H607" t="str">
        <f t="shared" si="29"/>
        <v>2024-4</v>
      </c>
    </row>
    <row r="608" spans="1:8" x14ac:dyDescent="0.25">
      <c r="A608" t="s">
        <v>19</v>
      </c>
      <c r="B608" t="s">
        <v>237</v>
      </c>
      <c r="C608" t="s">
        <v>341</v>
      </c>
      <c r="D608">
        <v>37998</v>
      </c>
      <c r="E608">
        <v>7</v>
      </c>
      <c r="F608">
        <f t="shared" si="27"/>
        <v>2024</v>
      </c>
      <c r="G608">
        <f t="shared" si="28"/>
        <v>4</v>
      </c>
      <c r="H608" t="str">
        <f t="shared" si="29"/>
        <v>2024-4</v>
      </c>
    </row>
    <row r="609" spans="1:8" x14ac:dyDescent="0.25">
      <c r="A609" t="s">
        <v>38</v>
      </c>
      <c r="B609" t="s">
        <v>59</v>
      </c>
      <c r="C609" t="s">
        <v>341</v>
      </c>
      <c r="D609">
        <v>39190</v>
      </c>
      <c r="E609">
        <v>5</v>
      </c>
      <c r="F609">
        <f t="shared" si="27"/>
        <v>2024</v>
      </c>
      <c r="G609">
        <f t="shared" si="28"/>
        <v>4</v>
      </c>
      <c r="H609" t="str">
        <f t="shared" si="29"/>
        <v>2024-4</v>
      </c>
    </row>
    <row r="610" spans="1:8" x14ac:dyDescent="0.25">
      <c r="A610" t="s">
        <v>19</v>
      </c>
      <c r="B610" t="s">
        <v>123</v>
      </c>
      <c r="C610" t="s">
        <v>343</v>
      </c>
      <c r="D610">
        <v>57827</v>
      </c>
      <c r="E610">
        <v>0</v>
      </c>
      <c r="F610">
        <f t="shared" si="27"/>
        <v>2024</v>
      </c>
      <c r="G610">
        <f t="shared" si="28"/>
        <v>4</v>
      </c>
      <c r="H610" t="str">
        <f t="shared" si="29"/>
        <v>2024-4</v>
      </c>
    </row>
    <row r="611" spans="1:8" x14ac:dyDescent="0.25">
      <c r="A611" t="s">
        <v>29</v>
      </c>
      <c r="B611" t="s">
        <v>144</v>
      </c>
      <c r="C611" t="s">
        <v>343</v>
      </c>
      <c r="D611">
        <v>99505</v>
      </c>
      <c r="E611">
        <v>6</v>
      </c>
      <c r="F611">
        <f t="shared" si="27"/>
        <v>2024</v>
      </c>
      <c r="G611">
        <f t="shared" si="28"/>
        <v>4</v>
      </c>
      <c r="H611" t="str">
        <f t="shared" si="29"/>
        <v>2024-4</v>
      </c>
    </row>
    <row r="612" spans="1:8" x14ac:dyDescent="0.25">
      <c r="A612" t="s">
        <v>29</v>
      </c>
      <c r="B612" t="s">
        <v>183</v>
      </c>
      <c r="C612" t="s">
        <v>343</v>
      </c>
      <c r="D612">
        <v>80409</v>
      </c>
      <c r="E612">
        <v>7</v>
      </c>
      <c r="F612">
        <f t="shared" si="27"/>
        <v>2024</v>
      </c>
      <c r="G612">
        <f t="shared" si="28"/>
        <v>4</v>
      </c>
      <c r="H612" t="str">
        <f t="shared" si="29"/>
        <v>2024-4</v>
      </c>
    </row>
    <row r="613" spans="1:8" x14ac:dyDescent="0.25">
      <c r="A613" t="s">
        <v>13</v>
      </c>
      <c r="B613" t="s">
        <v>30</v>
      </c>
      <c r="C613" t="s">
        <v>344</v>
      </c>
      <c r="D613">
        <v>36769</v>
      </c>
      <c r="E613">
        <v>9</v>
      </c>
      <c r="F613">
        <f t="shared" si="27"/>
        <v>2024</v>
      </c>
      <c r="G613">
        <f t="shared" si="28"/>
        <v>4</v>
      </c>
      <c r="H613" t="str">
        <f t="shared" si="29"/>
        <v>2024-4</v>
      </c>
    </row>
    <row r="614" spans="1:8" x14ac:dyDescent="0.25">
      <c r="A614" t="s">
        <v>19</v>
      </c>
      <c r="B614" t="s">
        <v>32</v>
      </c>
      <c r="C614" t="s">
        <v>345</v>
      </c>
      <c r="D614">
        <v>45302</v>
      </c>
      <c r="E614">
        <v>3</v>
      </c>
      <c r="F614">
        <f t="shared" si="27"/>
        <v>2024</v>
      </c>
      <c r="G614">
        <f t="shared" si="28"/>
        <v>4</v>
      </c>
      <c r="H614" t="str">
        <f t="shared" si="29"/>
        <v>2024-4</v>
      </c>
    </row>
    <row r="615" spans="1:8" x14ac:dyDescent="0.25">
      <c r="A615" t="s">
        <v>5</v>
      </c>
      <c r="B615" t="s">
        <v>84</v>
      </c>
      <c r="C615" t="s">
        <v>345</v>
      </c>
      <c r="D615">
        <v>75675</v>
      </c>
      <c r="E615">
        <v>9</v>
      </c>
      <c r="F615">
        <f t="shared" si="27"/>
        <v>2024</v>
      </c>
      <c r="G615">
        <f t="shared" si="28"/>
        <v>4</v>
      </c>
      <c r="H615" t="str">
        <f t="shared" si="29"/>
        <v>2024-4</v>
      </c>
    </row>
    <row r="616" spans="1:8" x14ac:dyDescent="0.25">
      <c r="A616" t="s">
        <v>11</v>
      </c>
      <c r="B616" t="s">
        <v>172</v>
      </c>
      <c r="C616" t="s">
        <v>345</v>
      </c>
      <c r="D616">
        <v>58980</v>
      </c>
      <c r="E616">
        <v>7</v>
      </c>
      <c r="F616">
        <f t="shared" si="27"/>
        <v>2024</v>
      </c>
      <c r="G616">
        <f t="shared" si="28"/>
        <v>4</v>
      </c>
      <c r="H616" t="str">
        <f t="shared" si="29"/>
        <v>2024-4</v>
      </c>
    </row>
    <row r="617" spans="1:8" x14ac:dyDescent="0.25">
      <c r="A617" t="s">
        <v>16</v>
      </c>
      <c r="B617" t="s">
        <v>18</v>
      </c>
      <c r="C617" t="s">
        <v>345</v>
      </c>
      <c r="D617">
        <v>91618</v>
      </c>
      <c r="E617">
        <v>8</v>
      </c>
      <c r="F617">
        <f t="shared" si="27"/>
        <v>2024</v>
      </c>
      <c r="G617">
        <f t="shared" si="28"/>
        <v>4</v>
      </c>
      <c r="H617" t="str">
        <f t="shared" si="29"/>
        <v>2024-4</v>
      </c>
    </row>
    <row r="618" spans="1:8" x14ac:dyDescent="0.25">
      <c r="A618" t="s">
        <v>21</v>
      </c>
      <c r="B618" t="s">
        <v>76</v>
      </c>
      <c r="C618" t="s">
        <v>345</v>
      </c>
      <c r="D618">
        <v>96292</v>
      </c>
      <c r="E618">
        <v>5</v>
      </c>
      <c r="F618">
        <f t="shared" si="27"/>
        <v>2024</v>
      </c>
      <c r="G618">
        <f t="shared" si="28"/>
        <v>4</v>
      </c>
      <c r="H618" t="str">
        <f t="shared" si="29"/>
        <v>2024-4</v>
      </c>
    </row>
    <row r="619" spans="1:8" x14ac:dyDescent="0.25">
      <c r="A619" t="s">
        <v>13</v>
      </c>
      <c r="B619" t="s">
        <v>275</v>
      </c>
      <c r="C619" t="s">
        <v>345</v>
      </c>
      <c r="D619">
        <v>11422</v>
      </c>
      <c r="E619">
        <v>9</v>
      </c>
      <c r="F619">
        <f t="shared" si="27"/>
        <v>2024</v>
      </c>
      <c r="G619">
        <f t="shared" si="28"/>
        <v>4</v>
      </c>
      <c r="H619" t="str">
        <f t="shared" si="29"/>
        <v>2024-4</v>
      </c>
    </row>
    <row r="620" spans="1:8" x14ac:dyDescent="0.25">
      <c r="A620" t="s">
        <v>16</v>
      </c>
      <c r="B620" t="s">
        <v>274</v>
      </c>
      <c r="C620" t="s">
        <v>346</v>
      </c>
      <c r="D620">
        <v>51046</v>
      </c>
      <c r="E620">
        <v>7</v>
      </c>
      <c r="F620">
        <f t="shared" si="27"/>
        <v>2024</v>
      </c>
      <c r="G620">
        <f t="shared" si="28"/>
        <v>4</v>
      </c>
      <c r="H620" t="str">
        <f t="shared" si="29"/>
        <v>2024-4</v>
      </c>
    </row>
    <row r="621" spans="1:8" x14ac:dyDescent="0.25">
      <c r="A621" t="s">
        <v>13</v>
      </c>
      <c r="B621" t="s">
        <v>347</v>
      </c>
      <c r="C621" t="s">
        <v>346</v>
      </c>
      <c r="D621">
        <v>36387</v>
      </c>
      <c r="E621">
        <v>7</v>
      </c>
      <c r="F621">
        <f t="shared" si="27"/>
        <v>2024</v>
      </c>
      <c r="G621">
        <f t="shared" si="28"/>
        <v>4</v>
      </c>
      <c r="H621" t="str">
        <f t="shared" si="29"/>
        <v>2024-4</v>
      </c>
    </row>
    <row r="622" spans="1:8" x14ac:dyDescent="0.25">
      <c r="A622" t="s">
        <v>11</v>
      </c>
      <c r="B622" t="s">
        <v>121</v>
      </c>
      <c r="C622" t="s">
        <v>346</v>
      </c>
      <c r="D622">
        <v>57327</v>
      </c>
      <c r="E622">
        <v>1</v>
      </c>
      <c r="F622">
        <f t="shared" si="27"/>
        <v>2024</v>
      </c>
      <c r="G622">
        <f t="shared" si="28"/>
        <v>4</v>
      </c>
      <c r="H622" t="str">
        <f t="shared" si="29"/>
        <v>2024-4</v>
      </c>
    </row>
    <row r="623" spans="1:8" x14ac:dyDescent="0.25">
      <c r="A623" t="s">
        <v>29</v>
      </c>
      <c r="B623" t="s">
        <v>197</v>
      </c>
      <c r="C623" t="s">
        <v>346</v>
      </c>
      <c r="D623">
        <v>99926</v>
      </c>
      <c r="E623">
        <v>5</v>
      </c>
      <c r="F623">
        <f t="shared" si="27"/>
        <v>2024</v>
      </c>
      <c r="G623">
        <f t="shared" si="28"/>
        <v>4</v>
      </c>
      <c r="H623" t="str">
        <f t="shared" si="29"/>
        <v>2024-4</v>
      </c>
    </row>
    <row r="624" spans="1:8" x14ac:dyDescent="0.25">
      <c r="A624" t="s">
        <v>29</v>
      </c>
      <c r="B624" t="s">
        <v>311</v>
      </c>
      <c r="C624" t="s">
        <v>346</v>
      </c>
      <c r="D624">
        <v>45975</v>
      </c>
      <c r="E624">
        <v>9</v>
      </c>
      <c r="F624">
        <f t="shared" si="27"/>
        <v>2024</v>
      </c>
      <c r="G624">
        <f t="shared" si="28"/>
        <v>4</v>
      </c>
      <c r="H624" t="str">
        <f t="shared" si="29"/>
        <v>2024-4</v>
      </c>
    </row>
    <row r="625" spans="1:8" x14ac:dyDescent="0.25">
      <c r="A625" t="s">
        <v>21</v>
      </c>
      <c r="B625" t="s">
        <v>158</v>
      </c>
      <c r="C625" t="s">
        <v>346</v>
      </c>
      <c r="D625">
        <v>19435</v>
      </c>
      <c r="E625">
        <v>7</v>
      </c>
      <c r="F625">
        <f t="shared" si="27"/>
        <v>2024</v>
      </c>
      <c r="G625">
        <f t="shared" si="28"/>
        <v>4</v>
      </c>
      <c r="H625" t="str">
        <f t="shared" si="29"/>
        <v>2024-4</v>
      </c>
    </row>
    <row r="626" spans="1:8" x14ac:dyDescent="0.25">
      <c r="A626" t="s">
        <v>19</v>
      </c>
      <c r="B626" t="s">
        <v>50</v>
      </c>
      <c r="C626" t="s">
        <v>346</v>
      </c>
      <c r="D626">
        <v>74512</v>
      </c>
      <c r="E626">
        <v>6</v>
      </c>
      <c r="F626">
        <f t="shared" si="27"/>
        <v>2024</v>
      </c>
      <c r="G626">
        <f t="shared" si="28"/>
        <v>4</v>
      </c>
      <c r="H626" t="str">
        <f t="shared" si="29"/>
        <v>2024-4</v>
      </c>
    </row>
    <row r="627" spans="1:8" x14ac:dyDescent="0.25">
      <c r="A627" t="s">
        <v>5</v>
      </c>
      <c r="B627" t="s">
        <v>27</v>
      </c>
      <c r="C627" t="s">
        <v>346</v>
      </c>
      <c r="D627">
        <v>58559</v>
      </c>
      <c r="E627">
        <v>9</v>
      </c>
      <c r="F627">
        <f t="shared" si="27"/>
        <v>2024</v>
      </c>
      <c r="G627">
        <f t="shared" si="28"/>
        <v>4</v>
      </c>
      <c r="H627" t="str">
        <f t="shared" si="29"/>
        <v>2024-4</v>
      </c>
    </row>
    <row r="628" spans="1:8" x14ac:dyDescent="0.25">
      <c r="A628" t="s">
        <v>26</v>
      </c>
      <c r="B628" t="s">
        <v>72</v>
      </c>
      <c r="C628" t="s">
        <v>346</v>
      </c>
      <c r="D628">
        <v>64863</v>
      </c>
      <c r="E628">
        <v>7</v>
      </c>
      <c r="F628">
        <f t="shared" si="27"/>
        <v>2024</v>
      </c>
      <c r="G628">
        <f t="shared" si="28"/>
        <v>4</v>
      </c>
      <c r="H628" t="str">
        <f t="shared" si="29"/>
        <v>2024-4</v>
      </c>
    </row>
    <row r="629" spans="1:8" x14ac:dyDescent="0.25">
      <c r="A629" t="s">
        <v>19</v>
      </c>
      <c r="B629" t="s">
        <v>206</v>
      </c>
      <c r="C629" t="s">
        <v>346</v>
      </c>
      <c r="D629">
        <v>53328</v>
      </c>
      <c r="E629">
        <v>6</v>
      </c>
      <c r="F629">
        <f t="shared" si="27"/>
        <v>2024</v>
      </c>
      <c r="G629">
        <f t="shared" si="28"/>
        <v>4</v>
      </c>
      <c r="H629" t="str">
        <f t="shared" si="29"/>
        <v>2024-4</v>
      </c>
    </row>
    <row r="630" spans="1:8" x14ac:dyDescent="0.25">
      <c r="A630" t="s">
        <v>13</v>
      </c>
      <c r="B630" t="s">
        <v>164</v>
      </c>
      <c r="C630" t="s">
        <v>348</v>
      </c>
      <c r="D630">
        <v>32316</v>
      </c>
      <c r="E630">
        <v>4</v>
      </c>
      <c r="F630">
        <f t="shared" si="27"/>
        <v>2024</v>
      </c>
      <c r="G630">
        <f t="shared" si="28"/>
        <v>4</v>
      </c>
      <c r="H630" t="str">
        <f t="shared" si="29"/>
        <v>2024-4</v>
      </c>
    </row>
    <row r="631" spans="1:8" x14ac:dyDescent="0.25">
      <c r="A631" t="s">
        <v>43</v>
      </c>
      <c r="B631" t="s">
        <v>121</v>
      </c>
      <c r="C631" t="s">
        <v>348</v>
      </c>
      <c r="D631">
        <v>33624</v>
      </c>
      <c r="E631">
        <v>5</v>
      </c>
      <c r="F631">
        <f t="shared" si="27"/>
        <v>2024</v>
      </c>
      <c r="G631">
        <f t="shared" si="28"/>
        <v>4</v>
      </c>
      <c r="H631" t="str">
        <f t="shared" si="29"/>
        <v>2024-4</v>
      </c>
    </row>
    <row r="632" spans="1:8" x14ac:dyDescent="0.25">
      <c r="A632" t="s">
        <v>26</v>
      </c>
      <c r="B632" t="s">
        <v>305</v>
      </c>
      <c r="C632" t="s">
        <v>348</v>
      </c>
      <c r="D632">
        <v>30294</v>
      </c>
      <c r="E632">
        <v>8</v>
      </c>
      <c r="F632">
        <f t="shared" si="27"/>
        <v>2024</v>
      </c>
      <c r="G632">
        <f t="shared" si="28"/>
        <v>4</v>
      </c>
      <c r="H632" t="str">
        <f t="shared" si="29"/>
        <v>2024-4</v>
      </c>
    </row>
    <row r="633" spans="1:8" x14ac:dyDescent="0.25">
      <c r="A633" t="s">
        <v>21</v>
      </c>
      <c r="B633" t="s">
        <v>200</v>
      </c>
      <c r="C633" t="s">
        <v>348</v>
      </c>
      <c r="D633">
        <v>81236</v>
      </c>
      <c r="E633">
        <v>9</v>
      </c>
      <c r="F633">
        <f t="shared" si="27"/>
        <v>2024</v>
      </c>
      <c r="G633">
        <f t="shared" si="28"/>
        <v>4</v>
      </c>
      <c r="H633" t="str">
        <f t="shared" si="29"/>
        <v>2024-4</v>
      </c>
    </row>
    <row r="634" spans="1:8" x14ac:dyDescent="0.25">
      <c r="A634" t="s">
        <v>19</v>
      </c>
      <c r="B634" t="s">
        <v>172</v>
      </c>
      <c r="C634" t="s">
        <v>348</v>
      </c>
      <c r="D634">
        <v>38940</v>
      </c>
      <c r="E634">
        <v>8</v>
      </c>
      <c r="F634">
        <f t="shared" si="27"/>
        <v>2024</v>
      </c>
      <c r="G634">
        <f t="shared" si="28"/>
        <v>4</v>
      </c>
      <c r="H634" t="str">
        <f t="shared" si="29"/>
        <v>2024-4</v>
      </c>
    </row>
    <row r="635" spans="1:8" x14ac:dyDescent="0.25">
      <c r="A635" t="s">
        <v>8</v>
      </c>
      <c r="B635" t="s">
        <v>22</v>
      </c>
      <c r="C635" t="s">
        <v>349</v>
      </c>
      <c r="D635">
        <v>26960</v>
      </c>
      <c r="E635">
        <v>6</v>
      </c>
      <c r="F635">
        <f t="shared" si="27"/>
        <v>2024</v>
      </c>
      <c r="G635">
        <f t="shared" si="28"/>
        <v>4</v>
      </c>
      <c r="H635" t="str">
        <f t="shared" si="29"/>
        <v>2024-4</v>
      </c>
    </row>
    <row r="636" spans="1:8" x14ac:dyDescent="0.25">
      <c r="A636" t="s">
        <v>19</v>
      </c>
      <c r="B636" t="s">
        <v>105</v>
      </c>
      <c r="C636" t="s">
        <v>349</v>
      </c>
      <c r="D636">
        <v>51253</v>
      </c>
      <c r="E636">
        <v>7</v>
      </c>
      <c r="F636">
        <f t="shared" si="27"/>
        <v>2024</v>
      </c>
      <c r="G636">
        <f t="shared" si="28"/>
        <v>4</v>
      </c>
      <c r="H636" t="str">
        <f t="shared" si="29"/>
        <v>2024-4</v>
      </c>
    </row>
    <row r="637" spans="1:8" x14ac:dyDescent="0.25">
      <c r="A637" t="s">
        <v>26</v>
      </c>
      <c r="B637" t="s">
        <v>88</v>
      </c>
      <c r="C637" t="s">
        <v>349</v>
      </c>
      <c r="D637">
        <v>47377</v>
      </c>
      <c r="E637">
        <v>8</v>
      </c>
      <c r="F637">
        <f t="shared" si="27"/>
        <v>2024</v>
      </c>
      <c r="G637">
        <f t="shared" si="28"/>
        <v>4</v>
      </c>
      <c r="H637" t="str">
        <f t="shared" si="29"/>
        <v>2024-4</v>
      </c>
    </row>
    <row r="638" spans="1:8" x14ac:dyDescent="0.25">
      <c r="A638" t="s">
        <v>13</v>
      </c>
      <c r="B638" t="s">
        <v>215</v>
      </c>
      <c r="C638" t="s">
        <v>349</v>
      </c>
      <c r="D638">
        <v>95698</v>
      </c>
      <c r="E638">
        <v>5</v>
      </c>
      <c r="F638">
        <f t="shared" si="27"/>
        <v>2024</v>
      </c>
      <c r="G638">
        <f t="shared" si="28"/>
        <v>4</v>
      </c>
      <c r="H638" t="str">
        <f t="shared" si="29"/>
        <v>2024-4</v>
      </c>
    </row>
    <row r="639" spans="1:8" x14ac:dyDescent="0.25">
      <c r="A639" t="s">
        <v>38</v>
      </c>
      <c r="B639" t="s">
        <v>27</v>
      </c>
      <c r="C639" t="s">
        <v>349</v>
      </c>
      <c r="D639">
        <v>85727</v>
      </c>
      <c r="E639">
        <v>5</v>
      </c>
      <c r="F639">
        <f t="shared" si="27"/>
        <v>2024</v>
      </c>
      <c r="G639">
        <f t="shared" si="28"/>
        <v>4</v>
      </c>
      <c r="H639" t="str">
        <f t="shared" si="29"/>
        <v>2024-4</v>
      </c>
    </row>
    <row r="640" spans="1:8" x14ac:dyDescent="0.25">
      <c r="A640" t="s">
        <v>43</v>
      </c>
      <c r="B640" t="s">
        <v>347</v>
      </c>
      <c r="C640" t="s">
        <v>349</v>
      </c>
      <c r="D640">
        <v>26037</v>
      </c>
      <c r="E640">
        <v>2</v>
      </c>
      <c r="F640">
        <f t="shared" si="27"/>
        <v>2024</v>
      </c>
      <c r="G640">
        <f t="shared" si="28"/>
        <v>4</v>
      </c>
      <c r="H640" t="str">
        <f t="shared" si="29"/>
        <v>2024-4</v>
      </c>
    </row>
    <row r="641" spans="1:8" x14ac:dyDescent="0.25">
      <c r="A641" t="s">
        <v>5</v>
      </c>
      <c r="B641" t="s">
        <v>67</v>
      </c>
      <c r="C641" t="s">
        <v>350</v>
      </c>
      <c r="D641">
        <v>57301</v>
      </c>
      <c r="E641">
        <v>8</v>
      </c>
      <c r="F641">
        <f t="shared" si="27"/>
        <v>2024</v>
      </c>
      <c r="G641">
        <f t="shared" si="28"/>
        <v>4</v>
      </c>
      <c r="H641" t="str">
        <f t="shared" si="29"/>
        <v>2024-4</v>
      </c>
    </row>
    <row r="642" spans="1:8" x14ac:dyDescent="0.25">
      <c r="A642" t="s">
        <v>21</v>
      </c>
      <c r="B642" t="s">
        <v>148</v>
      </c>
      <c r="C642" t="s">
        <v>350</v>
      </c>
      <c r="D642">
        <v>55828</v>
      </c>
      <c r="E642">
        <v>7</v>
      </c>
      <c r="F642">
        <f t="shared" si="27"/>
        <v>2024</v>
      </c>
      <c r="G642">
        <f t="shared" si="28"/>
        <v>4</v>
      </c>
      <c r="H642" t="str">
        <f t="shared" si="29"/>
        <v>2024-4</v>
      </c>
    </row>
    <row r="643" spans="1:8" x14ac:dyDescent="0.25">
      <c r="A643" t="s">
        <v>19</v>
      </c>
      <c r="B643" t="s">
        <v>207</v>
      </c>
      <c r="C643" t="s">
        <v>351</v>
      </c>
      <c r="D643">
        <v>95513</v>
      </c>
      <c r="E643">
        <v>10</v>
      </c>
      <c r="F643">
        <f t="shared" ref="F643:F706" si="30">YEAR(C643)</f>
        <v>2024</v>
      </c>
      <c r="G643">
        <f t="shared" ref="G643:G706" si="31">MONTH(C643)</f>
        <v>4</v>
      </c>
      <c r="H643" t="str">
        <f t="shared" ref="H643:H706" si="32">F643&amp;"-"&amp;G643</f>
        <v>2024-4</v>
      </c>
    </row>
    <row r="644" spans="1:8" x14ac:dyDescent="0.25">
      <c r="A644" t="s">
        <v>16</v>
      </c>
      <c r="B644" t="s">
        <v>295</v>
      </c>
      <c r="C644" t="s">
        <v>351</v>
      </c>
      <c r="D644">
        <v>64769</v>
      </c>
      <c r="E644">
        <v>8</v>
      </c>
      <c r="F644">
        <f t="shared" si="30"/>
        <v>2024</v>
      </c>
      <c r="G644">
        <f t="shared" si="31"/>
        <v>4</v>
      </c>
      <c r="H644" t="str">
        <f t="shared" si="32"/>
        <v>2024-4</v>
      </c>
    </row>
    <row r="645" spans="1:8" x14ac:dyDescent="0.25">
      <c r="A645" t="s">
        <v>19</v>
      </c>
      <c r="B645" t="s">
        <v>84</v>
      </c>
      <c r="C645" t="s">
        <v>351</v>
      </c>
      <c r="D645">
        <v>79188</v>
      </c>
      <c r="E645">
        <v>4</v>
      </c>
      <c r="F645">
        <f t="shared" si="30"/>
        <v>2024</v>
      </c>
      <c r="G645">
        <f t="shared" si="31"/>
        <v>4</v>
      </c>
      <c r="H645" t="str">
        <f t="shared" si="32"/>
        <v>2024-4</v>
      </c>
    </row>
    <row r="646" spans="1:8" x14ac:dyDescent="0.25">
      <c r="A646" t="s">
        <v>38</v>
      </c>
      <c r="B646" t="s">
        <v>190</v>
      </c>
      <c r="C646" t="s">
        <v>352</v>
      </c>
      <c r="D646">
        <v>67045</v>
      </c>
      <c r="E646">
        <v>1</v>
      </c>
      <c r="F646">
        <f t="shared" si="30"/>
        <v>2024</v>
      </c>
      <c r="G646">
        <f t="shared" si="31"/>
        <v>4</v>
      </c>
      <c r="H646" t="str">
        <f t="shared" si="32"/>
        <v>2024-4</v>
      </c>
    </row>
    <row r="647" spans="1:8" x14ac:dyDescent="0.25">
      <c r="A647" t="s">
        <v>8</v>
      </c>
      <c r="B647" t="s">
        <v>97</v>
      </c>
      <c r="C647" t="s">
        <v>352</v>
      </c>
      <c r="D647">
        <v>47499</v>
      </c>
      <c r="E647">
        <v>7</v>
      </c>
      <c r="F647">
        <f t="shared" si="30"/>
        <v>2024</v>
      </c>
      <c r="G647">
        <f t="shared" si="31"/>
        <v>4</v>
      </c>
      <c r="H647" t="str">
        <f t="shared" si="32"/>
        <v>2024-4</v>
      </c>
    </row>
    <row r="648" spans="1:8" x14ac:dyDescent="0.25">
      <c r="A648" t="s">
        <v>38</v>
      </c>
      <c r="B648" t="s">
        <v>171</v>
      </c>
      <c r="C648" t="s">
        <v>352</v>
      </c>
      <c r="D648">
        <v>14724</v>
      </c>
      <c r="E648">
        <v>6</v>
      </c>
      <c r="F648">
        <f t="shared" si="30"/>
        <v>2024</v>
      </c>
      <c r="G648">
        <f t="shared" si="31"/>
        <v>4</v>
      </c>
      <c r="H648" t="str">
        <f t="shared" si="32"/>
        <v>2024-4</v>
      </c>
    </row>
    <row r="649" spans="1:8" x14ac:dyDescent="0.25">
      <c r="A649" t="s">
        <v>29</v>
      </c>
      <c r="B649" t="s">
        <v>159</v>
      </c>
      <c r="C649" t="s">
        <v>352</v>
      </c>
      <c r="D649">
        <v>20515</v>
      </c>
      <c r="E649">
        <v>7</v>
      </c>
      <c r="F649">
        <f t="shared" si="30"/>
        <v>2024</v>
      </c>
      <c r="G649">
        <f t="shared" si="31"/>
        <v>4</v>
      </c>
      <c r="H649" t="str">
        <f t="shared" si="32"/>
        <v>2024-4</v>
      </c>
    </row>
    <row r="650" spans="1:8" x14ac:dyDescent="0.25">
      <c r="A650" t="s">
        <v>29</v>
      </c>
      <c r="B650" t="s">
        <v>353</v>
      </c>
      <c r="C650" t="s">
        <v>352</v>
      </c>
      <c r="D650">
        <v>50519</v>
      </c>
      <c r="E650">
        <v>7</v>
      </c>
      <c r="F650">
        <f t="shared" si="30"/>
        <v>2024</v>
      </c>
      <c r="G650">
        <f t="shared" si="31"/>
        <v>4</v>
      </c>
      <c r="H650" t="str">
        <f t="shared" si="32"/>
        <v>2024-4</v>
      </c>
    </row>
    <row r="651" spans="1:8" x14ac:dyDescent="0.25">
      <c r="A651" t="s">
        <v>8</v>
      </c>
      <c r="B651" t="s">
        <v>263</v>
      </c>
      <c r="C651" t="s">
        <v>352</v>
      </c>
      <c r="D651">
        <v>60722</v>
      </c>
      <c r="E651">
        <v>5</v>
      </c>
      <c r="F651">
        <f t="shared" si="30"/>
        <v>2024</v>
      </c>
      <c r="G651">
        <f t="shared" si="31"/>
        <v>4</v>
      </c>
      <c r="H651" t="str">
        <f t="shared" si="32"/>
        <v>2024-4</v>
      </c>
    </row>
    <row r="652" spans="1:8" x14ac:dyDescent="0.25">
      <c r="A652" t="s">
        <v>55</v>
      </c>
      <c r="B652" t="s">
        <v>63</v>
      </c>
      <c r="C652" t="s">
        <v>352</v>
      </c>
      <c r="D652">
        <v>62304</v>
      </c>
      <c r="E652">
        <v>5</v>
      </c>
      <c r="F652">
        <f t="shared" si="30"/>
        <v>2024</v>
      </c>
      <c r="G652">
        <f t="shared" si="31"/>
        <v>4</v>
      </c>
      <c r="H652" t="str">
        <f t="shared" si="32"/>
        <v>2024-4</v>
      </c>
    </row>
    <row r="653" spans="1:8" x14ac:dyDescent="0.25">
      <c r="A653" t="s">
        <v>11</v>
      </c>
      <c r="B653" t="s">
        <v>354</v>
      </c>
      <c r="C653" t="s">
        <v>355</v>
      </c>
      <c r="D653">
        <v>66309</v>
      </c>
      <c r="E653">
        <v>6</v>
      </c>
      <c r="F653">
        <f t="shared" si="30"/>
        <v>2024</v>
      </c>
      <c r="G653">
        <f t="shared" si="31"/>
        <v>4</v>
      </c>
      <c r="H653" t="str">
        <f t="shared" si="32"/>
        <v>2024-4</v>
      </c>
    </row>
    <row r="654" spans="1:8" x14ac:dyDescent="0.25">
      <c r="A654" t="s">
        <v>5</v>
      </c>
      <c r="B654" t="s">
        <v>232</v>
      </c>
      <c r="C654" t="s">
        <v>356</v>
      </c>
      <c r="D654">
        <v>67752</v>
      </c>
      <c r="E654">
        <v>7</v>
      </c>
      <c r="F654">
        <f t="shared" si="30"/>
        <v>2024</v>
      </c>
      <c r="G654">
        <f t="shared" si="31"/>
        <v>4</v>
      </c>
      <c r="H654" t="str">
        <f t="shared" si="32"/>
        <v>2024-4</v>
      </c>
    </row>
    <row r="655" spans="1:8" x14ac:dyDescent="0.25">
      <c r="A655" t="s">
        <v>11</v>
      </c>
      <c r="B655" t="s">
        <v>58</v>
      </c>
      <c r="C655" t="s">
        <v>357</v>
      </c>
      <c r="D655">
        <v>24621</v>
      </c>
      <c r="E655">
        <v>8</v>
      </c>
      <c r="F655">
        <f t="shared" si="30"/>
        <v>2024</v>
      </c>
      <c r="G655">
        <f t="shared" si="31"/>
        <v>4</v>
      </c>
      <c r="H655" t="str">
        <f t="shared" si="32"/>
        <v>2024-4</v>
      </c>
    </row>
    <row r="656" spans="1:8" x14ac:dyDescent="0.25">
      <c r="A656" t="s">
        <v>21</v>
      </c>
      <c r="B656" t="s">
        <v>174</v>
      </c>
      <c r="C656" t="s">
        <v>357</v>
      </c>
      <c r="D656">
        <v>61141</v>
      </c>
      <c r="E656">
        <v>5</v>
      </c>
      <c r="F656">
        <f t="shared" si="30"/>
        <v>2024</v>
      </c>
      <c r="G656">
        <f t="shared" si="31"/>
        <v>4</v>
      </c>
      <c r="H656" t="str">
        <f t="shared" si="32"/>
        <v>2024-4</v>
      </c>
    </row>
    <row r="657" spans="1:8" x14ac:dyDescent="0.25">
      <c r="A657" t="s">
        <v>43</v>
      </c>
      <c r="B657" t="s">
        <v>63</v>
      </c>
      <c r="C657" t="s">
        <v>357</v>
      </c>
      <c r="D657">
        <v>80928</v>
      </c>
      <c r="E657">
        <v>7</v>
      </c>
      <c r="F657">
        <f t="shared" si="30"/>
        <v>2024</v>
      </c>
      <c r="G657">
        <f t="shared" si="31"/>
        <v>4</v>
      </c>
      <c r="H657" t="str">
        <f t="shared" si="32"/>
        <v>2024-4</v>
      </c>
    </row>
    <row r="658" spans="1:8" x14ac:dyDescent="0.25">
      <c r="A658" t="s">
        <v>19</v>
      </c>
      <c r="B658" t="s">
        <v>30</v>
      </c>
      <c r="C658" t="s">
        <v>358</v>
      </c>
      <c r="D658">
        <v>57458</v>
      </c>
      <c r="E658">
        <v>8</v>
      </c>
      <c r="F658">
        <f t="shared" si="30"/>
        <v>2024</v>
      </c>
      <c r="G658">
        <f t="shared" si="31"/>
        <v>4</v>
      </c>
      <c r="H658" t="str">
        <f t="shared" si="32"/>
        <v>2024-4</v>
      </c>
    </row>
    <row r="659" spans="1:8" x14ac:dyDescent="0.25">
      <c r="A659" t="s">
        <v>55</v>
      </c>
      <c r="B659" t="s">
        <v>67</v>
      </c>
      <c r="C659" t="s">
        <v>358</v>
      </c>
      <c r="D659">
        <v>78224</v>
      </c>
      <c r="E659">
        <v>7</v>
      </c>
      <c r="F659">
        <f t="shared" si="30"/>
        <v>2024</v>
      </c>
      <c r="G659">
        <f t="shared" si="31"/>
        <v>4</v>
      </c>
      <c r="H659" t="str">
        <f t="shared" si="32"/>
        <v>2024-4</v>
      </c>
    </row>
    <row r="660" spans="1:8" x14ac:dyDescent="0.25">
      <c r="A660" t="s">
        <v>11</v>
      </c>
      <c r="B660" t="s">
        <v>275</v>
      </c>
      <c r="C660" t="s">
        <v>358</v>
      </c>
      <c r="D660">
        <v>38237</v>
      </c>
      <c r="E660">
        <v>7</v>
      </c>
      <c r="F660">
        <f t="shared" si="30"/>
        <v>2024</v>
      </c>
      <c r="G660">
        <f t="shared" si="31"/>
        <v>4</v>
      </c>
      <c r="H660" t="str">
        <f t="shared" si="32"/>
        <v>2024-4</v>
      </c>
    </row>
    <row r="661" spans="1:8" x14ac:dyDescent="0.25">
      <c r="A661" t="s">
        <v>8</v>
      </c>
      <c r="B661" t="s">
        <v>138</v>
      </c>
      <c r="C661" t="s">
        <v>358</v>
      </c>
      <c r="D661">
        <v>13667</v>
      </c>
      <c r="E661">
        <v>3</v>
      </c>
      <c r="F661">
        <f t="shared" si="30"/>
        <v>2024</v>
      </c>
      <c r="G661">
        <f t="shared" si="31"/>
        <v>4</v>
      </c>
      <c r="H661" t="str">
        <f t="shared" si="32"/>
        <v>2024-4</v>
      </c>
    </row>
    <row r="662" spans="1:8" x14ac:dyDescent="0.25">
      <c r="A662" t="s">
        <v>19</v>
      </c>
      <c r="B662" t="s">
        <v>59</v>
      </c>
      <c r="C662" t="s">
        <v>358</v>
      </c>
      <c r="D662">
        <v>92554</v>
      </c>
      <c r="E662">
        <v>7</v>
      </c>
      <c r="F662">
        <f t="shared" si="30"/>
        <v>2024</v>
      </c>
      <c r="G662">
        <f t="shared" si="31"/>
        <v>4</v>
      </c>
      <c r="H662" t="str">
        <f t="shared" si="32"/>
        <v>2024-4</v>
      </c>
    </row>
    <row r="663" spans="1:8" x14ac:dyDescent="0.25">
      <c r="A663" t="s">
        <v>21</v>
      </c>
      <c r="B663" t="s">
        <v>34</v>
      </c>
      <c r="C663" t="s">
        <v>358</v>
      </c>
      <c r="D663">
        <v>53674</v>
      </c>
      <c r="E663">
        <v>7</v>
      </c>
      <c r="F663">
        <f t="shared" si="30"/>
        <v>2024</v>
      </c>
      <c r="G663">
        <f t="shared" si="31"/>
        <v>4</v>
      </c>
      <c r="H663" t="str">
        <f t="shared" si="32"/>
        <v>2024-4</v>
      </c>
    </row>
    <row r="664" spans="1:8" x14ac:dyDescent="0.25">
      <c r="A664" t="s">
        <v>5</v>
      </c>
      <c r="B664" t="s">
        <v>145</v>
      </c>
      <c r="C664" t="s">
        <v>358</v>
      </c>
      <c r="D664">
        <v>60099</v>
      </c>
      <c r="E664">
        <v>6</v>
      </c>
      <c r="F664">
        <f t="shared" si="30"/>
        <v>2024</v>
      </c>
      <c r="G664">
        <f t="shared" si="31"/>
        <v>4</v>
      </c>
      <c r="H664" t="str">
        <f t="shared" si="32"/>
        <v>2024-4</v>
      </c>
    </row>
    <row r="665" spans="1:8" x14ac:dyDescent="0.25">
      <c r="A665" t="s">
        <v>8</v>
      </c>
      <c r="B665" t="s">
        <v>32</v>
      </c>
      <c r="C665" t="s">
        <v>359</v>
      </c>
      <c r="D665">
        <v>80540</v>
      </c>
      <c r="E665">
        <v>5</v>
      </c>
      <c r="F665">
        <f t="shared" si="30"/>
        <v>2024</v>
      </c>
      <c r="G665">
        <f t="shared" si="31"/>
        <v>4</v>
      </c>
      <c r="H665" t="str">
        <f t="shared" si="32"/>
        <v>2024-4</v>
      </c>
    </row>
    <row r="666" spans="1:8" x14ac:dyDescent="0.25">
      <c r="A666" t="s">
        <v>55</v>
      </c>
      <c r="B666" t="s">
        <v>200</v>
      </c>
      <c r="C666" t="s">
        <v>360</v>
      </c>
      <c r="D666">
        <v>49903</v>
      </c>
      <c r="E666">
        <v>7</v>
      </c>
      <c r="F666">
        <f t="shared" si="30"/>
        <v>2024</v>
      </c>
      <c r="G666">
        <f t="shared" si="31"/>
        <v>5</v>
      </c>
      <c r="H666" t="str">
        <f t="shared" si="32"/>
        <v>2024-5</v>
      </c>
    </row>
    <row r="667" spans="1:8" x14ac:dyDescent="0.25">
      <c r="A667" t="s">
        <v>55</v>
      </c>
      <c r="B667" t="s">
        <v>104</v>
      </c>
      <c r="C667" t="s">
        <v>361</v>
      </c>
      <c r="D667">
        <v>55180</v>
      </c>
      <c r="E667">
        <v>7</v>
      </c>
      <c r="F667">
        <f t="shared" si="30"/>
        <v>2024</v>
      </c>
      <c r="G667">
        <f t="shared" si="31"/>
        <v>5</v>
      </c>
      <c r="H667" t="str">
        <f t="shared" si="32"/>
        <v>2024-5</v>
      </c>
    </row>
    <row r="668" spans="1:8" x14ac:dyDescent="0.25">
      <c r="A668" t="s">
        <v>43</v>
      </c>
      <c r="B668" t="s">
        <v>33</v>
      </c>
      <c r="C668" t="s">
        <v>361</v>
      </c>
      <c r="D668">
        <v>48583</v>
      </c>
      <c r="E668">
        <v>7</v>
      </c>
      <c r="F668">
        <f t="shared" si="30"/>
        <v>2024</v>
      </c>
      <c r="G668">
        <f t="shared" si="31"/>
        <v>5</v>
      </c>
      <c r="H668" t="str">
        <f t="shared" si="32"/>
        <v>2024-5</v>
      </c>
    </row>
    <row r="669" spans="1:8" x14ac:dyDescent="0.25">
      <c r="A669" t="s">
        <v>38</v>
      </c>
      <c r="B669" t="s">
        <v>206</v>
      </c>
      <c r="C669" t="s">
        <v>361</v>
      </c>
      <c r="D669">
        <v>64841</v>
      </c>
      <c r="E669">
        <v>6</v>
      </c>
      <c r="F669">
        <f t="shared" si="30"/>
        <v>2024</v>
      </c>
      <c r="G669">
        <f t="shared" si="31"/>
        <v>5</v>
      </c>
      <c r="H669" t="str">
        <f t="shared" si="32"/>
        <v>2024-5</v>
      </c>
    </row>
    <row r="670" spans="1:8" x14ac:dyDescent="0.25">
      <c r="A670" t="s">
        <v>55</v>
      </c>
      <c r="B670" t="s">
        <v>362</v>
      </c>
      <c r="C670" t="s">
        <v>361</v>
      </c>
      <c r="D670">
        <v>10747</v>
      </c>
      <c r="E670">
        <v>4</v>
      </c>
      <c r="F670">
        <f t="shared" si="30"/>
        <v>2024</v>
      </c>
      <c r="G670">
        <f t="shared" si="31"/>
        <v>5</v>
      </c>
      <c r="H670" t="str">
        <f t="shared" si="32"/>
        <v>2024-5</v>
      </c>
    </row>
    <row r="671" spans="1:8" x14ac:dyDescent="0.25">
      <c r="A671" t="s">
        <v>13</v>
      </c>
      <c r="B671" t="s">
        <v>102</v>
      </c>
      <c r="C671" t="s">
        <v>361</v>
      </c>
      <c r="D671">
        <v>23121</v>
      </c>
      <c r="E671">
        <v>6</v>
      </c>
      <c r="F671">
        <f t="shared" si="30"/>
        <v>2024</v>
      </c>
      <c r="G671">
        <f t="shared" si="31"/>
        <v>5</v>
      </c>
      <c r="H671" t="str">
        <f t="shared" si="32"/>
        <v>2024-5</v>
      </c>
    </row>
    <row r="672" spans="1:8" x14ac:dyDescent="0.25">
      <c r="A672" t="s">
        <v>8</v>
      </c>
      <c r="B672" t="s">
        <v>18</v>
      </c>
      <c r="C672" t="s">
        <v>363</v>
      </c>
      <c r="D672">
        <v>16452</v>
      </c>
      <c r="E672">
        <v>6</v>
      </c>
      <c r="F672">
        <f t="shared" si="30"/>
        <v>2024</v>
      </c>
      <c r="G672">
        <f t="shared" si="31"/>
        <v>5</v>
      </c>
      <c r="H672" t="str">
        <f t="shared" si="32"/>
        <v>2024-5</v>
      </c>
    </row>
    <row r="673" spans="1:8" x14ac:dyDescent="0.25">
      <c r="A673" t="s">
        <v>19</v>
      </c>
      <c r="B673" t="s">
        <v>151</v>
      </c>
      <c r="C673" t="s">
        <v>364</v>
      </c>
      <c r="D673">
        <v>89666</v>
      </c>
      <c r="E673">
        <v>7</v>
      </c>
      <c r="F673">
        <f t="shared" si="30"/>
        <v>2024</v>
      </c>
      <c r="G673">
        <f t="shared" si="31"/>
        <v>5</v>
      </c>
      <c r="H673" t="str">
        <f t="shared" si="32"/>
        <v>2024-5</v>
      </c>
    </row>
    <row r="674" spans="1:8" x14ac:dyDescent="0.25">
      <c r="A674" t="s">
        <v>55</v>
      </c>
      <c r="B674" t="s">
        <v>91</v>
      </c>
      <c r="C674" t="s">
        <v>364</v>
      </c>
      <c r="D674">
        <v>85516</v>
      </c>
      <c r="E674">
        <v>6</v>
      </c>
      <c r="F674">
        <f t="shared" si="30"/>
        <v>2024</v>
      </c>
      <c r="G674">
        <f t="shared" si="31"/>
        <v>5</v>
      </c>
      <c r="H674" t="str">
        <f t="shared" si="32"/>
        <v>2024-5</v>
      </c>
    </row>
    <row r="675" spans="1:8" x14ac:dyDescent="0.25">
      <c r="A675" t="s">
        <v>19</v>
      </c>
      <c r="B675" t="s">
        <v>184</v>
      </c>
      <c r="C675" t="s">
        <v>365</v>
      </c>
      <c r="D675">
        <v>45064</v>
      </c>
      <c r="E675">
        <v>8</v>
      </c>
      <c r="F675">
        <f t="shared" si="30"/>
        <v>2024</v>
      </c>
      <c r="G675">
        <f t="shared" si="31"/>
        <v>5</v>
      </c>
      <c r="H675" t="str">
        <f t="shared" si="32"/>
        <v>2024-5</v>
      </c>
    </row>
    <row r="676" spans="1:8" x14ac:dyDescent="0.25">
      <c r="A676" t="s">
        <v>13</v>
      </c>
      <c r="B676" t="s">
        <v>28</v>
      </c>
      <c r="C676" t="s">
        <v>365</v>
      </c>
      <c r="D676">
        <v>87030</v>
      </c>
      <c r="E676">
        <v>6</v>
      </c>
      <c r="F676">
        <f t="shared" si="30"/>
        <v>2024</v>
      </c>
      <c r="G676">
        <f t="shared" si="31"/>
        <v>5</v>
      </c>
      <c r="H676" t="str">
        <f t="shared" si="32"/>
        <v>2024-5</v>
      </c>
    </row>
    <row r="677" spans="1:8" x14ac:dyDescent="0.25">
      <c r="A677" t="s">
        <v>5</v>
      </c>
      <c r="B677" t="s">
        <v>6</v>
      </c>
      <c r="C677" t="s">
        <v>366</v>
      </c>
      <c r="D677">
        <v>82856</v>
      </c>
      <c r="E677">
        <v>9</v>
      </c>
      <c r="F677">
        <f t="shared" si="30"/>
        <v>2024</v>
      </c>
      <c r="G677">
        <f t="shared" si="31"/>
        <v>5</v>
      </c>
      <c r="H677" t="str">
        <f t="shared" si="32"/>
        <v>2024-5</v>
      </c>
    </row>
    <row r="678" spans="1:8" x14ac:dyDescent="0.25">
      <c r="A678" t="s">
        <v>55</v>
      </c>
      <c r="B678" t="s">
        <v>102</v>
      </c>
      <c r="C678" t="s">
        <v>367</v>
      </c>
      <c r="D678">
        <v>63522</v>
      </c>
      <c r="E678">
        <v>5</v>
      </c>
      <c r="F678">
        <f t="shared" si="30"/>
        <v>2024</v>
      </c>
      <c r="G678">
        <f t="shared" si="31"/>
        <v>5</v>
      </c>
      <c r="H678" t="str">
        <f t="shared" si="32"/>
        <v>2024-5</v>
      </c>
    </row>
    <row r="679" spans="1:8" x14ac:dyDescent="0.25">
      <c r="A679" t="s">
        <v>55</v>
      </c>
      <c r="B679" t="s">
        <v>87</v>
      </c>
      <c r="C679" t="s">
        <v>367</v>
      </c>
      <c r="D679">
        <v>86289</v>
      </c>
      <c r="E679">
        <v>2</v>
      </c>
      <c r="F679">
        <f t="shared" si="30"/>
        <v>2024</v>
      </c>
      <c r="G679">
        <f t="shared" si="31"/>
        <v>5</v>
      </c>
      <c r="H679" t="str">
        <f t="shared" si="32"/>
        <v>2024-5</v>
      </c>
    </row>
    <row r="680" spans="1:8" x14ac:dyDescent="0.25">
      <c r="A680" t="s">
        <v>26</v>
      </c>
      <c r="B680" t="s">
        <v>111</v>
      </c>
      <c r="C680" t="s">
        <v>367</v>
      </c>
      <c r="D680">
        <v>35662</v>
      </c>
      <c r="E680">
        <v>7</v>
      </c>
      <c r="F680">
        <f t="shared" si="30"/>
        <v>2024</v>
      </c>
      <c r="G680">
        <f t="shared" si="31"/>
        <v>5</v>
      </c>
      <c r="H680" t="str">
        <f t="shared" si="32"/>
        <v>2024-5</v>
      </c>
    </row>
    <row r="681" spans="1:8" x14ac:dyDescent="0.25">
      <c r="A681" t="s">
        <v>16</v>
      </c>
      <c r="B681" t="s">
        <v>28</v>
      </c>
      <c r="C681" t="s">
        <v>367</v>
      </c>
      <c r="D681">
        <v>52682</v>
      </c>
      <c r="E681">
        <v>9</v>
      </c>
      <c r="F681">
        <f t="shared" si="30"/>
        <v>2024</v>
      </c>
      <c r="G681">
        <f t="shared" si="31"/>
        <v>5</v>
      </c>
      <c r="H681" t="str">
        <f t="shared" si="32"/>
        <v>2024-5</v>
      </c>
    </row>
    <row r="682" spans="1:8" x14ac:dyDescent="0.25">
      <c r="A682" t="s">
        <v>21</v>
      </c>
      <c r="B682" t="s">
        <v>159</v>
      </c>
      <c r="C682" t="s">
        <v>367</v>
      </c>
      <c r="D682">
        <v>58305</v>
      </c>
      <c r="E682">
        <v>7</v>
      </c>
      <c r="F682">
        <f t="shared" si="30"/>
        <v>2024</v>
      </c>
      <c r="G682">
        <f t="shared" si="31"/>
        <v>5</v>
      </c>
      <c r="H682" t="str">
        <f t="shared" si="32"/>
        <v>2024-5</v>
      </c>
    </row>
    <row r="683" spans="1:8" x14ac:dyDescent="0.25">
      <c r="A683" t="s">
        <v>43</v>
      </c>
      <c r="B683" t="s">
        <v>174</v>
      </c>
      <c r="C683" t="s">
        <v>367</v>
      </c>
      <c r="D683">
        <v>78876</v>
      </c>
      <c r="E683">
        <v>6</v>
      </c>
      <c r="F683">
        <f t="shared" si="30"/>
        <v>2024</v>
      </c>
      <c r="G683">
        <f t="shared" si="31"/>
        <v>5</v>
      </c>
      <c r="H683" t="str">
        <f t="shared" si="32"/>
        <v>2024-5</v>
      </c>
    </row>
    <row r="684" spans="1:8" x14ac:dyDescent="0.25">
      <c r="A684" t="s">
        <v>21</v>
      </c>
      <c r="B684" t="s">
        <v>173</v>
      </c>
      <c r="C684" t="s">
        <v>367</v>
      </c>
      <c r="D684">
        <v>39765</v>
      </c>
      <c r="E684">
        <v>6</v>
      </c>
      <c r="F684">
        <f t="shared" si="30"/>
        <v>2024</v>
      </c>
      <c r="G684">
        <f t="shared" si="31"/>
        <v>5</v>
      </c>
      <c r="H684" t="str">
        <f t="shared" si="32"/>
        <v>2024-5</v>
      </c>
    </row>
    <row r="685" spans="1:8" x14ac:dyDescent="0.25">
      <c r="A685" t="s">
        <v>5</v>
      </c>
      <c r="B685" t="s">
        <v>126</v>
      </c>
      <c r="C685" t="s">
        <v>367</v>
      </c>
      <c r="D685">
        <v>16791</v>
      </c>
      <c r="E685">
        <v>7</v>
      </c>
      <c r="F685">
        <f t="shared" si="30"/>
        <v>2024</v>
      </c>
      <c r="G685">
        <f t="shared" si="31"/>
        <v>5</v>
      </c>
      <c r="H685" t="str">
        <f t="shared" si="32"/>
        <v>2024-5</v>
      </c>
    </row>
    <row r="686" spans="1:8" x14ac:dyDescent="0.25">
      <c r="A686" t="s">
        <v>13</v>
      </c>
      <c r="B686" t="s">
        <v>92</v>
      </c>
      <c r="C686" t="s">
        <v>368</v>
      </c>
      <c r="D686">
        <v>18733</v>
      </c>
      <c r="E686">
        <v>8</v>
      </c>
      <c r="F686">
        <f t="shared" si="30"/>
        <v>2024</v>
      </c>
      <c r="G686">
        <f t="shared" si="31"/>
        <v>5</v>
      </c>
      <c r="H686" t="str">
        <f t="shared" si="32"/>
        <v>2024-5</v>
      </c>
    </row>
    <row r="687" spans="1:8" x14ac:dyDescent="0.25">
      <c r="A687" t="s">
        <v>55</v>
      </c>
      <c r="B687" t="s">
        <v>102</v>
      </c>
      <c r="C687" t="s">
        <v>368</v>
      </c>
      <c r="D687">
        <v>85885</v>
      </c>
      <c r="E687">
        <v>7</v>
      </c>
      <c r="F687">
        <f t="shared" si="30"/>
        <v>2024</v>
      </c>
      <c r="G687">
        <f t="shared" si="31"/>
        <v>5</v>
      </c>
      <c r="H687" t="str">
        <f t="shared" si="32"/>
        <v>2024-5</v>
      </c>
    </row>
    <row r="688" spans="1:8" x14ac:dyDescent="0.25">
      <c r="A688" t="s">
        <v>43</v>
      </c>
      <c r="B688" t="s">
        <v>190</v>
      </c>
      <c r="C688" t="s">
        <v>368</v>
      </c>
      <c r="D688">
        <v>10541</v>
      </c>
      <c r="E688">
        <v>10</v>
      </c>
      <c r="F688">
        <f t="shared" si="30"/>
        <v>2024</v>
      </c>
      <c r="G688">
        <f t="shared" si="31"/>
        <v>5</v>
      </c>
      <c r="H688" t="str">
        <f t="shared" si="32"/>
        <v>2024-5</v>
      </c>
    </row>
    <row r="689" spans="1:8" x14ac:dyDescent="0.25">
      <c r="A689" t="s">
        <v>5</v>
      </c>
      <c r="B689" t="s">
        <v>227</v>
      </c>
      <c r="C689" t="s">
        <v>368</v>
      </c>
      <c r="D689">
        <v>17126</v>
      </c>
      <c r="E689">
        <v>7</v>
      </c>
      <c r="F689">
        <f t="shared" si="30"/>
        <v>2024</v>
      </c>
      <c r="G689">
        <f t="shared" si="31"/>
        <v>5</v>
      </c>
      <c r="H689" t="str">
        <f t="shared" si="32"/>
        <v>2024-5</v>
      </c>
    </row>
    <row r="690" spans="1:8" x14ac:dyDescent="0.25">
      <c r="A690" t="s">
        <v>8</v>
      </c>
      <c r="B690" t="s">
        <v>149</v>
      </c>
      <c r="C690" t="s">
        <v>368</v>
      </c>
      <c r="D690">
        <v>48824</v>
      </c>
      <c r="E690">
        <v>4</v>
      </c>
      <c r="F690">
        <f t="shared" si="30"/>
        <v>2024</v>
      </c>
      <c r="G690">
        <f t="shared" si="31"/>
        <v>5</v>
      </c>
      <c r="H690" t="str">
        <f t="shared" si="32"/>
        <v>2024-5</v>
      </c>
    </row>
    <row r="691" spans="1:8" x14ac:dyDescent="0.25">
      <c r="A691" t="s">
        <v>13</v>
      </c>
      <c r="B691" t="s">
        <v>63</v>
      </c>
      <c r="C691" t="s">
        <v>368</v>
      </c>
      <c r="D691">
        <v>22461</v>
      </c>
      <c r="E691">
        <v>4</v>
      </c>
      <c r="F691">
        <f t="shared" si="30"/>
        <v>2024</v>
      </c>
      <c r="G691">
        <f t="shared" si="31"/>
        <v>5</v>
      </c>
      <c r="H691" t="str">
        <f t="shared" si="32"/>
        <v>2024-5</v>
      </c>
    </row>
    <row r="692" spans="1:8" x14ac:dyDescent="0.25">
      <c r="A692" t="s">
        <v>55</v>
      </c>
      <c r="B692" t="s">
        <v>217</v>
      </c>
      <c r="C692" t="s">
        <v>368</v>
      </c>
      <c r="D692">
        <v>46578</v>
      </c>
      <c r="E692">
        <v>5</v>
      </c>
      <c r="F692">
        <f t="shared" si="30"/>
        <v>2024</v>
      </c>
      <c r="G692">
        <f t="shared" si="31"/>
        <v>5</v>
      </c>
      <c r="H692" t="str">
        <f t="shared" si="32"/>
        <v>2024-5</v>
      </c>
    </row>
    <row r="693" spans="1:8" x14ac:dyDescent="0.25">
      <c r="A693" t="s">
        <v>19</v>
      </c>
      <c r="B693" t="s">
        <v>186</v>
      </c>
      <c r="C693" t="s">
        <v>368</v>
      </c>
      <c r="D693">
        <v>54856</v>
      </c>
      <c r="E693">
        <v>9</v>
      </c>
      <c r="F693">
        <f t="shared" si="30"/>
        <v>2024</v>
      </c>
      <c r="G693">
        <f t="shared" si="31"/>
        <v>5</v>
      </c>
      <c r="H693" t="str">
        <f t="shared" si="32"/>
        <v>2024-5</v>
      </c>
    </row>
    <row r="694" spans="1:8" x14ac:dyDescent="0.25">
      <c r="A694" t="s">
        <v>26</v>
      </c>
      <c r="B694" t="s">
        <v>176</v>
      </c>
      <c r="C694" t="s">
        <v>368</v>
      </c>
      <c r="D694">
        <v>82926</v>
      </c>
      <c r="E694">
        <v>2</v>
      </c>
      <c r="F694">
        <f t="shared" si="30"/>
        <v>2024</v>
      </c>
      <c r="G694">
        <f t="shared" si="31"/>
        <v>5</v>
      </c>
      <c r="H694" t="str">
        <f t="shared" si="32"/>
        <v>2024-5</v>
      </c>
    </row>
    <row r="695" spans="1:8" x14ac:dyDescent="0.25">
      <c r="A695" t="s">
        <v>26</v>
      </c>
      <c r="B695" t="s">
        <v>18</v>
      </c>
      <c r="C695" t="s">
        <v>368</v>
      </c>
      <c r="D695">
        <v>74642</v>
      </c>
      <c r="E695">
        <v>8</v>
      </c>
      <c r="F695">
        <f t="shared" si="30"/>
        <v>2024</v>
      </c>
      <c r="G695">
        <f t="shared" si="31"/>
        <v>5</v>
      </c>
      <c r="H695" t="str">
        <f t="shared" si="32"/>
        <v>2024-5</v>
      </c>
    </row>
    <row r="696" spans="1:8" x14ac:dyDescent="0.25">
      <c r="A696" t="s">
        <v>43</v>
      </c>
      <c r="B696" t="s">
        <v>274</v>
      </c>
      <c r="C696" t="s">
        <v>368</v>
      </c>
      <c r="D696">
        <v>97633</v>
      </c>
      <c r="E696">
        <v>7</v>
      </c>
      <c r="F696">
        <f t="shared" si="30"/>
        <v>2024</v>
      </c>
      <c r="G696">
        <f t="shared" si="31"/>
        <v>5</v>
      </c>
      <c r="H696" t="str">
        <f t="shared" si="32"/>
        <v>2024-5</v>
      </c>
    </row>
    <row r="697" spans="1:8" x14ac:dyDescent="0.25">
      <c r="A697" t="s">
        <v>5</v>
      </c>
      <c r="B697" t="s">
        <v>255</v>
      </c>
      <c r="C697" t="s">
        <v>369</v>
      </c>
      <c r="D697">
        <v>38005</v>
      </c>
      <c r="E697">
        <v>2</v>
      </c>
      <c r="F697">
        <f t="shared" si="30"/>
        <v>2024</v>
      </c>
      <c r="G697">
        <f t="shared" si="31"/>
        <v>5</v>
      </c>
      <c r="H697" t="str">
        <f t="shared" si="32"/>
        <v>2024-5</v>
      </c>
    </row>
    <row r="698" spans="1:8" x14ac:dyDescent="0.25">
      <c r="A698" t="s">
        <v>13</v>
      </c>
      <c r="B698" t="s">
        <v>275</v>
      </c>
      <c r="C698" t="s">
        <v>369</v>
      </c>
      <c r="D698">
        <v>96018</v>
      </c>
      <c r="E698">
        <v>4</v>
      </c>
      <c r="F698">
        <f t="shared" si="30"/>
        <v>2024</v>
      </c>
      <c r="G698">
        <f t="shared" si="31"/>
        <v>5</v>
      </c>
      <c r="H698" t="str">
        <f t="shared" si="32"/>
        <v>2024-5</v>
      </c>
    </row>
    <row r="699" spans="1:8" x14ac:dyDescent="0.25">
      <c r="A699" t="s">
        <v>43</v>
      </c>
      <c r="B699" t="s">
        <v>370</v>
      </c>
      <c r="C699" t="s">
        <v>371</v>
      </c>
      <c r="D699">
        <v>24112</v>
      </c>
      <c r="E699">
        <v>7</v>
      </c>
      <c r="F699">
        <f t="shared" si="30"/>
        <v>2024</v>
      </c>
      <c r="G699">
        <f t="shared" si="31"/>
        <v>5</v>
      </c>
      <c r="H699" t="str">
        <f t="shared" si="32"/>
        <v>2024-5</v>
      </c>
    </row>
    <row r="700" spans="1:8" x14ac:dyDescent="0.25">
      <c r="A700" t="s">
        <v>8</v>
      </c>
      <c r="B700" t="s">
        <v>232</v>
      </c>
      <c r="C700" t="s">
        <v>371</v>
      </c>
      <c r="D700">
        <v>85292</v>
      </c>
      <c r="E700">
        <v>6</v>
      </c>
      <c r="F700">
        <f t="shared" si="30"/>
        <v>2024</v>
      </c>
      <c r="G700">
        <f t="shared" si="31"/>
        <v>5</v>
      </c>
      <c r="H700" t="str">
        <f t="shared" si="32"/>
        <v>2024-5</v>
      </c>
    </row>
    <row r="701" spans="1:8" x14ac:dyDescent="0.25">
      <c r="A701" t="s">
        <v>29</v>
      </c>
      <c r="B701" t="s">
        <v>253</v>
      </c>
      <c r="C701" t="s">
        <v>371</v>
      </c>
      <c r="D701">
        <v>86411</v>
      </c>
      <c r="E701">
        <v>10</v>
      </c>
      <c r="F701">
        <f t="shared" si="30"/>
        <v>2024</v>
      </c>
      <c r="G701">
        <f t="shared" si="31"/>
        <v>5</v>
      </c>
      <c r="H701" t="str">
        <f t="shared" si="32"/>
        <v>2024-5</v>
      </c>
    </row>
    <row r="702" spans="1:8" x14ac:dyDescent="0.25">
      <c r="A702" t="s">
        <v>43</v>
      </c>
      <c r="B702" t="s">
        <v>14</v>
      </c>
      <c r="C702" t="s">
        <v>371</v>
      </c>
      <c r="D702">
        <v>80459</v>
      </c>
      <c r="E702">
        <v>1</v>
      </c>
      <c r="F702">
        <f t="shared" si="30"/>
        <v>2024</v>
      </c>
      <c r="G702">
        <f t="shared" si="31"/>
        <v>5</v>
      </c>
      <c r="H702" t="str">
        <f t="shared" si="32"/>
        <v>2024-5</v>
      </c>
    </row>
    <row r="703" spans="1:8" x14ac:dyDescent="0.25">
      <c r="A703" t="s">
        <v>5</v>
      </c>
      <c r="B703" t="s">
        <v>171</v>
      </c>
      <c r="C703" t="s">
        <v>371</v>
      </c>
      <c r="D703">
        <v>10092</v>
      </c>
      <c r="E703">
        <v>5</v>
      </c>
      <c r="F703">
        <f t="shared" si="30"/>
        <v>2024</v>
      </c>
      <c r="G703">
        <f t="shared" si="31"/>
        <v>5</v>
      </c>
      <c r="H703" t="str">
        <f t="shared" si="32"/>
        <v>2024-5</v>
      </c>
    </row>
    <row r="704" spans="1:8" x14ac:dyDescent="0.25">
      <c r="A704" t="s">
        <v>29</v>
      </c>
      <c r="B704" t="s">
        <v>248</v>
      </c>
      <c r="C704" t="s">
        <v>372</v>
      </c>
      <c r="D704">
        <v>70117</v>
      </c>
      <c r="E704">
        <v>1</v>
      </c>
      <c r="F704">
        <f t="shared" si="30"/>
        <v>2024</v>
      </c>
      <c r="G704">
        <f t="shared" si="31"/>
        <v>5</v>
      </c>
      <c r="H704" t="str">
        <f t="shared" si="32"/>
        <v>2024-5</v>
      </c>
    </row>
    <row r="705" spans="1:8" x14ac:dyDescent="0.25">
      <c r="A705" t="s">
        <v>8</v>
      </c>
      <c r="B705" t="s">
        <v>184</v>
      </c>
      <c r="C705" t="s">
        <v>372</v>
      </c>
      <c r="D705">
        <v>69097</v>
      </c>
      <c r="E705">
        <v>6</v>
      </c>
      <c r="F705">
        <f t="shared" si="30"/>
        <v>2024</v>
      </c>
      <c r="G705">
        <f t="shared" si="31"/>
        <v>5</v>
      </c>
      <c r="H705" t="str">
        <f t="shared" si="32"/>
        <v>2024-5</v>
      </c>
    </row>
    <row r="706" spans="1:8" x14ac:dyDescent="0.25">
      <c r="A706" t="s">
        <v>8</v>
      </c>
      <c r="B706" t="s">
        <v>220</v>
      </c>
      <c r="C706" t="s">
        <v>373</v>
      </c>
      <c r="D706">
        <v>48542</v>
      </c>
      <c r="E706">
        <v>8</v>
      </c>
      <c r="F706">
        <f t="shared" si="30"/>
        <v>2024</v>
      </c>
      <c r="G706">
        <f t="shared" si="31"/>
        <v>5</v>
      </c>
      <c r="H706" t="str">
        <f t="shared" si="32"/>
        <v>2024-5</v>
      </c>
    </row>
    <row r="707" spans="1:8" x14ac:dyDescent="0.25">
      <c r="A707" t="s">
        <v>43</v>
      </c>
      <c r="B707" t="s">
        <v>153</v>
      </c>
      <c r="C707" t="s">
        <v>373</v>
      </c>
      <c r="D707">
        <v>16639</v>
      </c>
      <c r="E707">
        <v>10</v>
      </c>
      <c r="F707">
        <f t="shared" ref="F707:F770" si="33">YEAR(C707)</f>
        <v>2024</v>
      </c>
      <c r="G707">
        <f t="shared" ref="G707:G770" si="34">MONTH(C707)</f>
        <v>5</v>
      </c>
      <c r="H707" t="str">
        <f t="shared" ref="H707:H770" si="35">F707&amp;"-"&amp;G707</f>
        <v>2024-5</v>
      </c>
    </row>
    <row r="708" spans="1:8" x14ac:dyDescent="0.25">
      <c r="A708" t="s">
        <v>13</v>
      </c>
      <c r="B708" t="s">
        <v>93</v>
      </c>
      <c r="C708" t="s">
        <v>373</v>
      </c>
      <c r="D708">
        <v>64576</v>
      </c>
      <c r="E708">
        <v>7</v>
      </c>
      <c r="F708">
        <f t="shared" si="33"/>
        <v>2024</v>
      </c>
      <c r="G708">
        <f t="shared" si="34"/>
        <v>5</v>
      </c>
      <c r="H708" t="str">
        <f t="shared" si="35"/>
        <v>2024-5</v>
      </c>
    </row>
    <row r="709" spans="1:8" x14ac:dyDescent="0.25">
      <c r="A709" t="s">
        <v>38</v>
      </c>
      <c r="B709" t="s">
        <v>209</v>
      </c>
      <c r="C709" t="s">
        <v>374</v>
      </c>
      <c r="D709">
        <v>77816</v>
      </c>
      <c r="E709">
        <v>9</v>
      </c>
      <c r="F709">
        <f t="shared" si="33"/>
        <v>2024</v>
      </c>
      <c r="G709">
        <f t="shared" si="34"/>
        <v>5</v>
      </c>
      <c r="H709" t="str">
        <f t="shared" si="35"/>
        <v>2024-5</v>
      </c>
    </row>
    <row r="710" spans="1:8" x14ac:dyDescent="0.25">
      <c r="A710" t="s">
        <v>19</v>
      </c>
      <c r="B710" t="s">
        <v>217</v>
      </c>
      <c r="C710" t="s">
        <v>374</v>
      </c>
      <c r="D710">
        <v>53200</v>
      </c>
      <c r="E710">
        <v>8</v>
      </c>
      <c r="F710">
        <f t="shared" si="33"/>
        <v>2024</v>
      </c>
      <c r="G710">
        <f t="shared" si="34"/>
        <v>5</v>
      </c>
      <c r="H710" t="str">
        <f t="shared" si="35"/>
        <v>2024-5</v>
      </c>
    </row>
    <row r="711" spans="1:8" x14ac:dyDescent="0.25">
      <c r="A711" t="s">
        <v>38</v>
      </c>
      <c r="B711" t="s">
        <v>342</v>
      </c>
      <c r="C711" t="s">
        <v>374</v>
      </c>
      <c r="D711">
        <v>59628</v>
      </c>
      <c r="E711">
        <v>8</v>
      </c>
      <c r="F711">
        <f t="shared" si="33"/>
        <v>2024</v>
      </c>
      <c r="G711">
        <f t="shared" si="34"/>
        <v>5</v>
      </c>
      <c r="H711" t="str">
        <f t="shared" si="35"/>
        <v>2024-5</v>
      </c>
    </row>
    <row r="712" spans="1:8" x14ac:dyDescent="0.25">
      <c r="A712" t="s">
        <v>16</v>
      </c>
      <c r="B712" t="s">
        <v>114</v>
      </c>
      <c r="C712" t="s">
        <v>374</v>
      </c>
      <c r="D712">
        <v>35459</v>
      </c>
      <c r="E712">
        <v>9</v>
      </c>
      <c r="F712">
        <f t="shared" si="33"/>
        <v>2024</v>
      </c>
      <c r="G712">
        <f t="shared" si="34"/>
        <v>5</v>
      </c>
      <c r="H712" t="str">
        <f t="shared" si="35"/>
        <v>2024-5</v>
      </c>
    </row>
    <row r="713" spans="1:8" x14ac:dyDescent="0.25">
      <c r="A713" t="s">
        <v>16</v>
      </c>
      <c r="B713" t="s">
        <v>239</v>
      </c>
      <c r="C713" t="s">
        <v>374</v>
      </c>
      <c r="D713">
        <v>15866</v>
      </c>
      <c r="E713">
        <v>8</v>
      </c>
      <c r="F713">
        <f t="shared" si="33"/>
        <v>2024</v>
      </c>
      <c r="G713">
        <f t="shared" si="34"/>
        <v>5</v>
      </c>
      <c r="H713" t="str">
        <f t="shared" si="35"/>
        <v>2024-5</v>
      </c>
    </row>
    <row r="714" spans="1:8" x14ac:dyDescent="0.25">
      <c r="A714" t="s">
        <v>16</v>
      </c>
      <c r="B714" t="s">
        <v>194</v>
      </c>
      <c r="C714" t="s">
        <v>374</v>
      </c>
      <c r="D714">
        <v>60427</v>
      </c>
      <c r="E714">
        <v>8</v>
      </c>
      <c r="F714">
        <f t="shared" si="33"/>
        <v>2024</v>
      </c>
      <c r="G714">
        <f t="shared" si="34"/>
        <v>5</v>
      </c>
      <c r="H714" t="str">
        <f t="shared" si="35"/>
        <v>2024-5</v>
      </c>
    </row>
    <row r="715" spans="1:8" x14ac:dyDescent="0.25">
      <c r="A715" t="s">
        <v>11</v>
      </c>
      <c r="B715" t="s">
        <v>188</v>
      </c>
      <c r="C715" t="s">
        <v>374</v>
      </c>
      <c r="D715">
        <v>26547</v>
      </c>
      <c r="E715">
        <v>6</v>
      </c>
      <c r="F715">
        <f t="shared" si="33"/>
        <v>2024</v>
      </c>
      <c r="G715">
        <f t="shared" si="34"/>
        <v>5</v>
      </c>
      <c r="H715" t="str">
        <f t="shared" si="35"/>
        <v>2024-5</v>
      </c>
    </row>
    <row r="716" spans="1:8" x14ac:dyDescent="0.25">
      <c r="A716" t="s">
        <v>55</v>
      </c>
      <c r="B716" t="s">
        <v>33</v>
      </c>
      <c r="C716" t="s">
        <v>374</v>
      </c>
      <c r="D716">
        <v>50489</v>
      </c>
      <c r="E716">
        <v>0</v>
      </c>
      <c r="F716">
        <f t="shared" si="33"/>
        <v>2024</v>
      </c>
      <c r="G716">
        <f t="shared" si="34"/>
        <v>5</v>
      </c>
      <c r="H716" t="str">
        <f t="shared" si="35"/>
        <v>2024-5</v>
      </c>
    </row>
    <row r="717" spans="1:8" x14ac:dyDescent="0.25">
      <c r="A717" t="s">
        <v>11</v>
      </c>
      <c r="B717" t="s">
        <v>375</v>
      </c>
      <c r="C717" t="s">
        <v>374</v>
      </c>
      <c r="D717">
        <v>26488</v>
      </c>
      <c r="E717">
        <v>9</v>
      </c>
      <c r="F717">
        <f t="shared" si="33"/>
        <v>2024</v>
      </c>
      <c r="G717">
        <f t="shared" si="34"/>
        <v>5</v>
      </c>
      <c r="H717" t="str">
        <f t="shared" si="35"/>
        <v>2024-5</v>
      </c>
    </row>
    <row r="718" spans="1:8" x14ac:dyDescent="0.25">
      <c r="A718" t="s">
        <v>26</v>
      </c>
      <c r="B718" t="s">
        <v>255</v>
      </c>
      <c r="C718" t="s">
        <v>376</v>
      </c>
      <c r="D718">
        <v>24376</v>
      </c>
      <c r="E718">
        <v>8</v>
      </c>
      <c r="F718">
        <f t="shared" si="33"/>
        <v>2024</v>
      </c>
      <c r="G718">
        <f t="shared" si="34"/>
        <v>5</v>
      </c>
      <c r="H718" t="str">
        <f t="shared" si="35"/>
        <v>2024-5</v>
      </c>
    </row>
    <row r="719" spans="1:8" x14ac:dyDescent="0.25">
      <c r="A719" t="s">
        <v>11</v>
      </c>
      <c r="B719" t="s">
        <v>209</v>
      </c>
      <c r="C719" t="s">
        <v>376</v>
      </c>
      <c r="D719">
        <v>74691</v>
      </c>
      <c r="E719">
        <v>8</v>
      </c>
      <c r="F719">
        <f t="shared" si="33"/>
        <v>2024</v>
      </c>
      <c r="G719">
        <f t="shared" si="34"/>
        <v>5</v>
      </c>
      <c r="H719" t="str">
        <f t="shared" si="35"/>
        <v>2024-5</v>
      </c>
    </row>
    <row r="720" spans="1:8" x14ac:dyDescent="0.25">
      <c r="A720" t="s">
        <v>13</v>
      </c>
      <c r="B720" t="s">
        <v>177</v>
      </c>
      <c r="C720" t="s">
        <v>376</v>
      </c>
      <c r="D720">
        <v>16423</v>
      </c>
      <c r="E720">
        <v>9</v>
      </c>
      <c r="F720">
        <f t="shared" si="33"/>
        <v>2024</v>
      </c>
      <c r="G720">
        <f t="shared" si="34"/>
        <v>5</v>
      </c>
      <c r="H720" t="str">
        <f t="shared" si="35"/>
        <v>2024-5</v>
      </c>
    </row>
    <row r="721" spans="1:8" x14ac:dyDescent="0.25">
      <c r="A721" t="s">
        <v>5</v>
      </c>
      <c r="B721" t="s">
        <v>158</v>
      </c>
      <c r="C721" t="s">
        <v>376</v>
      </c>
      <c r="D721">
        <v>21363</v>
      </c>
      <c r="E721">
        <v>6</v>
      </c>
      <c r="F721">
        <f t="shared" si="33"/>
        <v>2024</v>
      </c>
      <c r="G721">
        <f t="shared" si="34"/>
        <v>5</v>
      </c>
      <c r="H721" t="str">
        <f t="shared" si="35"/>
        <v>2024-5</v>
      </c>
    </row>
    <row r="722" spans="1:8" x14ac:dyDescent="0.25">
      <c r="A722" t="s">
        <v>11</v>
      </c>
      <c r="B722" t="s">
        <v>102</v>
      </c>
      <c r="C722" t="s">
        <v>376</v>
      </c>
      <c r="D722">
        <v>21840</v>
      </c>
      <c r="E722">
        <v>6</v>
      </c>
      <c r="F722">
        <f t="shared" si="33"/>
        <v>2024</v>
      </c>
      <c r="G722">
        <f t="shared" si="34"/>
        <v>5</v>
      </c>
      <c r="H722" t="str">
        <f t="shared" si="35"/>
        <v>2024-5</v>
      </c>
    </row>
    <row r="723" spans="1:8" x14ac:dyDescent="0.25">
      <c r="A723" t="s">
        <v>19</v>
      </c>
      <c r="B723" t="s">
        <v>250</v>
      </c>
      <c r="C723" t="s">
        <v>377</v>
      </c>
      <c r="D723">
        <v>31022</v>
      </c>
      <c r="E723">
        <v>8</v>
      </c>
      <c r="F723">
        <f t="shared" si="33"/>
        <v>2024</v>
      </c>
      <c r="G723">
        <f t="shared" si="34"/>
        <v>5</v>
      </c>
      <c r="H723" t="str">
        <f t="shared" si="35"/>
        <v>2024-5</v>
      </c>
    </row>
    <row r="724" spans="1:8" x14ac:dyDescent="0.25">
      <c r="A724" t="s">
        <v>19</v>
      </c>
      <c r="B724" t="s">
        <v>79</v>
      </c>
      <c r="C724" t="s">
        <v>378</v>
      </c>
      <c r="D724">
        <v>84818</v>
      </c>
      <c r="E724">
        <v>8</v>
      </c>
      <c r="F724">
        <f t="shared" si="33"/>
        <v>2024</v>
      </c>
      <c r="G724">
        <f t="shared" si="34"/>
        <v>5</v>
      </c>
      <c r="H724" t="str">
        <f t="shared" si="35"/>
        <v>2024-5</v>
      </c>
    </row>
    <row r="725" spans="1:8" x14ac:dyDescent="0.25">
      <c r="A725" t="s">
        <v>13</v>
      </c>
      <c r="B725" t="s">
        <v>100</v>
      </c>
      <c r="C725" t="s">
        <v>378</v>
      </c>
      <c r="D725">
        <v>46512</v>
      </c>
      <c r="E725">
        <v>9</v>
      </c>
      <c r="F725">
        <f t="shared" si="33"/>
        <v>2024</v>
      </c>
      <c r="G725">
        <f t="shared" si="34"/>
        <v>5</v>
      </c>
      <c r="H725" t="str">
        <f t="shared" si="35"/>
        <v>2024-5</v>
      </c>
    </row>
    <row r="726" spans="1:8" x14ac:dyDescent="0.25">
      <c r="A726" t="s">
        <v>13</v>
      </c>
      <c r="B726" t="s">
        <v>250</v>
      </c>
      <c r="C726" t="s">
        <v>379</v>
      </c>
      <c r="D726">
        <v>50996</v>
      </c>
      <c r="E726">
        <v>6</v>
      </c>
      <c r="F726">
        <f t="shared" si="33"/>
        <v>2024</v>
      </c>
      <c r="G726">
        <f t="shared" si="34"/>
        <v>5</v>
      </c>
      <c r="H726" t="str">
        <f t="shared" si="35"/>
        <v>2024-5</v>
      </c>
    </row>
    <row r="727" spans="1:8" x14ac:dyDescent="0.25">
      <c r="A727" t="s">
        <v>11</v>
      </c>
      <c r="B727" t="s">
        <v>57</v>
      </c>
      <c r="C727" t="s">
        <v>379</v>
      </c>
      <c r="D727">
        <v>73738</v>
      </c>
      <c r="E727">
        <v>6</v>
      </c>
      <c r="F727">
        <f t="shared" si="33"/>
        <v>2024</v>
      </c>
      <c r="G727">
        <f t="shared" si="34"/>
        <v>5</v>
      </c>
      <c r="H727" t="str">
        <f t="shared" si="35"/>
        <v>2024-5</v>
      </c>
    </row>
    <row r="728" spans="1:8" x14ac:dyDescent="0.25">
      <c r="A728" t="s">
        <v>11</v>
      </c>
      <c r="B728" t="s">
        <v>237</v>
      </c>
      <c r="C728" t="s">
        <v>379</v>
      </c>
      <c r="D728">
        <v>96261</v>
      </c>
      <c r="E728">
        <v>8</v>
      </c>
      <c r="F728">
        <f t="shared" si="33"/>
        <v>2024</v>
      </c>
      <c r="G728">
        <f t="shared" si="34"/>
        <v>5</v>
      </c>
      <c r="H728" t="str">
        <f t="shared" si="35"/>
        <v>2024-5</v>
      </c>
    </row>
    <row r="729" spans="1:8" x14ac:dyDescent="0.25">
      <c r="A729" t="s">
        <v>8</v>
      </c>
      <c r="B729" t="s">
        <v>107</v>
      </c>
      <c r="C729" t="s">
        <v>379</v>
      </c>
      <c r="D729">
        <v>71259</v>
      </c>
      <c r="E729">
        <v>6</v>
      </c>
      <c r="F729">
        <f t="shared" si="33"/>
        <v>2024</v>
      </c>
      <c r="G729">
        <f t="shared" si="34"/>
        <v>5</v>
      </c>
      <c r="H729" t="str">
        <f t="shared" si="35"/>
        <v>2024-5</v>
      </c>
    </row>
    <row r="730" spans="1:8" x14ac:dyDescent="0.25">
      <c r="A730" t="s">
        <v>38</v>
      </c>
      <c r="B730" t="s">
        <v>14</v>
      </c>
      <c r="C730" t="s">
        <v>379</v>
      </c>
      <c r="D730">
        <v>61660</v>
      </c>
      <c r="E730">
        <v>0</v>
      </c>
      <c r="F730">
        <f t="shared" si="33"/>
        <v>2024</v>
      </c>
      <c r="G730">
        <f t="shared" si="34"/>
        <v>5</v>
      </c>
      <c r="H730" t="str">
        <f t="shared" si="35"/>
        <v>2024-5</v>
      </c>
    </row>
    <row r="731" spans="1:8" x14ac:dyDescent="0.25">
      <c r="A731" t="s">
        <v>11</v>
      </c>
      <c r="B731" t="s">
        <v>184</v>
      </c>
      <c r="C731" t="s">
        <v>379</v>
      </c>
      <c r="D731">
        <v>96432</v>
      </c>
      <c r="E731">
        <v>4</v>
      </c>
      <c r="F731">
        <f t="shared" si="33"/>
        <v>2024</v>
      </c>
      <c r="G731">
        <f t="shared" si="34"/>
        <v>5</v>
      </c>
      <c r="H731" t="str">
        <f t="shared" si="35"/>
        <v>2024-5</v>
      </c>
    </row>
    <row r="732" spans="1:8" x14ac:dyDescent="0.25">
      <c r="A732" t="s">
        <v>29</v>
      </c>
      <c r="B732" t="s">
        <v>199</v>
      </c>
      <c r="C732" t="s">
        <v>379</v>
      </c>
      <c r="D732">
        <v>54513</v>
      </c>
      <c r="E732">
        <v>3</v>
      </c>
      <c r="F732">
        <f t="shared" si="33"/>
        <v>2024</v>
      </c>
      <c r="G732">
        <f t="shared" si="34"/>
        <v>5</v>
      </c>
      <c r="H732" t="str">
        <f t="shared" si="35"/>
        <v>2024-5</v>
      </c>
    </row>
    <row r="733" spans="1:8" x14ac:dyDescent="0.25">
      <c r="A733" t="s">
        <v>11</v>
      </c>
      <c r="B733" t="s">
        <v>40</v>
      </c>
      <c r="C733" t="s">
        <v>379</v>
      </c>
      <c r="D733">
        <v>16846</v>
      </c>
      <c r="E733">
        <v>7</v>
      </c>
      <c r="F733">
        <f t="shared" si="33"/>
        <v>2024</v>
      </c>
      <c r="G733">
        <f t="shared" si="34"/>
        <v>5</v>
      </c>
      <c r="H733" t="str">
        <f t="shared" si="35"/>
        <v>2024-5</v>
      </c>
    </row>
    <row r="734" spans="1:8" x14ac:dyDescent="0.25">
      <c r="A734" t="s">
        <v>29</v>
      </c>
      <c r="B734" t="s">
        <v>333</v>
      </c>
      <c r="C734" t="s">
        <v>379</v>
      </c>
      <c r="D734">
        <v>82308</v>
      </c>
      <c r="E734">
        <v>4</v>
      </c>
      <c r="F734">
        <f t="shared" si="33"/>
        <v>2024</v>
      </c>
      <c r="G734">
        <f t="shared" si="34"/>
        <v>5</v>
      </c>
      <c r="H734" t="str">
        <f t="shared" si="35"/>
        <v>2024-5</v>
      </c>
    </row>
    <row r="735" spans="1:8" x14ac:dyDescent="0.25">
      <c r="A735" t="s">
        <v>26</v>
      </c>
      <c r="B735" t="s">
        <v>36</v>
      </c>
      <c r="C735" t="s">
        <v>380</v>
      </c>
      <c r="D735">
        <v>79281</v>
      </c>
      <c r="E735">
        <v>1</v>
      </c>
      <c r="F735">
        <f t="shared" si="33"/>
        <v>2024</v>
      </c>
      <c r="G735">
        <f t="shared" si="34"/>
        <v>5</v>
      </c>
      <c r="H735" t="str">
        <f t="shared" si="35"/>
        <v>2024-5</v>
      </c>
    </row>
    <row r="736" spans="1:8" x14ac:dyDescent="0.25">
      <c r="A736" t="s">
        <v>19</v>
      </c>
      <c r="B736" t="s">
        <v>148</v>
      </c>
      <c r="C736" t="s">
        <v>381</v>
      </c>
      <c r="D736">
        <v>40479</v>
      </c>
      <c r="E736">
        <v>3</v>
      </c>
      <c r="F736">
        <f t="shared" si="33"/>
        <v>2024</v>
      </c>
      <c r="G736">
        <f t="shared" si="34"/>
        <v>5</v>
      </c>
      <c r="H736" t="str">
        <f t="shared" si="35"/>
        <v>2024-5</v>
      </c>
    </row>
    <row r="737" spans="1:8" x14ac:dyDescent="0.25">
      <c r="A737" t="s">
        <v>16</v>
      </c>
      <c r="B737" t="s">
        <v>199</v>
      </c>
      <c r="C737" t="s">
        <v>381</v>
      </c>
      <c r="D737">
        <v>44537</v>
      </c>
      <c r="E737">
        <v>5</v>
      </c>
      <c r="F737">
        <f t="shared" si="33"/>
        <v>2024</v>
      </c>
      <c r="G737">
        <f t="shared" si="34"/>
        <v>5</v>
      </c>
      <c r="H737" t="str">
        <f t="shared" si="35"/>
        <v>2024-5</v>
      </c>
    </row>
    <row r="738" spans="1:8" x14ac:dyDescent="0.25">
      <c r="A738" t="s">
        <v>55</v>
      </c>
      <c r="B738" t="s">
        <v>178</v>
      </c>
      <c r="C738" t="s">
        <v>381</v>
      </c>
      <c r="D738">
        <v>28194</v>
      </c>
      <c r="E738">
        <v>5</v>
      </c>
      <c r="F738">
        <f t="shared" si="33"/>
        <v>2024</v>
      </c>
      <c r="G738">
        <f t="shared" si="34"/>
        <v>5</v>
      </c>
      <c r="H738" t="str">
        <f t="shared" si="35"/>
        <v>2024-5</v>
      </c>
    </row>
    <row r="739" spans="1:8" x14ac:dyDescent="0.25">
      <c r="A739" t="s">
        <v>8</v>
      </c>
      <c r="B739" t="s">
        <v>220</v>
      </c>
      <c r="C739" t="s">
        <v>381</v>
      </c>
      <c r="D739">
        <v>58311</v>
      </c>
      <c r="E739">
        <v>1</v>
      </c>
      <c r="F739">
        <f t="shared" si="33"/>
        <v>2024</v>
      </c>
      <c r="G739">
        <f t="shared" si="34"/>
        <v>5</v>
      </c>
      <c r="H739" t="str">
        <f t="shared" si="35"/>
        <v>2024-5</v>
      </c>
    </row>
    <row r="740" spans="1:8" x14ac:dyDescent="0.25">
      <c r="A740" t="s">
        <v>21</v>
      </c>
      <c r="B740" t="s">
        <v>61</v>
      </c>
      <c r="C740" t="s">
        <v>381</v>
      </c>
      <c r="D740">
        <v>31076</v>
      </c>
      <c r="E740">
        <v>5</v>
      </c>
      <c r="F740">
        <f t="shared" si="33"/>
        <v>2024</v>
      </c>
      <c r="G740">
        <f t="shared" si="34"/>
        <v>5</v>
      </c>
      <c r="H740" t="str">
        <f t="shared" si="35"/>
        <v>2024-5</v>
      </c>
    </row>
    <row r="741" spans="1:8" x14ac:dyDescent="0.25">
      <c r="A741" t="s">
        <v>5</v>
      </c>
      <c r="B741" t="s">
        <v>206</v>
      </c>
      <c r="C741" t="s">
        <v>381</v>
      </c>
      <c r="D741">
        <v>12041</v>
      </c>
      <c r="E741">
        <v>4</v>
      </c>
      <c r="F741">
        <f t="shared" si="33"/>
        <v>2024</v>
      </c>
      <c r="G741">
        <f t="shared" si="34"/>
        <v>5</v>
      </c>
      <c r="H741" t="str">
        <f t="shared" si="35"/>
        <v>2024-5</v>
      </c>
    </row>
    <row r="742" spans="1:8" x14ac:dyDescent="0.25">
      <c r="A742" t="s">
        <v>29</v>
      </c>
      <c r="B742" t="s">
        <v>119</v>
      </c>
      <c r="C742" t="s">
        <v>382</v>
      </c>
      <c r="D742">
        <v>78026</v>
      </c>
      <c r="E742">
        <v>6</v>
      </c>
      <c r="F742">
        <f t="shared" si="33"/>
        <v>2024</v>
      </c>
      <c r="G742">
        <f t="shared" si="34"/>
        <v>5</v>
      </c>
      <c r="H742" t="str">
        <f t="shared" si="35"/>
        <v>2024-5</v>
      </c>
    </row>
    <row r="743" spans="1:8" x14ac:dyDescent="0.25">
      <c r="A743" t="s">
        <v>13</v>
      </c>
      <c r="B743" t="s">
        <v>145</v>
      </c>
      <c r="C743" t="s">
        <v>383</v>
      </c>
      <c r="D743">
        <v>77074</v>
      </c>
      <c r="E743">
        <v>6</v>
      </c>
      <c r="F743">
        <f t="shared" si="33"/>
        <v>2024</v>
      </c>
      <c r="G743">
        <f t="shared" si="34"/>
        <v>5</v>
      </c>
      <c r="H743" t="str">
        <f t="shared" si="35"/>
        <v>2024-5</v>
      </c>
    </row>
    <row r="744" spans="1:8" x14ac:dyDescent="0.25">
      <c r="A744" t="s">
        <v>55</v>
      </c>
      <c r="B744" t="s">
        <v>12</v>
      </c>
      <c r="C744" t="s">
        <v>383</v>
      </c>
      <c r="D744">
        <v>28839</v>
      </c>
      <c r="E744">
        <v>2</v>
      </c>
      <c r="F744">
        <f t="shared" si="33"/>
        <v>2024</v>
      </c>
      <c r="G744">
        <f t="shared" si="34"/>
        <v>5</v>
      </c>
      <c r="H744" t="str">
        <f t="shared" si="35"/>
        <v>2024-5</v>
      </c>
    </row>
    <row r="745" spans="1:8" x14ac:dyDescent="0.25">
      <c r="A745" t="s">
        <v>38</v>
      </c>
      <c r="B745" t="s">
        <v>104</v>
      </c>
      <c r="C745" t="s">
        <v>383</v>
      </c>
      <c r="D745">
        <v>23648</v>
      </c>
      <c r="E745">
        <v>8</v>
      </c>
      <c r="F745">
        <f t="shared" si="33"/>
        <v>2024</v>
      </c>
      <c r="G745">
        <f t="shared" si="34"/>
        <v>5</v>
      </c>
      <c r="H745" t="str">
        <f t="shared" si="35"/>
        <v>2024-5</v>
      </c>
    </row>
    <row r="746" spans="1:8" x14ac:dyDescent="0.25">
      <c r="A746" t="s">
        <v>13</v>
      </c>
      <c r="B746" t="s">
        <v>187</v>
      </c>
      <c r="C746" t="s">
        <v>384</v>
      </c>
      <c r="D746">
        <v>25168</v>
      </c>
      <c r="E746">
        <v>0</v>
      </c>
      <c r="F746">
        <f t="shared" si="33"/>
        <v>2024</v>
      </c>
      <c r="G746">
        <f t="shared" si="34"/>
        <v>6</v>
      </c>
      <c r="H746" t="str">
        <f t="shared" si="35"/>
        <v>2024-6</v>
      </c>
    </row>
    <row r="747" spans="1:8" x14ac:dyDescent="0.25">
      <c r="A747" t="s">
        <v>43</v>
      </c>
      <c r="B747" t="s">
        <v>328</v>
      </c>
      <c r="C747" t="s">
        <v>384</v>
      </c>
      <c r="D747">
        <v>65986</v>
      </c>
      <c r="E747">
        <v>5</v>
      </c>
      <c r="F747">
        <f t="shared" si="33"/>
        <v>2024</v>
      </c>
      <c r="G747">
        <f t="shared" si="34"/>
        <v>6</v>
      </c>
      <c r="H747" t="str">
        <f t="shared" si="35"/>
        <v>2024-6</v>
      </c>
    </row>
    <row r="748" spans="1:8" x14ac:dyDescent="0.25">
      <c r="A748" t="s">
        <v>11</v>
      </c>
      <c r="B748" t="s">
        <v>33</v>
      </c>
      <c r="C748" t="s">
        <v>384</v>
      </c>
      <c r="D748">
        <v>48267</v>
      </c>
      <c r="E748">
        <v>7</v>
      </c>
      <c r="F748">
        <f t="shared" si="33"/>
        <v>2024</v>
      </c>
      <c r="G748">
        <f t="shared" si="34"/>
        <v>6</v>
      </c>
      <c r="H748" t="str">
        <f t="shared" si="35"/>
        <v>2024-6</v>
      </c>
    </row>
    <row r="749" spans="1:8" x14ac:dyDescent="0.25">
      <c r="A749" t="s">
        <v>13</v>
      </c>
      <c r="B749" t="s">
        <v>32</v>
      </c>
      <c r="C749" t="s">
        <v>384</v>
      </c>
      <c r="D749">
        <v>61993</v>
      </c>
      <c r="E749">
        <v>7</v>
      </c>
      <c r="F749">
        <f t="shared" si="33"/>
        <v>2024</v>
      </c>
      <c r="G749">
        <f t="shared" si="34"/>
        <v>6</v>
      </c>
      <c r="H749" t="str">
        <f t="shared" si="35"/>
        <v>2024-6</v>
      </c>
    </row>
    <row r="750" spans="1:8" x14ac:dyDescent="0.25">
      <c r="A750" t="s">
        <v>21</v>
      </c>
      <c r="B750" t="s">
        <v>49</v>
      </c>
      <c r="C750" t="s">
        <v>384</v>
      </c>
      <c r="D750">
        <v>54426</v>
      </c>
      <c r="E750">
        <v>2</v>
      </c>
      <c r="F750">
        <f t="shared" si="33"/>
        <v>2024</v>
      </c>
      <c r="G750">
        <f t="shared" si="34"/>
        <v>6</v>
      </c>
      <c r="H750" t="str">
        <f t="shared" si="35"/>
        <v>2024-6</v>
      </c>
    </row>
    <row r="751" spans="1:8" x14ac:dyDescent="0.25">
      <c r="A751" t="s">
        <v>16</v>
      </c>
      <c r="B751" t="s">
        <v>71</v>
      </c>
      <c r="C751" t="s">
        <v>384</v>
      </c>
      <c r="D751">
        <v>15531</v>
      </c>
      <c r="E751">
        <v>8</v>
      </c>
      <c r="F751">
        <f t="shared" si="33"/>
        <v>2024</v>
      </c>
      <c r="G751">
        <f t="shared" si="34"/>
        <v>6</v>
      </c>
      <c r="H751" t="str">
        <f t="shared" si="35"/>
        <v>2024-6</v>
      </c>
    </row>
    <row r="752" spans="1:8" x14ac:dyDescent="0.25">
      <c r="A752" t="s">
        <v>26</v>
      </c>
      <c r="B752" t="s">
        <v>328</v>
      </c>
      <c r="C752" t="s">
        <v>384</v>
      </c>
      <c r="D752">
        <v>37191</v>
      </c>
      <c r="E752">
        <v>7</v>
      </c>
      <c r="F752">
        <f t="shared" si="33"/>
        <v>2024</v>
      </c>
      <c r="G752">
        <f t="shared" si="34"/>
        <v>6</v>
      </c>
      <c r="H752" t="str">
        <f t="shared" si="35"/>
        <v>2024-6</v>
      </c>
    </row>
    <row r="753" spans="1:8" x14ac:dyDescent="0.25">
      <c r="A753" t="s">
        <v>38</v>
      </c>
      <c r="B753" t="s">
        <v>207</v>
      </c>
      <c r="C753" t="s">
        <v>385</v>
      </c>
      <c r="D753">
        <v>33000</v>
      </c>
      <c r="E753">
        <v>4</v>
      </c>
      <c r="F753">
        <f t="shared" si="33"/>
        <v>2024</v>
      </c>
      <c r="G753">
        <f t="shared" si="34"/>
        <v>6</v>
      </c>
      <c r="H753" t="str">
        <f t="shared" si="35"/>
        <v>2024-6</v>
      </c>
    </row>
    <row r="754" spans="1:8" x14ac:dyDescent="0.25">
      <c r="A754" t="s">
        <v>21</v>
      </c>
      <c r="B754" t="s">
        <v>97</v>
      </c>
      <c r="C754" t="s">
        <v>385</v>
      </c>
      <c r="D754">
        <v>16473</v>
      </c>
      <c r="E754">
        <v>7</v>
      </c>
      <c r="F754">
        <f t="shared" si="33"/>
        <v>2024</v>
      </c>
      <c r="G754">
        <f t="shared" si="34"/>
        <v>6</v>
      </c>
      <c r="H754" t="str">
        <f t="shared" si="35"/>
        <v>2024-6</v>
      </c>
    </row>
    <row r="755" spans="1:8" x14ac:dyDescent="0.25">
      <c r="A755" t="s">
        <v>29</v>
      </c>
      <c r="B755" t="s">
        <v>89</v>
      </c>
      <c r="C755" t="s">
        <v>386</v>
      </c>
      <c r="D755">
        <v>98543</v>
      </c>
      <c r="E755">
        <v>2</v>
      </c>
      <c r="F755">
        <f t="shared" si="33"/>
        <v>2024</v>
      </c>
      <c r="G755">
        <f t="shared" si="34"/>
        <v>6</v>
      </c>
      <c r="H755" t="str">
        <f t="shared" si="35"/>
        <v>2024-6</v>
      </c>
    </row>
    <row r="756" spans="1:8" x14ac:dyDescent="0.25">
      <c r="A756" t="s">
        <v>43</v>
      </c>
      <c r="B756" t="s">
        <v>111</v>
      </c>
      <c r="C756" t="s">
        <v>386</v>
      </c>
      <c r="D756">
        <v>90253</v>
      </c>
      <c r="E756">
        <v>6</v>
      </c>
      <c r="F756">
        <f t="shared" si="33"/>
        <v>2024</v>
      </c>
      <c r="G756">
        <f t="shared" si="34"/>
        <v>6</v>
      </c>
      <c r="H756" t="str">
        <f t="shared" si="35"/>
        <v>2024-6</v>
      </c>
    </row>
    <row r="757" spans="1:8" x14ac:dyDescent="0.25">
      <c r="A757" t="s">
        <v>38</v>
      </c>
      <c r="B757" t="s">
        <v>97</v>
      </c>
      <c r="C757" t="s">
        <v>386</v>
      </c>
      <c r="D757">
        <v>11305</v>
      </c>
      <c r="E757">
        <v>8</v>
      </c>
      <c r="F757">
        <f t="shared" si="33"/>
        <v>2024</v>
      </c>
      <c r="G757">
        <f t="shared" si="34"/>
        <v>6</v>
      </c>
      <c r="H757" t="str">
        <f t="shared" si="35"/>
        <v>2024-6</v>
      </c>
    </row>
    <row r="758" spans="1:8" x14ac:dyDescent="0.25">
      <c r="A758" t="s">
        <v>38</v>
      </c>
      <c r="B758" t="s">
        <v>22</v>
      </c>
      <c r="C758" t="s">
        <v>386</v>
      </c>
      <c r="D758">
        <v>18500</v>
      </c>
      <c r="E758">
        <v>7</v>
      </c>
      <c r="F758">
        <f t="shared" si="33"/>
        <v>2024</v>
      </c>
      <c r="G758">
        <f t="shared" si="34"/>
        <v>6</v>
      </c>
      <c r="H758" t="str">
        <f t="shared" si="35"/>
        <v>2024-6</v>
      </c>
    </row>
    <row r="759" spans="1:8" x14ac:dyDescent="0.25">
      <c r="A759" t="s">
        <v>8</v>
      </c>
      <c r="B759" t="s">
        <v>129</v>
      </c>
      <c r="C759" t="s">
        <v>386</v>
      </c>
      <c r="D759">
        <v>42022</v>
      </c>
      <c r="E759">
        <v>2</v>
      </c>
      <c r="F759">
        <f t="shared" si="33"/>
        <v>2024</v>
      </c>
      <c r="G759">
        <f t="shared" si="34"/>
        <v>6</v>
      </c>
      <c r="H759" t="str">
        <f t="shared" si="35"/>
        <v>2024-6</v>
      </c>
    </row>
    <row r="760" spans="1:8" x14ac:dyDescent="0.25">
      <c r="A760" t="s">
        <v>21</v>
      </c>
      <c r="B760" t="s">
        <v>169</v>
      </c>
      <c r="C760" t="s">
        <v>387</v>
      </c>
      <c r="D760">
        <v>22156</v>
      </c>
      <c r="E760">
        <v>9</v>
      </c>
      <c r="F760">
        <f t="shared" si="33"/>
        <v>2024</v>
      </c>
      <c r="G760">
        <f t="shared" si="34"/>
        <v>6</v>
      </c>
      <c r="H760" t="str">
        <f t="shared" si="35"/>
        <v>2024-6</v>
      </c>
    </row>
    <row r="761" spans="1:8" x14ac:dyDescent="0.25">
      <c r="A761" t="s">
        <v>16</v>
      </c>
      <c r="B761" t="s">
        <v>30</v>
      </c>
      <c r="C761" t="s">
        <v>388</v>
      </c>
      <c r="D761">
        <v>82360</v>
      </c>
      <c r="E761">
        <v>3</v>
      </c>
      <c r="F761">
        <f t="shared" si="33"/>
        <v>2024</v>
      </c>
      <c r="G761">
        <f t="shared" si="34"/>
        <v>6</v>
      </c>
      <c r="H761" t="str">
        <f t="shared" si="35"/>
        <v>2024-6</v>
      </c>
    </row>
    <row r="762" spans="1:8" x14ac:dyDescent="0.25">
      <c r="A762" t="s">
        <v>38</v>
      </c>
      <c r="B762" t="s">
        <v>22</v>
      </c>
      <c r="C762" t="s">
        <v>388</v>
      </c>
      <c r="D762">
        <v>10982</v>
      </c>
      <c r="E762">
        <v>0</v>
      </c>
      <c r="F762">
        <f t="shared" si="33"/>
        <v>2024</v>
      </c>
      <c r="G762">
        <f t="shared" si="34"/>
        <v>6</v>
      </c>
      <c r="H762" t="str">
        <f t="shared" si="35"/>
        <v>2024-6</v>
      </c>
    </row>
    <row r="763" spans="1:8" x14ac:dyDescent="0.25">
      <c r="A763" t="s">
        <v>43</v>
      </c>
      <c r="B763" t="s">
        <v>139</v>
      </c>
      <c r="C763" t="s">
        <v>388</v>
      </c>
      <c r="D763">
        <v>22105</v>
      </c>
      <c r="E763">
        <v>10</v>
      </c>
      <c r="F763">
        <f t="shared" si="33"/>
        <v>2024</v>
      </c>
      <c r="G763">
        <f t="shared" si="34"/>
        <v>6</v>
      </c>
      <c r="H763" t="str">
        <f t="shared" si="35"/>
        <v>2024-6</v>
      </c>
    </row>
    <row r="764" spans="1:8" x14ac:dyDescent="0.25">
      <c r="A764" t="s">
        <v>55</v>
      </c>
      <c r="B764" t="s">
        <v>15</v>
      </c>
      <c r="C764" t="s">
        <v>388</v>
      </c>
      <c r="D764">
        <v>58207</v>
      </c>
      <c r="E764">
        <v>10</v>
      </c>
      <c r="F764">
        <f t="shared" si="33"/>
        <v>2024</v>
      </c>
      <c r="G764">
        <f t="shared" si="34"/>
        <v>6</v>
      </c>
      <c r="H764" t="str">
        <f t="shared" si="35"/>
        <v>2024-6</v>
      </c>
    </row>
    <row r="765" spans="1:8" x14ac:dyDescent="0.25">
      <c r="A765" t="s">
        <v>8</v>
      </c>
      <c r="B765" t="s">
        <v>220</v>
      </c>
      <c r="C765" t="s">
        <v>388</v>
      </c>
      <c r="D765">
        <v>65098</v>
      </c>
      <c r="E765">
        <v>5</v>
      </c>
      <c r="F765">
        <f t="shared" si="33"/>
        <v>2024</v>
      </c>
      <c r="G765">
        <f t="shared" si="34"/>
        <v>6</v>
      </c>
      <c r="H765" t="str">
        <f t="shared" si="35"/>
        <v>2024-6</v>
      </c>
    </row>
    <row r="766" spans="1:8" x14ac:dyDescent="0.25">
      <c r="A766" t="s">
        <v>55</v>
      </c>
      <c r="B766" t="s">
        <v>125</v>
      </c>
      <c r="C766" t="s">
        <v>388</v>
      </c>
      <c r="D766">
        <v>72780</v>
      </c>
      <c r="E766">
        <v>6</v>
      </c>
      <c r="F766">
        <f t="shared" si="33"/>
        <v>2024</v>
      </c>
      <c r="G766">
        <f t="shared" si="34"/>
        <v>6</v>
      </c>
      <c r="H766" t="str">
        <f t="shared" si="35"/>
        <v>2024-6</v>
      </c>
    </row>
    <row r="767" spans="1:8" x14ac:dyDescent="0.25">
      <c r="A767" t="s">
        <v>16</v>
      </c>
      <c r="B767" t="s">
        <v>295</v>
      </c>
      <c r="C767" t="s">
        <v>388</v>
      </c>
      <c r="D767">
        <v>24222</v>
      </c>
      <c r="E767">
        <v>7</v>
      </c>
      <c r="F767">
        <f t="shared" si="33"/>
        <v>2024</v>
      </c>
      <c r="G767">
        <f t="shared" si="34"/>
        <v>6</v>
      </c>
      <c r="H767" t="str">
        <f t="shared" si="35"/>
        <v>2024-6</v>
      </c>
    </row>
    <row r="768" spans="1:8" x14ac:dyDescent="0.25">
      <c r="A768" t="s">
        <v>13</v>
      </c>
      <c r="B768" t="s">
        <v>15</v>
      </c>
      <c r="C768" t="s">
        <v>388</v>
      </c>
      <c r="D768">
        <v>31005</v>
      </c>
      <c r="E768">
        <v>8</v>
      </c>
      <c r="F768">
        <f t="shared" si="33"/>
        <v>2024</v>
      </c>
      <c r="G768">
        <f t="shared" si="34"/>
        <v>6</v>
      </c>
      <c r="H768" t="str">
        <f t="shared" si="35"/>
        <v>2024-6</v>
      </c>
    </row>
    <row r="769" spans="1:8" x14ac:dyDescent="0.25">
      <c r="A769" t="s">
        <v>8</v>
      </c>
      <c r="B769" t="s">
        <v>109</v>
      </c>
      <c r="C769" t="s">
        <v>388</v>
      </c>
      <c r="D769">
        <v>55900</v>
      </c>
      <c r="E769">
        <v>7</v>
      </c>
      <c r="F769">
        <f t="shared" si="33"/>
        <v>2024</v>
      </c>
      <c r="G769">
        <f t="shared" si="34"/>
        <v>6</v>
      </c>
      <c r="H769" t="str">
        <f t="shared" si="35"/>
        <v>2024-6</v>
      </c>
    </row>
    <row r="770" spans="1:8" x14ac:dyDescent="0.25">
      <c r="A770" t="s">
        <v>19</v>
      </c>
      <c r="B770" t="s">
        <v>136</v>
      </c>
      <c r="C770" t="s">
        <v>388</v>
      </c>
      <c r="D770">
        <v>17650</v>
      </c>
      <c r="E770">
        <v>6</v>
      </c>
      <c r="F770">
        <f t="shared" si="33"/>
        <v>2024</v>
      </c>
      <c r="G770">
        <f t="shared" si="34"/>
        <v>6</v>
      </c>
      <c r="H770" t="str">
        <f t="shared" si="35"/>
        <v>2024-6</v>
      </c>
    </row>
    <row r="771" spans="1:8" x14ac:dyDescent="0.25">
      <c r="A771" t="s">
        <v>5</v>
      </c>
      <c r="B771" t="s">
        <v>121</v>
      </c>
      <c r="C771" t="s">
        <v>389</v>
      </c>
      <c r="D771">
        <v>83323</v>
      </c>
      <c r="E771">
        <v>7</v>
      </c>
      <c r="F771">
        <f t="shared" ref="F771:F834" si="36">YEAR(C771)</f>
        <v>2024</v>
      </c>
      <c r="G771">
        <f t="shared" ref="G771:G834" si="37">MONTH(C771)</f>
        <v>6</v>
      </c>
      <c r="H771" t="str">
        <f t="shared" ref="H771:H834" si="38">F771&amp;"-"&amp;G771</f>
        <v>2024-6</v>
      </c>
    </row>
    <row r="772" spans="1:8" x14ac:dyDescent="0.25">
      <c r="A772" t="s">
        <v>43</v>
      </c>
      <c r="B772" t="s">
        <v>125</v>
      </c>
      <c r="C772" t="s">
        <v>389</v>
      </c>
      <c r="D772">
        <v>15731</v>
      </c>
      <c r="E772">
        <v>7</v>
      </c>
      <c r="F772">
        <f t="shared" si="36"/>
        <v>2024</v>
      </c>
      <c r="G772">
        <f t="shared" si="37"/>
        <v>6</v>
      </c>
      <c r="H772" t="str">
        <f t="shared" si="38"/>
        <v>2024-6</v>
      </c>
    </row>
    <row r="773" spans="1:8" x14ac:dyDescent="0.25">
      <c r="A773" t="s">
        <v>19</v>
      </c>
      <c r="B773" t="s">
        <v>193</v>
      </c>
      <c r="C773" t="s">
        <v>389</v>
      </c>
      <c r="D773">
        <v>22738</v>
      </c>
      <c r="E773">
        <v>5</v>
      </c>
      <c r="F773">
        <f t="shared" si="36"/>
        <v>2024</v>
      </c>
      <c r="G773">
        <f t="shared" si="37"/>
        <v>6</v>
      </c>
      <c r="H773" t="str">
        <f t="shared" si="38"/>
        <v>2024-6</v>
      </c>
    </row>
    <row r="774" spans="1:8" x14ac:dyDescent="0.25">
      <c r="A774" t="s">
        <v>21</v>
      </c>
      <c r="B774" t="s">
        <v>167</v>
      </c>
      <c r="C774" t="s">
        <v>389</v>
      </c>
      <c r="D774">
        <v>59223</v>
      </c>
      <c r="E774">
        <v>7</v>
      </c>
      <c r="F774">
        <f t="shared" si="36"/>
        <v>2024</v>
      </c>
      <c r="G774">
        <f t="shared" si="37"/>
        <v>6</v>
      </c>
      <c r="H774" t="str">
        <f t="shared" si="38"/>
        <v>2024-6</v>
      </c>
    </row>
    <row r="775" spans="1:8" x14ac:dyDescent="0.25">
      <c r="A775" t="s">
        <v>43</v>
      </c>
      <c r="B775" t="s">
        <v>294</v>
      </c>
      <c r="C775" t="s">
        <v>390</v>
      </c>
      <c r="D775">
        <v>13239</v>
      </c>
      <c r="E775">
        <v>7</v>
      </c>
      <c r="F775">
        <f t="shared" si="36"/>
        <v>2024</v>
      </c>
      <c r="G775">
        <f t="shared" si="37"/>
        <v>6</v>
      </c>
      <c r="H775" t="str">
        <f t="shared" si="38"/>
        <v>2024-6</v>
      </c>
    </row>
    <row r="776" spans="1:8" x14ac:dyDescent="0.25">
      <c r="A776" t="s">
        <v>11</v>
      </c>
      <c r="B776" t="s">
        <v>92</v>
      </c>
      <c r="C776" t="s">
        <v>390</v>
      </c>
      <c r="D776">
        <v>90147</v>
      </c>
      <c r="E776">
        <v>7</v>
      </c>
      <c r="F776">
        <f t="shared" si="36"/>
        <v>2024</v>
      </c>
      <c r="G776">
        <f t="shared" si="37"/>
        <v>6</v>
      </c>
      <c r="H776" t="str">
        <f t="shared" si="38"/>
        <v>2024-6</v>
      </c>
    </row>
    <row r="777" spans="1:8" x14ac:dyDescent="0.25">
      <c r="A777" t="s">
        <v>11</v>
      </c>
      <c r="B777" t="s">
        <v>172</v>
      </c>
      <c r="C777" t="s">
        <v>391</v>
      </c>
      <c r="D777">
        <v>97563</v>
      </c>
      <c r="E777">
        <v>10</v>
      </c>
      <c r="F777">
        <f t="shared" si="36"/>
        <v>2024</v>
      </c>
      <c r="G777">
        <f t="shared" si="37"/>
        <v>6</v>
      </c>
      <c r="H777" t="str">
        <f t="shared" si="38"/>
        <v>2024-6</v>
      </c>
    </row>
    <row r="778" spans="1:8" x14ac:dyDescent="0.25">
      <c r="A778" t="s">
        <v>16</v>
      </c>
      <c r="B778" t="s">
        <v>178</v>
      </c>
      <c r="C778" t="s">
        <v>391</v>
      </c>
      <c r="D778">
        <v>19067</v>
      </c>
      <c r="E778">
        <v>8</v>
      </c>
      <c r="F778">
        <f t="shared" si="36"/>
        <v>2024</v>
      </c>
      <c r="G778">
        <f t="shared" si="37"/>
        <v>6</v>
      </c>
      <c r="H778" t="str">
        <f t="shared" si="38"/>
        <v>2024-6</v>
      </c>
    </row>
    <row r="779" spans="1:8" x14ac:dyDescent="0.25">
      <c r="A779" t="s">
        <v>29</v>
      </c>
      <c r="B779" t="s">
        <v>30</v>
      </c>
      <c r="C779" t="s">
        <v>391</v>
      </c>
      <c r="D779">
        <v>19364</v>
      </c>
      <c r="E779">
        <v>3</v>
      </c>
      <c r="F779">
        <f t="shared" si="36"/>
        <v>2024</v>
      </c>
      <c r="G779">
        <f t="shared" si="37"/>
        <v>6</v>
      </c>
      <c r="H779" t="str">
        <f t="shared" si="38"/>
        <v>2024-6</v>
      </c>
    </row>
    <row r="780" spans="1:8" x14ac:dyDescent="0.25">
      <c r="A780" t="s">
        <v>11</v>
      </c>
      <c r="B780" t="s">
        <v>392</v>
      </c>
      <c r="C780" t="s">
        <v>391</v>
      </c>
      <c r="D780">
        <v>54403</v>
      </c>
      <c r="E780">
        <v>5</v>
      </c>
      <c r="F780">
        <f t="shared" si="36"/>
        <v>2024</v>
      </c>
      <c r="G780">
        <f t="shared" si="37"/>
        <v>6</v>
      </c>
      <c r="H780" t="str">
        <f t="shared" si="38"/>
        <v>2024-6</v>
      </c>
    </row>
    <row r="781" spans="1:8" x14ac:dyDescent="0.25">
      <c r="A781" t="s">
        <v>11</v>
      </c>
      <c r="B781" t="s">
        <v>76</v>
      </c>
      <c r="C781" t="s">
        <v>393</v>
      </c>
      <c r="D781">
        <v>38084</v>
      </c>
      <c r="E781">
        <v>10</v>
      </c>
      <c r="F781">
        <f t="shared" si="36"/>
        <v>2024</v>
      </c>
      <c r="G781">
        <f t="shared" si="37"/>
        <v>6</v>
      </c>
      <c r="H781" t="str">
        <f t="shared" si="38"/>
        <v>2024-6</v>
      </c>
    </row>
    <row r="782" spans="1:8" x14ac:dyDescent="0.25">
      <c r="A782" t="s">
        <v>13</v>
      </c>
      <c r="B782" t="s">
        <v>64</v>
      </c>
      <c r="C782" t="s">
        <v>393</v>
      </c>
      <c r="D782">
        <v>33668</v>
      </c>
      <c r="E782">
        <v>9</v>
      </c>
      <c r="F782">
        <f t="shared" si="36"/>
        <v>2024</v>
      </c>
      <c r="G782">
        <f t="shared" si="37"/>
        <v>6</v>
      </c>
      <c r="H782" t="str">
        <f t="shared" si="38"/>
        <v>2024-6</v>
      </c>
    </row>
    <row r="783" spans="1:8" x14ac:dyDescent="0.25">
      <c r="A783" t="s">
        <v>8</v>
      </c>
      <c r="B783" t="s">
        <v>126</v>
      </c>
      <c r="C783" t="s">
        <v>394</v>
      </c>
      <c r="D783">
        <v>46207</v>
      </c>
      <c r="E783">
        <v>8</v>
      </c>
      <c r="F783">
        <f t="shared" si="36"/>
        <v>2024</v>
      </c>
      <c r="G783">
        <f t="shared" si="37"/>
        <v>6</v>
      </c>
      <c r="H783" t="str">
        <f t="shared" si="38"/>
        <v>2024-6</v>
      </c>
    </row>
    <row r="784" spans="1:8" x14ac:dyDescent="0.25">
      <c r="A784" t="s">
        <v>19</v>
      </c>
      <c r="B784" t="s">
        <v>295</v>
      </c>
      <c r="C784" t="s">
        <v>394</v>
      </c>
      <c r="D784">
        <v>37976</v>
      </c>
      <c r="E784">
        <v>5</v>
      </c>
      <c r="F784">
        <f t="shared" si="36"/>
        <v>2024</v>
      </c>
      <c r="G784">
        <f t="shared" si="37"/>
        <v>6</v>
      </c>
      <c r="H784" t="str">
        <f t="shared" si="38"/>
        <v>2024-6</v>
      </c>
    </row>
    <row r="785" spans="1:8" x14ac:dyDescent="0.25">
      <c r="A785" t="s">
        <v>19</v>
      </c>
      <c r="B785" t="s">
        <v>104</v>
      </c>
      <c r="C785" t="s">
        <v>394</v>
      </c>
      <c r="D785">
        <v>58974</v>
      </c>
      <c r="E785">
        <v>9</v>
      </c>
      <c r="F785">
        <f t="shared" si="36"/>
        <v>2024</v>
      </c>
      <c r="G785">
        <f t="shared" si="37"/>
        <v>6</v>
      </c>
      <c r="H785" t="str">
        <f t="shared" si="38"/>
        <v>2024-6</v>
      </c>
    </row>
    <row r="786" spans="1:8" x14ac:dyDescent="0.25">
      <c r="A786" t="s">
        <v>43</v>
      </c>
      <c r="B786" t="s">
        <v>160</v>
      </c>
      <c r="C786" t="s">
        <v>394</v>
      </c>
      <c r="D786">
        <v>92866</v>
      </c>
      <c r="E786">
        <v>10</v>
      </c>
      <c r="F786">
        <f t="shared" si="36"/>
        <v>2024</v>
      </c>
      <c r="G786">
        <f t="shared" si="37"/>
        <v>6</v>
      </c>
      <c r="H786" t="str">
        <f t="shared" si="38"/>
        <v>2024-6</v>
      </c>
    </row>
    <row r="787" spans="1:8" x14ac:dyDescent="0.25">
      <c r="A787" t="s">
        <v>8</v>
      </c>
      <c r="B787" t="s">
        <v>232</v>
      </c>
      <c r="C787" t="s">
        <v>394</v>
      </c>
      <c r="D787">
        <v>60402</v>
      </c>
      <c r="E787">
        <v>3</v>
      </c>
      <c r="F787">
        <f t="shared" si="36"/>
        <v>2024</v>
      </c>
      <c r="G787">
        <f t="shared" si="37"/>
        <v>6</v>
      </c>
      <c r="H787" t="str">
        <f t="shared" si="38"/>
        <v>2024-6</v>
      </c>
    </row>
    <row r="788" spans="1:8" x14ac:dyDescent="0.25">
      <c r="A788" t="s">
        <v>5</v>
      </c>
      <c r="B788" t="s">
        <v>65</v>
      </c>
      <c r="C788" t="s">
        <v>394</v>
      </c>
      <c r="D788">
        <v>20233</v>
      </c>
      <c r="E788">
        <v>1</v>
      </c>
      <c r="F788">
        <f t="shared" si="36"/>
        <v>2024</v>
      </c>
      <c r="G788">
        <f t="shared" si="37"/>
        <v>6</v>
      </c>
      <c r="H788" t="str">
        <f t="shared" si="38"/>
        <v>2024-6</v>
      </c>
    </row>
    <row r="789" spans="1:8" x14ac:dyDescent="0.25">
      <c r="A789" t="s">
        <v>38</v>
      </c>
      <c r="B789" t="s">
        <v>114</v>
      </c>
      <c r="C789" t="s">
        <v>394</v>
      </c>
      <c r="D789">
        <v>84964</v>
      </c>
      <c r="E789">
        <v>7</v>
      </c>
      <c r="F789">
        <f t="shared" si="36"/>
        <v>2024</v>
      </c>
      <c r="G789">
        <f t="shared" si="37"/>
        <v>6</v>
      </c>
      <c r="H789" t="str">
        <f t="shared" si="38"/>
        <v>2024-6</v>
      </c>
    </row>
    <row r="790" spans="1:8" x14ac:dyDescent="0.25">
      <c r="A790" t="s">
        <v>29</v>
      </c>
      <c r="B790" t="s">
        <v>88</v>
      </c>
      <c r="C790" t="s">
        <v>395</v>
      </c>
      <c r="D790">
        <v>13838</v>
      </c>
      <c r="E790">
        <v>9</v>
      </c>
      <c r="F790">
        <f t="shared" si="36"/>
        <v>2024</v>
      </c>
      <c r="G790">
        <f t="shared" si="37"/>
        <v>6</v>
      </c>
      <c r="H790" t="str">
        <f t="shared" si="38"/>
        <v>2024-6</v>
      </c>
    </row>
    <row r="791" spans="1:8" x14ac:dyDescent="0.25">
      <c r="A791" t="s">
        <v>8</v>
      </c>
      <c r="B791" t="s">
        <v>33</v>
      </c>
      <c r="C791" t="s">
        <v>395</v>
      </c>
      <c r="D791">
        <v>82991</v>
      </c>
      <c r="E791">
        <v>9</v>
      </c>
      <c r="F791">
        <f t="shared" si="36"/>
        <v>2024</v>
      </c>
      <c r="G791">
        <f t="shared" si="37"/>
        <v>6</v>
      </c>
      <c r="H791" t="str">
        <f t="shared" si="38"/>
        <v>2024-6</v>
      </c>
    </row>
    <row r="792" spans="1:8" x14ac:dyDescent="0.25">
      <c r="A792" t="s">
        <v>21</v>
      </c>
      <c r="B792" t="s">
        <v>169</v>
      </c>
      <c r="C792" t="s">
        <v>395</v>
      </c>
      <c r="D792">
        <v>10734</v>
      </c>
      <c r="E792">
        <v>9</v>
      </c>
      <c r="F792">
        <f t="shared" si="36"/>
        <v>2024</v>
      </c>
      <c r="G792">
        <f t="shared" si="37"/>
        <v>6</v>
      </c>
      <c r="H792" t="str">
        <f t="shared" si="38"/>
        <v>2024-6</v>
      </c>
    </row>
    <row r="793" spans="1:8" x14ac:dyDescent="0.25">
      <c r="A793" t="s">
        <v>8</v>
      </c>
      <c r="B793" t="s">
        <v>206</v>
      </c>
      <c r="C793" t="s">
        <v>395</v>
      </c>
      <c r="D793">
        <v>48259</v>
      </c>
      <c r="E793">
        <v>6</v>
      </c>
      <c r="F793">
        <f t="shared" si="36"/>
        <v>2024</v>
      </c>
      <c r="G793">
        <f t="shared" si="37"/>
        <v>6</v>
      </c>
      <c r="H793" t="str">
        <f t="shared" si="38"/>
        <v>2024-6</v>
      </c>
    </row>
    <row r="794" spans="1:8" x14ac:dyDescent="0.25">
      <c r="A794" t="s">
        <v>55</v>
      </c>
      <c r="B794" t="s">
        <v>22</v>
      </c>
      <c r="C794" t="s">
        <v>395</v>
      </c>
      <c r="D794">
        <v>68684</v>
      </c>
      <c r="E794">
        <v>8</v>
      </c>
      <c r="F794">
        <f t="shared" si="36"/>
        <v>2024</v>
      </c>
      <c r="G794">
        <f t="shared" si="37"/>
        <v>6</v>
      </c>
      <c r="H794" t="str">
        <f t="shared" si="38"/>
        <v>2024-6</v>
      </c>
    </row>
    <row r="795" spans="1:8" x14ac:dyDescent="0.25">
      <c r="A795" t="s">
        <v>16</v>
      </c>
      <c r="B795" t="s">
        <v>149</v>
      </c>
      <c r="C795" t="s">
        <v>396</v>
      </c>
      <c r="D795">
        <v>27864</v>
      </c>
      <c r="E795">
        <v>2</v>
      </c>
      <c r="F795">
        <f t="shared" si="36"/>
        <v>2024</v>
      </c>
      <c r="G795">
        <f t="shared" si="37"/>
        <v>6</v>
      </c>
      <c r="H795" t="str">
        <f t="shared" si="38"/>
        <v>2024-6</v>
      </c>
    </row>
    <row r="796" spans="1:8" x14ac:dyDescent="0.25">
      <c r="A796" t="s">
        <v>8</v>
      </c>
      <c r="B796" t="s">
        <v>92</v>
      </c>
      <c r="C796" t="s">
        <v>397</v>
      </c>
      <c r="D796">
        <v>46046</v>
      </c>
      <c r="E796">
        <v>5</v>
      </c>
      <c r="F796">
        <f t="shared" si="36"/>
        <v>2024</v>
      </c>
      <c r="G796">
        <f t="shared" si="37"/>
        <v>6</v>
      </c>
      <c r="H796" t="str">
        <f t="shared" si="38"/>
        <v>2024-6</v>
      </c>
    </row>
    <row r="797" spans="1:8" x14ac:dyDescent="0.25">
      <c r="A797" t="s">
        <v>19</v>
      </c>
      <c r="B797" t="s">
        <v>172</v>
      </c>
      <c r="C797" t="s">
        <v>397</v>
      </c>
      <c r="D797">
        <v>16640</v>
      </c>
      <c r="E797">
        <v>9</v>
      </c>
      <c r="F797">
        <f t="shared" si="36"/>
        <v>2024</v>
      </c>
      <c r="G797">
        <f t="shared" si="37"/>
        <v>6</v>
      </c>
      <c r="H797" t="str">
        <f t="shared" si="38"/>
        <v>2024-6</v>
      </c>
    </row>
    <row r="798" spans="1:8" x14ac:dyDescent="0.25">
      <c r="A798" t="s">
        <v>5</v>
      </c>
      <c r="B798" t="s">
        <v>216</v>
      </c>
      <c r="C798" t="s">
        <v>397</v>
      </c>
      <c r="D798">
        <v>11671</v>
      </c>
      <c r="E798">
        <v>8</v>
      </c>
      <c r="F798">
        <f t="shared" si="36"/>
        <v>2024</v>
      </c>
      <c r="G798">
        <f t="shared" si="37"/>
        <v>6</v>
      </c>
      <c r="H798" t="str">
        <f t="shared" si="38"/>
        <v>2024-6</v>
      </c>
    </row>
    <row r="799" spans="1:8" x14ac:dyDescent="0.25">
      <c r="A799" t="s">
        <v>13</v>
      </c>
      <c r="B799" t="s">
        <v>58</v>
      </c>
      <c r="C799" t="s">
        <v>397</v>
      </c>
      <c r="D799">
        <v>35397</v>
      </c>
      <c r="E799">
        <v>9</v>
      </c>
      <c r="F799">
        <f t="shared" si="36"/>
        <v>2024</v>
      </c>
      <c r="G799">
        <f t="shared" si="37"/>
        <v>6</v>
      </c>
      <c r="H799" t="str">
        <f t="shared" si="38"/>
        <v>2024-6</v>
      </c>
    </row>
    <row r="800" spans="1:8" x14ac:dyDescent="0.25">
      <c r="A800" t="s">
        <v>19</v>
      </c>
      <c r="B800" t="s">
        <v>30</v>
      </c>
      <c r="C800" t="s">
        <v>397</v>
      </c>
      <c r="D800">
        <v>90582</v>
      </c>
      <c r="E800">
        <v>7</v>
      </c>
      <c r="F800">
        <f t="shared" si="36"/>
        <v>2024</v>
      </c>
      <c r="G800">
        <f t="shared" si="37"/>
        <v>6</v>
      </c>
      <c r="H800" t="str">
        <f t="shared" si="38"/>
        <v>2024-6</v>
      </c>
    </row>
    <row r="801" spans="1:8" x14ac:dyDescent="0.25">
      <c r="A801" t="s">
        <v>21</v>
      </c>
      <c r="B801" t="s">
        <v>188</v>
      </c>
      <c r="C801" t="s">
        <v>398</v>
      </c>
      <c r="D801">
        <v>82782</v>
      </c>
      <c r="E801">
        <v>8</v>
      </c>
      <c r="F801">
        <f t="shared" si="36"/>
        <v>2024</v>
      </c>
      <c r="G801">
        <f t="shared" si="37"/>
        <v>6</v>
      </c>
      <c r="H801" t="str">
        <f t="shared" si="38"/>
        <v>2024-6</v>
      </c>
    </row>
    <row r="802" spans="1:8" x14ac:dyDescent="0.25">
      <c r="A802" t="s">
        <v>19</v>
      </c>
      <c r="B802" t="s">
        <v>160</v>
      </c>
      <c r="C802" t="s">
        <v>398</v>
      </c>
      <c r="D802">
        <v>92178</v>
      </c>
      <c r="E802">
        <v>5</v>
      </c>
      <c r="F802">
        <f t="shared" si="36"/>
        <v>2024</v>
      </c>
      <c r="G802">
        <f t="shared" si="37"/>
        <v>6</v>
      </c>
      <c r="H802" t="str">
        <f t="shared" si="38"/>
        <v>2024-6</v>
      </c>
    </row>
    <row r="803" spans="1:8" x14ac:dyDescent="0.25">
      <c r="A803" t="s">
        <v>26</v>
      </c>
      <c r="B803" t="s">
        <v>121</v>
      </c>
      <c r="C803" t="s">
        <v>399</v>
      </c>
      <c r="D803">
        <v>74563</v>
      </c>
      <c r="E803">
        <v>3</v>
      </c>
      <c r="F803">
        <f t="shared" si="36"/>
        <v>2024</v>
      </c>
      <c r="G803">
        <f t="shared" si="37"/>
        <v>6</v>
      </c>
      <c r="H803" t="str">
        <f t="shared" si="38"/>
        <v>2024-6</v>
      </c>
    </row>
    <row r="804" spans="1:8" x14ac:dyDescent="0.25">
      <c r="A804" t="s">
        <v>38</v>
      </c>
      <c r="B804" t="s">
        <v>400</v>
      </c>
      <c r="C804" t="s">
        <v>399</v>
      </c>
      <c r="D804">
        <v>41998</v>
      </c>
      <c r="E804">
        <v>7</v>
      </c>
      <c r="F804">
        <f t="shared" si="36"/>
        <v>2024</v>
      </c>
      <c r="G804">
        <f t="shared" si="37"/>
        <v>6</v>
      </c>
      <c r="H804" t="str">
        <f t="shared" si="38"/>
        <v>2024-6</v>
      </c>
    </row>
    <row r="805" spans="1:8" x14ac:dyDescent="0.25">
      <c r="A805" t="s">
        <v>19</v>
      </c>
      <c r="B805" t="s">
        <v>88</v>
      </c>
      <c r="C805" t="s">
        <v>399</v>
      </c>
      <c r="D805">
        <v>90303</v>
      </c>
      <c r="E805">
        <v>2</v>
      </c>
      <c r="F805">
        <f t="shared" si="36"/>
        <v>2024</v>
      </c>
      <c r="G805">
        <f t="shared" si="37"/>
        <v>6</v>
      </c>
      <c r="H805" t="str">
        <f t="shared" si="38"/>
        <v>2024-6</v>
      </c>
    </row>
    <row r="806" spans="1:8" x14ac:dyDescent="0.25">
      <c r="A806" t="s">
        <v>13</v>
      </c>
      <c r="B806" t="s">
        <v>144</v>
      </c>
      <c r="C806" t="s">
        <v>401</v>
      </c>
      <c r="D806">
        <v>24808</v>
      </c>
      <c r="E806">
        <v>6</v>
      </c>
      <c r="F806">
        <f t="shared" si="36"/>
        <v>2024</v>
      </c>
      <c r="G806">
        <f t="shared" si="37"/>
        <v>6</v>
      </c>
      <c r="H806" t="str">
        <f t="shared" si="38"/>
        <v>2024-6</v>
      </c>
    </row>
    <row r="807" spans="1:8" x14ac:dyDescent="0.25">
      <c r="A807" t="s">
        <v>8</v>
      </c>
      <c r="B807" t="s">
        <v>272</v>
      </c>
      <c r="C807" t="s">
        <v>401</v>
      </c>
      <c r="D807">
        <v>56414</v>
      </c>
      <c r="E807">
        <v>9</v>
      </c>
      <c r="F807">
        <f t="shared" si="36"/>
        <v>2024</v>
      </c>
      <c r="G807">
        <f t="shared" si="37"/>
        <v>6</v>
      </c>
      <c r="H807" t="str">
        <f t="shared" si="38"/>
        <v>2024-6</v>
      </c>
    </row>
    <row r="808" spans="1:8" x14ac:dyDescent="0.25">
      <c r="A808" t="s">
        <v>11</v>
      </c>
      <c r="B808" t="s">
        <v>246</v>
      </c>
      <c r="C808" t="s">
        <v>401</v>
      </c>
      <c r="D808">
        <v>97521</v>
      </c>
      <c r="E808">
        <v>8</v>
      </c>
      <c r="F808">
        <f t="shared" si="36"/>
        <v>2024</v>
      </c>
      <c r="G808">
        <f t="shared" si="37"/>
        <v>6</v>
      </c>
      <c r="H808" t="str">
        <f t="shared" si="38"/>
        <v>2024-6</v>
      </c>
    </row>
    <row r="809" spans="1:8" x14ac:dyDescent="0.25">
      <c r="A809" t="s">
        <v>55</v>
      </c>
      <c r="B809" t="s">
        <v>160</v>
      </c>
      <c r="C809" t="s">
        <v>402</v>
      </c>
      <c r="D809">
        <v>15824</v>
      </c>
      <c r="E809">
        <v>7</v>
      </c>
      <c r="F809">
        <f t="shared" si="36"/>
        <v>2024</v>
      </c>
      <c r="G809">
        <f t="shared" si="37"/>
        <v>6</v>
      </c>
      <c r="H809" t="str">
        <f t="shared" si="38"/>
        <v>2024-6</v>
      </c>
    </row>
    <row r="810" spans="1:8" x14ac:dyDescent="0.25">
      <c r="A810" t="s">
        <v>5</v>
      </c>
      <c r="B810" t="s">
        <v>102</v>
      </c>
      <c r="C810" t="s">
        <v>403</v>
      </c>
      <c r="D810">
        <v>31653</v>
      </c>
      <c r="E810">
        <v>6</v>
      </c>
      <c r="F810">
        <f t="shared" si="36"/>
        <v>2024</v>
      </c>
      <c r="G810">
        <f t="shared" si="37"/>
        <v>6</v>
      </c>
      <c r="H810" t="str">
        <f t="shared" si="38"/>
        <v>2024-6</v>
      </c>
    </row>
    <row r="811" spans="1:8" x14ac:dyDescent="0.25">
      <c r="A811" t="s">
        <v>11</v>
      </c>
      <c r="B811" t="s">
        <v>98</v>
      </c>
      <c r="C811" t="s">
        <v>403</v>
      </c>
      <c r="D811">
        <v>78500</v>
      </c>
      <c r="E811">
        <v>8</v>
      </c>
      <c r="F811">
        <f t="shared" si="36"/>
        <v>2024</v>
      </c>
      <c r="G811">
        <f t="shared" si="37"/>
        <v>6</v>
      </c>
      <c r="H811" t="str">
        <f t="shared" si="38"/>
        <v>2024-6</v>
      </c>
    </row>
    <row r="812" spans="1:8" x14ac:dyDescent="0.25">
      <c r="A812" t="s">
        <v>21</v>
      </c>
      <c r="B812" t="s">
        <v>400</v>
      </c>
      <c r="C812" t="s">
        <v>403</v>
      </c>
      <c r="D812">
        <v>87386</v>
      </c>
      <c r="E812">
        <v>8</v>
      </c>
      <c r="F812">
        <f t="shared" si="36"/>
        <v>2024</v>
      </c>
      <c r="G812">
        <f t="shared" si="37"/>
        <v>6</v>
      </c>
      <c r="H812" t="str">
        <f t="shared" si="38"/>
        <v>2024-6</v>
      </c>
    </row>
    <row r="813" spans="1:8" x14ac:dyDescent="0.25">
      <c r="A813" t="s">
        <v>21</v>
      </c>
      <c r="B813" t="s">
        <v>138</v>
      </c>
      <c r="C813" t="s">
        <v>403</v>
      </c>
      <c r="D813">
        <v>88840</v>
      </c>
      <c r="E813">
        <v>5</v>
      </c>
      <c r="F813">
        <f t="shared" si="36"/>
        <v>2024</v>
      </c>
      <c r="G813">
        <f t="shared" si="37"/>
        <v>6</v>
      </c>
      <c r="H813" t="str">
        <f t="shared" si="38"/>
        <v>2024-6</v>
      </c>
    </row>
    <row r="814" spans="1:8" x14ac:dyDescent="0.25">
      <c r="A814" t="s">
        <v>19</v>
      </c>
      <c r="B814" t="s">
        <v>193</v>
      </c>
      <c r="C814" t="s">
        <v>404</v>
      </c>
      <c r="D814">
        <v>91085</v>
      </c>
      <c r="E814">
        <v>8</v>
      </c>
      <c r="F814">
        <f t="shared" si="36"/>
        <v>2024</v>
      </c>
      <c r="G814">
        <f t="shared" si="37"/>
        <v>7</v>
      </c>
      <c r="H814" t="str">
        <f t="shared" si="38"/>
        <v>2024-7</v>
      </c>
    </row>
    <row r="815" spans="1:8" x14ac:dyDescent="0.25">
      <c r="A815" t="s">
        <v>16</v>
      </c>
      <c r="B815" t="s">
        <v>193</v>
      </c>
      <c r="C815" t="s">
        <v>404</v>
      </c>
      <c r="D815">
        <v>36317</v>
      </c>
      <c r="E815">
        <v>8</v>
      </c>
      <c r="F815">
        <f t="shared" si="36"/>
        <v>2024</v>
      </c>
      <c r="G815">
        <f t="shared" si="37"/>
        <v>7</v>
      </c>
      <c r="H815" t="str">
        <f t="shared" si="38"/>
        <v>2024-7</v>
      </c>
    </row>
    <row r="816" spans="1:8" x14ac:dyDescent="0.25">
      <c r="A816" t="s">
        <v>11</v>
      </c>
      <c r="B816" t="s">
        <v>211</v>
      </c>
      <c r="C816" t="s">
        <v>404</v>
      </c>
      <c r="D816">
        <v>18444</v>
      </c>
      <c r="E816">
        <v>6</v>
      </c>
      <c r="F816">
        <f t="shared" si="36"/>
        <v>2024</v>
      </c>
      <c r="G816">
        <f t="shared" si="37"/>
        <v>7</v>
      </c>
      <c r="H816" t="str">
        <f t="shared" si="38"/>
        <v>2024-7</v>
      </c>
    </row>
    <row r="817" spans="1:8" x14ac:dyDescent="0.25">
      <c r="A817" t="s">
        <v>43</v>
      </c>
      <c r="B817" t="s">
        <v>30</v>
      </c>
      <c r="C817" t="s">
        <v>404</v>
      </c>
      <c r="D817">
        <v>58135</v>
      </c>
      <c r="E817">
        <v>8</v>
      </c>
      <c r="F817">
        <f t="shared" si="36"/>
        <v>2024</v>
      </c>
      <c r="G817">
        <f t="shared" si="37"/>
        <v>7</v>
      </c>
      <c r="H817" t="str">
        <f t="shared" si="38"/>
        <v>2024-7</v>
      </c>
    </row>
    <row r="818" spans="1:8" x14ac:dyDescent="0.25">
      <c r="A818" t="s">
        <v>13</v>
      </c>
      <c r="B818" t="s">
        <v>405</v>
      </c>
      <c r="C818" t="s">
        <v>404</v>
      </c>
      <c r="D818">
        <v>94842</v>
      </c>
      <c r="E818">
        <v>8</v>
      </c>
      <c r="F818">
        <f t="shared" si="36"/>
        <v>2024</v>
      </c>
      <c r="G818">
        <f t="shared" si="37"/>
        <v>7</v>
      </c>
      <c r="H818" t="str">
        <f t="shared" si="38"/>
        <v>2024-7</v>
      </c>
    </row>
    <row r="819" spans="1:8" x14ac:dyDescent="0.25">
      <c r="A819" t="s">
        <v>11</v>
      </c>
      <c r="B819" t="s">
        <v>176</v>
      </c>
      <c r="C819" t="s">
        <v>404</v>
      </c>
      <c r="D819">
        <v>50646</v>
      </c>
      <c r="E819">
        <v>5</v>
      </c>
      <c r="F819">
        <f t="shared" si="36"/>
        <v>2024</v>
      </c>
      <c r="G819">
        <f t="shared" si="37"/>
        <v>7</v>
      </c>
      <c r="H819" t="str">
        <f t="shared" si="38"/>
        <v>2024-7</v>
      </c>
    </row>
    <row r="820" spans="1:8" x14ac:dyDescent="0.25">
      <c r="A820" t="s">
        <v>16</v>
      </c>
      <c r="B820" t="s">
        <v>257</v>
      </c>
      <c r="C820" t="s">
        <v>404</v>
      </c>
      <c r="D820">
        <v>81603</v>
      </c>
      <c r="E820">
        <v>7</v>
      </c>
      <c r="F820">
        <f t="shared" si="36"/>
        <v>2024</v>
      </c>
      <c r="G820">
        <f t="shared" si="37"/>
        <v>7</v>
      </c>
      <c r="H820" t="str">
        <f t="shared" si="38"/>
        <v>2024-7</v>
      </c>
    </row>
    <row r="821" spans="1:8" x14ac:dyDescent="0.25">
      <c r="A821" t="s">
        <v>43</v>
      </c>
      <c r="B821" t="s">
        <v>121</v>
      </c>
      <c r="C821" t="s">
        <v>404</v>
      </c>
      <c r="D821">
        <v>46072</v>
      </c>
      <c r="E821">
        <v>4</v>
      </c>
      <c r="F821">
        <f t="shared" si="36"/>
        <v>2024</v>
      </c>
      <c r="G821">
        <f t="shared" si="37"/>
        <v>7</v>
      </c>
      <c r="H821" t="str">
        <f t="shared" si="38"/>
        <v>2024-7</v>
      </c>
    </row>
    <row r="822" spans="1:8" x14ac:dyDescent="0.25">
      <c r="A822" t="s">
        <v>13</v>
      </c>
      <c r="B822" t="s">
        <v>100</v>
      </c>
      <c r="C822" t="s">
        <v>404</v>
      </c>
      <c r="D822">
        <v>64158</v>
      </c>
      <c r="E822">
        <v>8</v>
      </c>
      <c r="F822">
        <f t="shared" si="36"/>
        <v>2024</v>
      </c>
      <c r="G822">
        <f t="shared" si="37"/>
        <v>7</v>
      </c>
      <c r="H822" t="str">
        <f t="shared" si="38"/>
        <v>2024-7</v>
      </c>
    </row>
    <row r="823" spans="1:8" x14ac:dyDescent="0.25">
      <c r="A823" t="s">
        <v>5</v>
      </c>
      <c r="B823" t="s">
        <v>121</v>
      </c>
      <c r="C823" t="s">
        <v>404</v>
      </c>
      <c r="D823">
        <v>59314</v>
      </c>
      <c r="E823">
        <v>5</v>
      </c>
      <c r="F823">
        <f t="shared" si="36"/>
        <v>2024</v>
      </c>
      <c r="G823">
        <f t="shared" si="37"/>
        <v>7</v>
      </c>
      <c r="H823" t="str">
        <f t="shared" si="38"/>
        <v>2024-7</v>
      </c>
    </row>
    <row r="824" spans="1:8" x14ac:dyDescent="0.25">
      <c r="A824" t="s">
        <v>13</v>
      </c>
      <c r="B824" t="s">
        <v>311</v>
      </c>
      <c r="C824" t="s">
        <v>404</v>
      </c>
      <c r="D824">
        <v>99514</v>
      </c>
      <c r="E824">
        <v>9</v>
      </c>
      <c r="F824">
        <f t="shared" si="36"/>
        <v>2024</v>
      </c>
      <c r="G824">
        <f t="shared" si="37"/>
        <v>7</v>
      </c>
      <c r="H824" t="str">
        <f t="shared" si="38"/>
        <v>2024-7</v>
      </c>
    </row>
    <row r="825" spans="1:8" x14ac:dyDescent="0.25">
      <c r="A825" t="s">
        <v>11</v>
      </c>
      <c r="B825" t="s">
        <v>165</v>
      </c>
      <c r="C825" t="s">
        <v>404</v>
      </c>
      <c r="D825">
        <v>94890</v>
      </c>
      <c r="E825">
        <v>7</v>
      </c>
      <c r="F825">
        <f t="shared" si="36"/>
        <v>2024</v>
      </c>
      <c r="G825">
        <f t="shared" si="37"/>
        <v>7</v>
      </c>
      <c r="H825" t="str">
        <f t="shared" si="38"/>
        <v>2024-7</v>
      </c>
    </row>
    <row r="826" spans="1:8" x14ac:dyDescent="0.25">
      <c r="A826" t="s">
        <v>11</v>
      </c>
      <c r="B826" t="s">
        <v>98</v>
      </c>
      <c r="C826" t="s">
        <v>404</v>
      </c>
      <c r="D826">
        <v>62692</v>
      </c>
      <c r="E826">
        <v>10</v>
      </c>
      <c r="F826">
        <f t="shared" si="36"/>
        <v>2024</v>
      </c>
      <c r="G826">
        <f t="shared" si="37"/>
        <v>7</v>
      </c>
      <c r="H826" t="str">
        <f t="shared" si="38"/>
        <v>2024-7</v>
      </c>
    </row>
    <row r="827" spans="1:8" x14ac:dyDescent="0.25">
      <c r="A827" t="s">
        <v>55</v>
      </c>
      <c r="B827" t="s">
        <v>105</v>
      </c>
      <c r="C827" t="s">
        <v>406</v>
      </c>
      <c r="D827">
        <v>98943</v>
      </c>
      <c r="E827">
        <v>5</v>
      </c>
      <c r="F827">
        <f t="shared" si="36"/>
        <v>2024</v>
      </c>
      <c r="G827">
        <f t="shared" si="37"/>
        <v>7</v>
      </c>
      <c r="H827" t="str">
        <f t="shared" si="38"/>
        <v>2024-7</v>
      </c>
    </row>
    <row r="828" spans="1:8" x14ac:dyDescent="0.25">
      <c r="A828" t="s">
        <v>16</v>
      </c>
      <c r="B828" t="s">
        <v>232</v>
      </c>
      <c r="C828" t="s">
        <v>407</v>
      </c>
      <c r="D828">
        <v>56871</v>
      </c>
      <c r="E828">
        <v>9</v>
      </c>
      <c r="F828">
        <f t="shared" si="36"/>
        <v>2024</v>
      </c>
      <c r="G828">
        <f t="shared" si="37"/>
        <v>7</v>
      </c>
      <c r="H828" t="str">
        <f t="shared" si="38"/>
        <v>2024-7</v>
      </c>
    </row>
    <row r="829" spans="1:8" x14ac:dyDescent="0.25">
      <c r="A829" t="s">
        <v>16</v>
      </c>
      <c r="B829" t="s">
        <v>88</v>
      </c>
      <c r="C829" t="s">
        <v>407</v>
      </c>
      <c r="D829">
        <v>35734</v>
      </c>
      <c r="E829">
        <v>8</v>
      </c>
      <c r="F829">
        <f t="shared" si="36"/>
        <v>2024</v>
      </c>
      <c r="G829">
        <f t="shared" si="37"/>
        <v>7</v>
      </c>
      <c r="H829" t="str">
        <f t="shared" si="38"/>
        <v>2024-7</v>
      </c>
    </row>
    <row r="830" spans="1:8" x14ac:dyDescent="0.25">
      <c r="A830" t="s">
        <v>43</v>
      </c>
      <c r="B830" t="s">
        <v>118</v>
      </c>
      <c r="C830" t="s">
        <v>407</v>
      </c>
      <c r="D830">
        <v>36292</v>
      </c>
      <c r="E830">
        <v>7</v>
      </c>
      <c r="F830">
        <f t="shared" si="36"/>
        <v>2024</v>
      </c>
      <c r="G830">
        <f t="shared" si="37"/>
        <v>7</v>
      </c>
      <c r="H830" t="str">
        <f t="shared" si="38"/>
        <v>2024-7</v>
      </c>
    </row>
    <row r="831" spans="1:8" x14ac:dyDescent="0.25">
      <c r="A831" t="s">
        <v>5</v>
      </c>
      <c r="B831" t="s">
        <v>109</v>
      </c>
      <c r="C831" t="s">
        <v>407</v>
      </c>
      <c r="D831">
        <v>89192</v>
      </c>
      <c r="E831">
        <v>6</v>
      </c>
      <c r="F831">
        <f t="shared" si="36"/>
        <v>2024</v>
      </c>
      <c r="G831">
        <f t="shared" si="37"/>
        <v>7</v>
      </c>
      <c r="H831" t="str">
        <f t="shared" si="38"/>
        <v>2024-7</v>
      </c>
    </row>
    <row r="832" spans="1:8" x14ac:dyDescent="0.25">
      <c r="A832" t="s">
        <v>38</v>
      </c>
      <c r="B832" t="s">
        <v>96</v>
      </c>
      <c r="C832" t="s">
        <v>408</v>
      </c>
      <c r="D832">
        <v>47962</v>
      </c>
      <c r="E832">
        <v>4</v>
      </c>
      <c r="F832">
        <f t="shared" si="36"/>
        <v>2024</v>
      </c>
      <c r="G832">
        <f t="shared" si="37"/>
        <v>7</v>
      </c>
      <c r="H832" t="str">
        <f t="shared" si="38"/>
        <v>2024-7</v>
      </c>
    </row>
    <row r="833" spans="1:8" x14ac:dyDescent="0.25">
      <c r="A833" t="s">
        <v>13</v>
      </c>
      <c r="B833" t="s">
        <v>234</v>
      </c>
      <c r="C833" t="s">
        <v>408</v>
      </c>
      <c r="D833">
        <v>55510</v>
      </c>
      <c r="E833">
        <v>7</v>
      </c>
      <c r="F833">
        <f t="shared" si="36"/>
        <v>2024</v>
      </c>
      <c r="G833">
        <f t="shared" si="37"/>
        <v>7</v>
      </c>
      <c r="H833" t="str">
        <f t="shared" si="38"/>
        <v>2024-7</v>
      </c>
    </row>
    <row r="834" spans="1:8" x14ac:dyDescent="0.25">
      <c r="A834" t="s">
        <v>16</v>
      </c>
      <c r="B834" t="s">
        <v>111</v>
      </c>
      <c r="C834" t="s">
        <v>409</v>
      </c>
      <c r="D834">
        <v>28056</v>
      </c>
      <c r="E834">
        <v>6</v>
      </c>
      <c r="F834">
        <f t="shared" si="36"/>
        <v>2024</v>
      </c>
      <c r="G834">
        <f t="shared" si="37"/>
        <v>7</v>
      </c>
      <c r="H834" t="str">
        <f t="shared" si="38"/>
        <v>2024-7</v>
      </c>
    </row>
    <row r="835" spans="1:8" x14ac:dyDescent="0.25">
      <c r="A835" t="s">
        <v>29</v>
      </c>
      <c r="B835" t="s">
        <v>410</v>
      </c>
      <c r="C835" t="s">
        <v>409</v>
      </c>
      <c r="D835">
        <v>17664</v>
      </c>
      <c r="E835">
        <v>4</v>
      </c>
      <c r="F835">
        <f t="shared" ref="F835:F898" si="39">YEAR(C835)</f>
        <v>2024</v>
      </c>
      <c r="G835">
        <f t="shared" ref="G835:G898" si="40">MONTH(C835)</f>
        <v>7</v>
      </c>
      <c r="H835" t="str">
        <f t="shared" ref="H835:H898" si="41">F835&amp;"-"&amp;G835</f>
        <v>2024-7</v>
      </c>
    </row>
    <row r="836" spans="1:8" x14ac:dyDescent="0.25">
      <c r="A836" t="s">
        <v>38</v>
      </c>
      <c r="B836" t="s">
        <v>253</v>
      </c>
      <c r="C836" t="s">
        <v>409</v>
      </c>
      <c r="D836">
        <v>40478</v>
      </c>
      <c r="E836">
        <v>3</v>
      </c>
      <c r="F836">
        <f t="shared" si="39"/>
        <v>2024</v>
      </c>
      <c r="G836">
        <f t="shared" si="40"/>
        <v>7</v>
      </c>
      <c r="H836" t="str">
        <f t="shared" si="41"/>
        <v>2024-7</v>
      </c>
    </row>
    <row r="837" spans="1:8" x14ac:dyDescent="0.25">
      <c r="A837" t="s">
        <v>43</v>
      </c>
      <c r="B837" t="s">
        <v>411</v>
      </c>
      <c r="C837" t="s">
        <v>409</v>
      </c>
      <c r="D837">
        <v>20957</v>
      </c>
      <c r="E837">
        <v>9</v>
      </c>
      <c r="F837">
        <f t="shared" si="39"/>
        <v>2024</v>
      </c>
      <c r="G837">
        <f t="shared" si="40"/>
        <v>7</v>
      </c>
      <c r="H837" t="str">
        <f t="shared" si="41"/>
        <v>2024-7</v>
      </c>
    </row>
    <row r="838" spans="1:8" x14ac:dyDescent="0.25">
      <c r="A838" t="s">
        <v>21</v>
      </c>
      <c r="B838" t="s">
        <v>126</v>
      </c>
      <c r="C838" t="s">
        <v>409</v>
      </c>
      <c r="D838">
        <v>68070</v>
      </c>
      <c r="E838">
        <v>8</v>
      </c>
      <c r="F838">
        <f t="shared" si="39"/>
        <v>2024</v>
      </c>
      <c r="G838">
        <f t="shared" si="40"/>
        <v>7</v>
      </c>
      <c r="H838" t="str">
        <f t="shared" si="41"/>
        <v>2024-7</v>
      </c>
    </row>
    <row r="839" spans="1:8" x14ac:dyDescent="0.25">
      <c r="A839" t="s">
        <v>29</v>
      </c>
      <c r="B839" t="s">
        <v>202</v>
      </c>
      <c r="C839" t="s">
        <v>409</v>
      </c>
      <c r="D839">
        <v>76545</v>
      </c>
      <c r="E839">
        <v>2</v>
      </c>
      <c r="F839">
        <f t="shared" si="39"/>
        <v>2024</v>
      </c>
      <c r="G839">
        <f t="shared" si="40"/>
        <v>7</v>
      </c>
      <c r="H839" t="str">
        <f t="shared" si="41"/>
        <v>2024-7</v>
      </c>
    </row>
    <row r="840" spans="1:8" x14ac:dyDescent="0.25">
      <c r="A840" t="s">
        <v>13</v>
      </c>
      <c r="B840" t="s">
        <v>116</v>
      </c>
      <c r="C840" t="s">
        <v>409</v>
      </c>
      <c r="D840">
        <v>97242</v>
      </c>
      <c r="E840">
        <v>10</v>
      </c>
      <c r="F840">
        <f t="shared" si="39"/>
        <v>2024</v>
      </c>
      <c r="G840">
        <f t="shared" si="40"/>
        <v>7</v>
      </c>
      <c r="H840" t="str">
        <f t="shared" si="41"/>
        <v>2024-7</v>
      </c>
    </row>
    <row r="841" spans="1:8" x14ac:dyDescent="0.25">
      <c r="A841" t="s">
        <v>29</v>
      </c>
      <c r="B841" t="s">
        <v>44</v>
      </c>
      <c r="C841" t="s">
        <v>409</v>
      </c>
      <c r="D841">
        <v>34310</v>
      </c>
      <c r="E841">
        <v>7</v>
      </c>
      <c r="F841">
        <f t="shared" si="39"/>
        <v>2024</v>
      </c>
      <c r="G841">
        <f t="shared" si="40"/>
        <v>7</v>
      </c>
      <c r="H841" t="str">
        <f t="shared" si="41"/>
        <v>2024-7</v>
      </c>
    </row>
    <row r="842" spans="1:8" x14ac:dyDescent="0.25">
      <c r="A842" t="s">
        <v>21</v>
      </c>
      <c r="B842" t="s">
        <v>209</v>
      </c>
      <c r="C842" t="s">
        <v>409</v>
      </c>
      <c r="D842">
        <v>59898</v>
      </c>
      <c r="E842">
        <v>8</v>
      </c>
      <c r="F842">
        <f t="shared" si="39"/>
        <v>2024</v>
      </c>
      <c r="G842">
        <f t="shared" si="40"/>
        <v>7</v>
      </c>
      <c r="H842" t="str">
        <f t="shared" si="41"/>
        <v>2024-7</v>
      </c>
    </row>
    <row r="843" spans="1:8" x14ac:dyDescent="0.25">
      <c r="A843" t="s">
        <v>29</v>
      </c>
      <c r="B843" t="s">
        <v>119</v>
      </c>
      <c r="C843" t="s">
        <v>412</v>
      </c>
      <c r="D843">
        <v>66661</v>
      </c>
      <c r="E843">
        <v>10</v>
      </c>
      <c r="F843">
        <f t="shared" si="39"/>
        <v>2024</v>
      </c>
      <c r="G843">
        <f t="shared" si="40"/>
        <v>7</v>
      </c>
      <c r="H843" t="str">
        <f t="shared" si="41"/>
        <v>2024-7</v>
      </c>
    </row>
    <row r="844" spans="1:8" x14ac:dyDescent="0.25">
      <c r="A844" t="s">
        <v>5</v>
      </c>
      <c r="B844" t="s">
        <v>221</v>
      </c>
      <c r="C844" t="s">
        <v>412</v>
      </c>
      <c r="D844">
        <v>60518</v>
      </c>
      <c r="E844">
        <v>8</v>
      </c>
      <c r="F844">
        <f t="shared" si="39"/>
        <v>2024</v>
      </c>
      <c r="G844">
        <f t="shared" si="40"/>
        <v>7</v>
      </c>
      <c r="H844" t="str">
        <f t="shared" si="41"/>
        <v>2024-7</v>
      </c>
    </row>
    <row r="845" spans="1:8" x14ac:dyDescent="0.25">
      <c r="A845" t="s">
        <v>38</v>
      </c>
      <c r="B845" t="s">
        <v>54</v>
      </c>
      <c r="C845" t="s">
        <v>412</v>
      </c>
      <c r="D845">
        <v>89390</v>
      </c>
      <c r="E845">
        <v>3</v>
      </c>
      <c r="F845">
        <f t="shared" si="39"/>
        <v>2024</v>
      </c>
      <c r="G845">
        <f t="shared" si="40"/>
        <v>7</v>
      </c>
      <c r="H845" t="str">
        <f t="shared" si="41"/>
        <v>2024-7</v>
      </c>
    </row>
    <row r="846" spans="1:8" x14ac:dyDescent="0.25">
      <c r="A846" t="s">
        <v>16</v>
      </c>
      <c r="B846" t="s">
        <v>118</v>
      </c>
      <c r="C846" t="s">
        <v>412</v>
      </c>
      <c r="D846">
        <v>36754</v>
      </c>
      <c r="E846">
        <v>7</v>
      </c>
      <c r="F846">
        <f t="shared" si="39"/>
        <v>2024</v>
      </c>
      <c r="G846">
        <f t="shared" si="40"/>
        <v>7</v>
      </c>
      <c r="H846" t="str">
        <f t="shared" si="41"/>
        <v>2024-7</v>
      </c>
    </row>
    <row r="847" spans="1:8" x14ac:dyDescent="0.25">
      <c r="A847" t="s">
        <v>16</v>
      </c>
      <c r="B847" t="s">
        <v>84</v>
      </c>
      <c r="C847" t="s">
        <v>412</v>
      </c>
      <c r="D847">
        <v>95281</v>
      </c>
      <c r="E847">
        <v>8</v>
      </c>
      <c r="F847">
        <f t="shared" si="39"/>
        <v>2024</v>
      </c>
      <c r="G847">
        <f t="shared" si="40"/>
        <v>7</v>
      </c>
      <c r="H847" t="str">
        <f t="shared" si="41"/>
        <v>2024-7</v>
      </c>
    </row>
    <row r="848" spans="1:8" x14ac:dyDescent="0.25">
      <c r="A848" t="s">
        <v>21</v>
      </c>
      <c r="B848" t="s">
        <v>24</v>
      </c>
      <c r="C848" t="s">
        <v>412</v>
      </c>
      <c r="D848">
        <v>69201</v>
      </c>
      <c r="E848">
        <v>4</v>
      </c>
      <c r="F848">
        <f t="shared" si="39"/>
        <v>2024</v>
      </c>
      <c r="G848">
        <f t="shared" si="40"/>
        <v>7</v>
      </c>
      <c r="H848" t="str">
        <f t="shared" si="41"/>
        <v>2024-7</v>
      </c>
    </row>
    <row r="849" spans="1:8" x14ac:dyDescent="0.25">
      <c r="A849" t="s">
        <v>19</v>
      </c>
      <c r="B849" t="s">
        <v>148</v>
      </c>
      <c r="C849" t="s">
        <v>412</v>
      </c>
      <c r="D849">
        <v>50033</v>
      </c>
      <c r="E849">
        <v>2</v>
      </c>
      <c r="F849">
        <f t="shared" si="39"/>
        <v>2024</v>
      </c>
      <c r="G849">
        <f t="shared" si="40"/>
        <v>7</v>
      </c>
      <c r="H849" t="str">
        <f t="shared" si="41"/>
        <v>2024-7</v>
      </c>
    </row>
    <row r="850" spans="1:8" x14ac:dyDescent="0.25">
      <c r="A850" t="s">
        <v>19</v>
      </c>
      <c r="B850" t="s">
        <v>234</v>
      </c>
      <c r="C850" t="s">
        <v>412</v>
      </c>
      <c r="D850">
        <v>17280</v>
      </c>
      <c r="E850">
        <v>7</v>
      </c>
      <c r="F850">
        <f t="shared" si="39"/>
        <v>2024</v>
      </c>
      <c r="G850">
        <f t="shared" si="40"/>
        <v>7</v>
      </c>
      <c r="H850" t="str">
        <f t="shared" si="41"/>
        <v>2024-7</v>
      </c>
    </row>
    <row r="851" spans="1:8" x14ac:dyDescent="0.25">
      <c r="A851" t="s">
        <v>13</v>
      </c>
      <c r="B851" t="s">
        <v>144</v>
      </c>
      <c r="C851" t="s">
        <v>413</v>
      </c>
      <c r="D851">
        <v>31493</v>
      </c>
      <c r="E851">
        <v>7</v>
      </c>
      <c r="F851">
        <f t="shared" si="39"/>
        <v>2024</v>
      </c>
      <c r="G851">
        <f t="shared" si="40"/>
        <v>7</v>
      </c>
      <c r="H851" t="str">
        <f t="shared" si="41"/>
        <v>2024-7</v>
      </c>
    </row>
    <row r="852" spans="1:8" x14ac:dyDescent="0.25">
      <c r="A852" t="s">
        <v>19</v>
      </c>
      <c r="B852" t="s">
        <v>169</v>
      </c>
      <c r="C852" t="s">
        <v>413</v>
      </c>
      <c r="D852">
        <v>66043</v>
      </c>
      <c r="E852">
        <v>8</v>
      </c>
      <c r="F852">
        <f t="shared" si="39"/>
        <v>2024</v>
      </c>
      <c r="G852">
        <f t="shared" si="40"/>
        <v>7</v>
      </c>
      <c r="H852" t="str">
        <f t="shared" si="41"/>
        <v>2024-7</v>
      </c>
    </row>
    <row r="853" spans="1:8" x14ac:dyDescent="0.25">
      <c r="A853" t="s">
        <v>55</v>
      </c>
      <c r="B853" t="s">
        <v>46</v>
      </c>
      <c r="C853" t="s">
        <v>414</v>
      </c>
      <c r="D853">
        <v>68511</v>
      </c>
      <c r="E853">
        <v>8</v>
      </c>
      <c r="F853">
        <f t="shared" si="39"/>
        <v>2024</v>
      </c>
      <c r="G853">
        <f t="shared" si="40"/>
        <v>7</v>
      </c>
      <c r="H853" t="str">
        <f t="shared" si="41"/>
        <v>2024-7</v>
      </c>
    </row>
    <row r="854" spans="1:8" x14ac:dyDescent="0.25">
      <c r="A854" t="s">
        <v>19</v>
      </c>
      <c r="B854" t="s">
        <v>73</v>
      </c>
      <c r="C854" t="s">
        <v>415</v>
      </c>
      <c r="D854">
        <v>48879</v>
      </c>
      <c r="E854">
        <v>9</v>
      </c>
      <c r="F854">
        <f t="shared" si="39"/>
        <v>2024</v>
      </c>
      <c r="G854">
        <f t="shared" si="40"/>
        <v>7</v>
      </c>
      <c r="H854" t="str">
        <f t="shared" si="41"/>
        <v>2024-7</v>
      </c>
    </row>
    <row r="855" spans="1:8" x14ac:dyDescent="0.25">
      <c r="A855" t="s">
        <v>26</v>
      </c>
      <c r="B855" t="s">
        <v>42</v>
      </c>
      <c r="C855" t="s">
        <v>415</v>
      </c>
      <c r="D855">
        <v>81370</v>
      </c>
      <c r="E855">
        <v>9</v>
      </c>
      <c r="F855">
        <f t="shared" si="39"/>
        <v>2024</v>
      </c>
      <c r="G855">
        <f t="shared" si="40"/>
        <v>7</v>
      </c>
      <c r="H855" t="str">
        <f t="shared" si="41"/>
        <v>2024-7</v>
      </c>
    </row>
    <row r="856" spans="1:8" x14ac:dyDescent="0.25">
      <c r="A856" t="s">
        <v>55</v>
      </c>
      <c r="B856" t="s">
        <v>328</v>
      </c>
      <c r="C856" t="s">
        <v>415</v>
      </c>
      <c r="D856">
        <v>38697</v>
      </c>
      <c r="E856">
        <v>1</v>
      </c>
      <c r="F856">
        <f t="shared" si="39"/>
        <v>2024</v>
      </c>
      <c r="G856">
        <f t="shared" si="40"/>
        <v>7</v>
      </c>
      <c r="H856" t="str">
        <f t="shared" si="41"/>
        <v>2024-7</v>
      </c>
    </row>
    <row r="857" spans="1:8" x14ac:dyDescent="0.25">
      <c r="A857" t="s">
        <v>38</v>
      </c>
      <c r="B857" t="s">
        <v>87</v>
      </c>
      <c r="C857" t="s">
        <v>416</v>
      </c>
      <c r="D857">
        <v>79184</v>
      </c>
      <c r="E857">
        <v>4</v>
      </c>
      <c r="F857">
        <f t="shared" si="39"/>
        <v>2024</v>
      </c>
      <c r="G857">
        <f t="shared" si="40"/>
        <v>7</v>
      </c>
      <c r="H857" t="str">
        <f t="shared" si="41"/>
        <v>2024-7</v>
      </c>
    </row>
    <row r="858" spans="1:8" x14ac:dyDescent="0.25">
      <c r="A858" t="s">
        <v>5</v>
      </c>
      <c r="B858" t="s">
        <v>158</v>
      </c>
      <c r="C858" t="s">
        <v>416</v>
      </c>
      <c r="D858">
        <v>67335</v>
      </c>
      <c r="E858">
        <v>7</v>
      </c>
      <c r="F858">
        <f t="shared" si="39"/>
        <v>2024</v>
      </c>
      <c r="G858">
        <f t="shared" si="40"/>
        <v>7</v>
      </c>
      <c r="H858" t="str">
        <f t="shared" si="41"/>
        <v>2024-7</v>
      </c>
    </row>
    <row r="859" spans="1:8" x14ac:dyDescent="0.25">
      <c r="A859" t="s">
        <v>19</v>
      </c>
      <c r="B859" t="s">
        <v>53</v>
      </c>
      <c r="C859" t="s">
        <v>416</v>
      </c>
      <c r="D859">
        <v>19867</v>
      </c>
      <c r="E859">
        <v>2</v>
      </c>
      <c r="F859">
        <f t="shared" si="39"/>
        <v>2024</v>
      </c>
      <c r="G859">
        <f t="shared" si="40"/>
        <v>7</v>
      </c>
      <c r="H859" t="str">
        <f t="shared" si="41"/>
        <v>2024-7</v>
      </c>
    </row>
    <row r="860" spans="1:8" x14ac:dyDescent="0.25">
      <c r="A860" t="s">
        <v>8</v>
      </c>
      <c r="B860" t="s">
        <v>278</v>
      </c>
      <c r="C860" t="s">
        <v>416</v>
      </c>
      <c r="D860">
        <v>24832</v>
      </c>
      <c r="E860">
        <v>7</v>
      </c>
      <c r="F860">
        <f t="shared" si="39"/>
        <v>2024</v>
      </c>
      <c r="G860">
        <f t="shared" si="40"/>
        <v>7</v>
      </c>
      <c r="H860" t="str">
        <f t="shared" si="41"/>
        <v>2024-7</v>
      </c>
    </row>
    <row r="861" spans="1:8" x14ac:dyDescent="0.25">
      <c r="A861" t="s">
        <v>29</v>
      </c>
      <c r="B861" t="s">
        <v>102</v>
      </c>
      <c r="C861" t="s">
        <v>417</v>
      </c>
      <c r="D861">
        <v>29122</v>
      </c>
      <c r="E861">
        <v>1</v>
      </c>
      <c r="F861">
        <f t="shared" si="39"/>
        <v>2024</v>
      </c>
      <c r="G861">
        <f t="shared" si="40"/>
        <v>7</v>
      </c>
      <c r="H861" t="str">
        <f t="shared" si="41"/>
        <v>2024-7</v>
      </c>
    </row>
    <row r="862" spans="1:8" x14ac:dyDescent="0.25">
      <c r="A862" t="s">
        <v>26</v>
      </c>
      <c r="B862" t="s">
        <v>311</v>
      </c>
      <c r="C862" t="s">
        <v>417</v>
      </c>
      <c r="D862">
        <v>38528</v>
      </c>
      <c r="E862">
        <v>10</v>
      </c>
      <c r="F862">
        <f t="shared" si="39"/>
        <v>2024</v>
      </c>
      <c r="G862">
        <f t="shared" si="40"/>
        <v>7</v>
      </c>
      <c r="H862" t="str">
        <f t="shared" si="41"/>
        <v>2024-7</v>
      </c>
    </row>
    <row r="863" spans="1:8" x14ac:dyDescent="0.25">
      <c r="A863" t="s">
        <v>8</v>
      </c>
      <c r="B863" t="s">
        <v>36</v>
      </c>
      <c r="C863" t="s">
        <v>417</v>
      </c>
      <c r="D863">
        <v>69995</v>
      </c>
      <c r="E863">
        <v>6</v>
      </c>
      <c r="F863">
        <f t="shared" si="39"/>
        <v>2024</v>
      </c>
      <c r="G863">
        <f t="shared" si="40"/>
        <v>7</v>
      </c>
      <c r="H863" t="str">
        <f t="shared" si="41"/>
        <v>2024-7</v>
      </c>
    </row>
    <row r="864" spans="1:8" x14ac:dyDescent="0.25">
      <c r="A864" t="s">
        <v>11</v>
      </c>
      <c r="B864" t="s">
        <v>52</v>
      </c>
      <c r="C864" t="s">
        <v>417</v>
      </c>
      <c r="D864">
        <v>55958</v>
      </c>
      <c r="E864">
        <v>1</v>
      </c>
      <c r="F864">
        <f t="shared" si="39"/>
        <v>2024</v>
      </c>
      <c r="G864">
        <f t="shared" si="40"/>
        <v>7</v>
      </c>
      <c r="H864" t="str">
        <f t="shared" si="41"/>
        <v>2024-7</v>
      </c>
    </row>
    <row r="865" spans="1:8" x14ac:dyDescent="0.25">
      <c r="A865" t="s">
        <v>16</v>
      </c>
      <c r="B865" t="s">
        <v>82</v>
      </c>
      <c r="C865" t="s">
        <v>417</v>
      </c>
      <c r="D865">
        <v>14224</v>
      </c>
      <c r="E865">
        <v>3</v>
      </c>
      <c r="F865">
        <f t="shared" si="39"/>
        <v>2024</v>
      </c>
      <c r="G865">
        <f t="shared" si="40"/>
        <v>7</v>
      </c>
      <c r="H865" t="str">
        <f t="shared" si="41"/>
        <v>2024-7</v>
      </c>
    </row>
    <row r="866" spans="1:8" x14ac:dyDescent="0.25">
      <c r="A866" t="s">
        <v>55</v>
      </c>
      <c r="B866" t="s">
        <v>116</v>
      </c>
      <c r="C866" t="s">
        <v>417</v>
      </c>
      <c r="D866">
        <v>34598</v>
      </c>
      <c r="E866">
        <v>6</v>
      </c>
      <c r="F866">
        <f t="shared" si="39"/>
        <v>2024</v>
      </c>
      <c r="G866">
        <f t="shared" si="40"/>
        <v>7</v>
      </c>
      <c r="H866" t="str">
        <f t="shared" si="41"/>
        <v>2024-7</v>
      </c>
    </row>
    <row r="867" spans="1:8" x14ac:dyDescent="0.25">
      <c r="A867" t="s">
        <v>16</v>
      </c>
      <c r="B867" t="s">
        <v>42</v>
      </c>
      <c r="C867" t="s">
        <v>417</v>
      </c>
      <c r="D867">
        <v>61430</v>
      </c>
      <c r="E867">
        <v>5</v>
      </c>
      <c r="F867">
        <f t="shared" si="39"/>
        <v>2024</v>
      </c>
      <c r="G867">
        <f t="shared" si="40"/>
        <v>7</v>
      </c>
      <c r="H867" t="str">
        <f t="shared" si="41"/>
        <v>2024-7</v>
      </c>
    </row>
    <row r="868" spans="1:8" x14ac:dyDescent="0.25">
      <c r="A868" t="s">
        <v>5</v>
      </c>
      <c r="B868" t="s">
        <v>264</v>
      </c>
      <c r="C868" t="s">
        <v>418</v>
      </c>
      <c r="D868">
        <v>85581</v>
      </c>
      <c r="E868">
        <v>2</v>
      </c>
      <c r="F868">
        <f t="shared" si="39"/>
        <v>2024</v>
      </c>
      <c r="G868">
        <f t="shared" si="40"/>
        <v>7</v>
      </c>
      <c r="H868" t="str">
        <f t="shared" si="41"/>
        <v>2024-7</v>
      </c>
    </row>
    <row r="869" spans="1:8" x14ac:dyDescent="0.25">
      <c r="A869" t="s">
        <v>8</v>
      </c>
      <c r="B869" t="s">
        <v>126</v>
      </c>
      <c r="C869" t="s">
        <v>418</v>
      </c>
      <c r="D869">
        <v>55439</v>
      </c>
      <c r="E869">
        <v>8</v>
      </c>
      <c r="F869">
        <f t="shared" si="39"/>
        <v>2024</v>
      </c>
      <c r="G869">
        <f t="shared" si="40"/>
        <v>7</v>
      </c>
      <c r="H869" t="str">
        <f t="shared" si="41"/>
        <v>2024-7</v>
      </c>
    </row>
    <row r="870" spans="1:8" x14ac:dyDescent="0.25">
      <c r="A870" t="s">
        <v>5</v>
      </c>
      <c r="B870" t="s">
        <v>264</v>
      </c>
      <c r="C870" t="s">
        <v>418</v>
      </c>
      <c r="D870">
        <v>44710</v>
      </c>
      <c r="E870">
        <v>7</v>
      </c>
      <c r="F870">
        <f t="shared" si="39"/>
        <v>2024</v>
      </c>
      <c r="G870">
        <f t="shared" si="40"/>
        <v>7</v>
      </c>
      <c r="H870" t="str">
        <f t="shared" si="41"/>
        <v>2024-7</v>
      </c>
    </row>
    <row r="871" spans="1:8" x14ac:dyDescent="0.25">
      <c r="A871" t="s">
        <v>5</v>
      </c>
      <c r="B871" t="s">
        <v>342</v>
      </c>
      <c r="C871" t="s">
        <v>418</v>
      </c>
      <c r="D871">
        <v>53808</v>
      </c>
      <c r="E871">
        <v>4</v>
      </c>
      <c r="F871">
        <f t="shared" si="39"/>
        <v>2024</v>
      </c>
      <c r="G871">
        <f t="shared" si="40"/>
        <v>7</v>
      </c>
      <c r="H871" t="str">
        <f t="shared" si="41"/>
        <v>2024-7</v>
      </c>
    </row>
    <row r="872" spans="1:8" x14ac:dyDescent="0.25">
      <c r="A872" t="s">
        <v>21</v>
      </c>
      <c r="B872" t="s">
        <v>419</v>
      </c>
      <c r="C872" t="s">
        <v>420</v>
      </c>
      <c r="D872">
        <v>49077</v>
      </c>
      <c r="E872">
        <v>7</v>
      </c>
      <c r="F872">
        <f t="shared" si="39"/>
        <v>2024</v>
      </c>
      <c r="G872">
        <f t="shared" si="40"/>
        <v>7</v>
      </c>
      <c r="H872" t="str">
        <f t="shared" si="41"/>
        <v>2024-7</v>
      </c>
    </row>
    <row r="873" spans="1:8" x14ac:dyDescent="0.25">
      <c r="A873" t="s">
        <v>26</v>
      </c>
      <c r="B873" t="s">
        <v>60</v>
      </c>
      <c r="C873" t="s">
        <v>421</v>
      </c>
      <c r="D873">
        <v>73386</v>
      </c>
      <c r="E873">
        <v>8</v>
      </c>
      <c r="F873">
        <f t="shared" si="39"/>
        <v>2024</v>
      </c>
      <c r="G873">
        <f t="shared" si="40"/>
        <v>7</v>
      </c>
      <c r="H873" t="str">
        <f t="shared" si="41"/>
        <v>2024-7</v>
      </c>
    </row>
    <row r="874" spans="1:8" x14ac:dyDescent="0.25">
      <c r="A874" t="s">
        <v>26</v>
      </c>
      <c r="B874" t="s">
        <v>250</v>
      </c>
      <c r="C874" t="s">
        <v>421</v>
      </c>
      <c r="D874">
        <v>81371</v>
      </c>
      <c r="E874">
        <v>1</v>
      </c>
      <c r="F874">
        <f t="shared" si="39"/>
        <v>2024</v>
      </c>
      <c r="G874">
        <f t="shared" si="40"/>
        <v>7</v>
      </c>
      <c r="H874" t="str">
        <f t="shared" si="41"/>
        <v>2024-7</v>
      </c>
    </row>
    <row r="875" spans="1:8" x14ac:dyDescent="0.25">
      <c r="A875" t="s">
        <v>38</v>
      </c>
      <c r="B875" t="s">
        <v>283</v>
      </c>
      <c r="C875" t="s">
        <v>421</v>
      </c>
      <c r="D875">
        <v>55282</v>
      </c>
      <c r="E875">
        <v>3</v>
      </c>
      <c r="F875">
        <f t="shared" si="39"/>
        <v>2024</v>
      </c>
      <c r="G875">
        <f t="shared" si="40"/>
        <v>7</v>
      </c>
      <c r="H875" t="str">
        <f t="shared" si="41"/>
        <v>2024-7</v>
      </c>
    </row>
    <row r="876" spans="1:8" x14ac:dyDescent="0.25">
      <c r="A876" t="s">
        <v>11</v>
      </c>
      <c r="B876" t="s">
        <v>354</v>
      </c>
      <c r="C876" t="s">
        <v>421</v>
      </c>
      <c r="D876">
        <v>44045</v>
      </c>
      <c r="E876">
        <v>2</v>
      </c>
      <c r="F876">
        <f t="shared" si="39"/>
        <v>2024</v>
      </c>
      <c r="G876">
        <f t="shared" si="40"/>
        <v>7</v>
      </c>
      <c r="H876" t="str">
        <f t="shared" si="41"/>
        <v>2024-7</v>
      </c>
    </row>
    <row r="877" spans="1:8" x14ac:dyDescent="0.25">
      <c r="A877" t="s">
        <v>55</v>
      </c>
      <c r="B877" t="s">
        <v>258</v>
      </c>
      <c r="C877" t="s">
        <v>422</v>
      </c>
      <c r="D877">
        <v>68841</v>
      </c>
      <c r="E877">
        <v>10</v>
      </c>
      <c r="F877">
        <f t="shared" si="39"/>
        <v>2024</v>
      </c>
      <c r="G877">
        <f t="shared" si="40"/>
        <v>7</v>
      </c>
      <c r="H877" t="str">
        <f t="shared" si="41"/>
        <v>2024-7</v>
      </c>
    </row>
    <row r="878" spans="1:8" x14ac:dyDescent="0.25">
      <c r="A878" t="s">
        <v>38</v>
      </c>
      <c r="B878" t="s">
        <v>183</v>
      </c>
      <c r="C878" t="s">
        <v>422</v>
      </c>
      <c r="D878">
        <v>37132</v>
      </c>
      <c r="E878">
        <v>7</v>
      </c>
      <c r="F878">
        <f t="shared" si="39"/>
        <v>2024</v>
      </c>
      <c r="G878">
        <f t="shared" si="40"/>
        <v>7</v>
      </c>
      <c r="H878" t="str">
        <f t="shared" si="41"/>
        <v>2024-7</v>
      </c>
    </row>
    <row r="879" spans="1:8" x14ac:dyDescent="0.25">
      <c r="A879" t="s">
        <v>38</v>
      </c>
      <c r="B879" t="s">
        <v>39</v>
      </c>
      <c r="C879" t="s">
        <v>422</v>
      </c>
      <c r="D879">
        <v>54317</v>
      </c>
      <c r="E879">
        <v>6</v>
      </c>
      <c r="F879">
        <f t="shared" si="39"/>
        <v>2024</v>
      </c>
      <c r="G879">
        <f t="shared" si="40"/>
        <v>7</v>
      </c>
      <c r="H879" t="str">
        <f t="shared" si="41"/>
        <v>2024-7</v>
      </c>
    </row>
    <row r="880" spans="1:8" x14ac:dyDescent="0.25">
      <c r="A880" t="s">
        <v>13</v>
      </c>
      <c r="B880" t="s">
        <v>28</v>
      </c>
      <c r="C880" t="s">
        <v>422</v>
      </c>
      <c r="D880">
        <v>71063</v>
      </c>
      <c r="E880">
        <v>0</v>
      </c>
      <c r="F880">
        <f t="shared" si="39"/>
        <v>2024</v>
      </c>
      <c r="G880">
        <f t="shared" si="40"/>
        <v>7</v>
      </c>
      <c r="H880" t="str">
        <f t="shared" si="41"/>
        <v>2024-7</v>
      </c>
    </row>
    <row r="881" spans="1:8" x14ac:dyDescent="0.25">
      <c r="A881" t="s">
        <v>43</v>
      </c>
      <c r="B881" t="s">
        <v>193</v>
      </c>
      <c r="C881" t="s">
        <v>422</v>
      </c>
      <c r="D881">
        <v>65615</v>
      </c>
      <c r="E881">
        <v>7</v>
      </c>
      <c r="F881">
        <f t="shared" si="39"/>
        <v>2024</v>
      </c>
      <c r="G881">
        <f t="shared" si="40"/>
        <v>7</v>
      </c>
      <c r="H881" t="str">
        <f t="shared" si="41"/>
        <v>2024-7</v>
      </c>
    </row>
    <row r="882" spans="1:8" x14ac:dyDescent="0.25">
      <c r="A882" t="s">
        <v>16</v>
      </c>
      <c r="B882" t="s">
        <v>97</v>
      </c>
      <c r="C882" t="s">
        <v>422</v>
      </c>
      <c r="D882">
        <v>74295</v>
      </c>
      <c r="E882">
        <v>6</v>
      </c>
      <c r="F882">
        <f t="shared" si="39"/>
        <v>2024</v>
      </c>
      <c r="G882">
        <f t="shared" si="40"/>
        <v>7</v>
      </c>
      <c r="H882" t="str">
        <f t="shared" si="41"/>
        <v>2024-7</v>
      </c>
    </row>
    <row r="883" spans="1:8" x14ac:dyDescent="0.25">
      <c r="A883" t="s">
        <v>29</v>
      </c>
      <c r="B883" t="s">
        <v>151</v>
      </c>
      <c r="C883" t="s">
        <v>422</v>
      </c>
      <c r="D883">
        <v>62749</v>
      </c>
      <c r="E883">
        <v>5</v>
      </c>
      <c r="F883">
        <f t="shared" si="39"/>
        <v>2024</v>
      </c>
      <c r="G883">
        <f t="shared" si="40"/>
        <v>7</v>
      </c>
      <c r="H883" t="str">
        <f t="shared" si="41"/>
        <v>2024-7</v>
      </c>
    </row>
    <row r="884" spans="1:8" x14ac:dyDescent="0.25">
      <c r="A884" t="s">
        <v>8</v>
      </c>
      <c r="B884" t="s">
        <v>294</v>
      </c>
      <c r="C884" t="s">
        <v>422</v>
      </c>
      <c r="D884">
        <v>39973</v>
      </c>
      <c r="E884">
        <v>10</v>
      </c>
      <c r="F884">
        <f t="shared" si="39"/>
        <v>2024</v>
      </c>
      <c r="G884">
        <f t="shared" si="40"/>
        <v>7</v>
      </c>
      <c r="H884" t="str">
        <f t="shared" si="41"/>
        <v>2024-7</v>
      </c>
    </row>
    <row r="885" spans="1:8" x14ac:dyDescent="0.25">
      <c r="A885" t="s">
        <v>21</v>
      </c>
      <c r="B885" t="s">
        <v>144</v>
      </c>
      <c r="C885" t="s">
        <v>422</v>
      </c>
      <c r="D885">
        <v>70889</v>
      </c>
      <c r="E885">
        <v>6</v>
      </c>
      <c r="F885">
        <f t="shared" si="39"/>
        <v>2024</v>
      </c>
      <c r="G885">
        <f t="shared" si="40"/>
        <v>7</v>
      </c>
      <c r="H885" t="str">
        <f t="shared" si="41"/>
        <v>2024-7</v>
      </c>
    </row>
    <row r="886" spans="1:8" x14ac:dyDescent="0.25">
      <c r="A886" t="s">
        <v>8</v>
      </c>
      <c r="B886" t="s">
        <v>88</v>
      </c>
      <c r="C886" t="s">
        <v>422</v>
      </c>
      <c r="D886">
        <v>70513</v>
      </c>
      <c r="E886">
        <v>3</v>
      </c>
      <c r="F886">
        <f t="shared" si="39"/>
        <v>2024</v>
      </c>
      <c r="G886">
        <f t="shared" si="40"/>
        <v>7</v>
      </c>
      <c r="H886" t="str">
        <f t="shared" si="41"/>
        <v>2024-7</v>
      </c>
    </row>
    <row r="887" spans="1:8" x14ac:dyDescent="0.25">
      <c r="A887" t="s">
        <v>21</v>
      </c>
      <c r="B887" t="s">
        <v>234</v>
      </c>
      <c r="C887" t="s">
        <v>422</v>
      </c>
      <c r="D887">
        <v>99662</v>
      </c>
      <c r="E887">
        <v>4</v>
      </c>
      <c r="F887">
        <f t="shared" si="39"/>
        <v>2024</v>
      </c>
      <c r="G887">
        <f t="shared" si="40"/>
        <v>7</v>
      </c>
      <c r="H887" t="str">
        <f t="shared" si="41"/>
        <v>2024-7</v>
      </c>
    </row>
    <row r="888" spans="1:8" x14ac:dyDescent="0.25">
      <c r="A888" t="s">
        <v>29</v>
      </c>
      <c r="B888" t="s">
        <v>97</v>
      </c>
      <c r="C888" t="s">
        <v>423</v>
      </c>
      <c r="D888">
        <v>91653</v>
      </c>
      <c r="E888">
        <v>6</v>
      </c>
      <c r="F888">
        <f t="shared" si="39"/>
        <v>2024</v>
      </c>
      <c r="G888">
        <f t="shared" si="40"/>
        <v>7</v>
      </c>
      <c r="H888" t="str">
        <f t="shared" si="41"/>
        <v>2024-7</v>
      </c>
    </row>
    <row r="889" spans="1:8" x14ac:dyDescent="0.25">
      <c r="A889" t="s">
        <v>19</v>
      </c>
      <c r="B889" t="s">
        <v>164</v>
      </c>
      <c r="C889" t="s">
        <v>423</v>
      </c>
      <c r="D889">
        <v>99145</v>
      </c>
      <c r="E889">
        <v>5</v>
      </c>
      <c r="F889">
        <f t="shared" si="39"/>
        <v>2024</v>
      </c>
      <c r="G889">
        <f t="shared" si="40"/>
        <v>7</v>
      </c>
      <c r="H889" t="str">
        <f t="shared" si="41"/>
        <v>2024-7</v>
      </c>
    </row>
    <row r="890" spans="1:8" x14ac:dyDescent="0.25">
      <c r="A890" t="s">
        <v>43</v>
      </c>
      <c r="B890" t="s">
        <v>424</v>
      </c>
      <c r="C890" t="s">
        <v>423</v>
      </c>
      <c r="D890">
        <v>66499</v>
      </c>
      <c r="E890">
        <v>9</v>
      </c>
      <c r="F890">
        <f t="shared" si="39"/>
        <v>2024</v>
      </c>
      <c r="G890">
        <f t="shared" si="40"/>
        <v>7</v>
      </c>
      <c r="H890" t="str">
        <f t="shared" si="41"/>
        <v>2024-7</v>
      </c>
    </row>
    <row r="891" spans="1:8" x14ac:dyDescent="0.25">
      <c r="A891" t="s">
        <v>11</v>
      </c>
      <c r="B891" t="s">
        <v>305</v>
      </c>
      <c r="C891" t="s">
        <v>425</v>
      </c>
      <c r="D891">
        <v>28200</v>
      </c>
      <c r="E891">
        <v>4</v>
      </c>
      <c r="F891">
        <f t="shared" si="39"/>
        <v>2024</v>
      </c>
      <c r="G891">
        <f t="shared" si="40"/>
        <v>7</v>
      </c>
      <c r="H891" t="str">
        <f t="shared" si="41"/>
        <v>2024-7</v>
      </c>
    </row>
    <row r="892" spans="1:8" x14ac:dyDescent="0.25">
      <c r="A892" t="s">
        <v>8</v>
      </c>
      <c r="B892" t="s">
        <v>85</v>
      </c>
      <c r="C892" t="s">
        <v>425</v>
      </c>
      <c r="D892">
        <v>74013</v>
      </c>
      <c r="E892">
        <v>8</v>
      </c>
      <c r="F892">
        <f t="shared" si="39"/>
        <v>2024</v>
      </c>
      <c r="G892">
        <f t="shared" si="40"/>
        <v>7</v>
      </c>
      <c r="H892" t="str">
        <f t="shared" si="41"/>
        <v>2024-7</v>
      </c>
    </row>
    <row r="893" spans="1:8" x14ac:dyDescent="0.25">
      <c r="A893" t="s">
        <v>43</v>
      </c>
      <c r="B893" t="s">
        <v>188</v>
      </c>
      <c r="C893" t="s">
        <v>425</v>
      </c>
      <c r="D893">
        <v>45125</v>
      </c>
      <c r="E893">
        <v>0</v>
      </c>
      <c r="F893">
        <f t="shared" si="39"/>
        <v>2024</v>
      </c>
      <c r="G893">
        <f t="shared" si="40"/>
        <v>7</v>
      </c>
      <c r="H893" t="str">
        <f t="shared" si="41"/>
        <v>2024-7</v>
      </c>
    </row>
    <row r="894" spans="1:8" x14ac:dyDescent="0.25">
      <c r="A894" t="s">
        <v>26</v>
      </c>
      <c r="B894" t="s">
        <v>49</v>
      </c>
      <c r="C894" t="s">
        <v>425</v>
      </c>
      <c r="D894">
        <v>90656</v>
      </c>
      <c r="E894">
        <v>6</v>
      </c>
      <c r="F894">
        <f t="shared" si="39"/>
        <v>2024</v>
      </c>
      <c r="G894">
        <f t="shared" si="40"/>
        <v>7</v>
      </c>
      <c r="H894" t="str">
        <f t="shared" si="41"/>
        <v>2024-7</v>
      </c>
    </row>
    <row r="895" spans="1:8" x14ac:dyDescent="0.25">
      <c r="A895" t="s">
        <v>43</v>
      </c>
      <c r="B895" t="s">
        <v>211</v>
      </c>
      <c r="C895" t="s">
        <v>425</v>
      </c>
      <c r="D895">
        <v>19320</v>
      </c>
      <c r="E895">
        <v>5</v>
      </c>
      <c r="F895">
        <f t="shared" si="39"/>
        <v>2024</v>
      </c>
      <c r="G895">
        <f t="shared" si="40"/>
        <v>7</v>
      </c>
      <c r="H895" t="str">
        <f t="shared" si="41"/>
        <v>2024-7</v>
      </c>
    </row>
    <row r="896" spans="1:8" x14ac:dyDescent="0.25">
      <c r="A896" t="s">
        <v>55</v>
      </c>
      <c r="B896" t="s">
        <v>217</v>
      </c>
      <c r="C896" t="s">
        <v>425</v>
      </c>
      <c r="D896">
        <v>60893</v>
      </c>
      <c r="E896">
        <v>7</v>
      </c>
      <c r="F896">
        <f t="shared" si="39"/>
        <v>2024</v>
      </c>
      <c r="G896">
        <f t="shared" si="40"/>
        <v>7</v>
      </c>
      <c r="H896" t="str">
        <f t="shared" si="41"/>
        <v>2024-7</v>
      </c>
    </row>
    <row r="897" spans="1:8" x14ac:dyDescent="0.25">
      <c r="A897" t="s">
        <v>38</v>
      </c>
      <c r="B897" t="s">
        <v>303</v>
      </c>
      <c r="C897" t="s">
        <v>426</v>
      </c>
      <c r="D897">
        <v>54915</v>
      </c>
      <c r="E897">
        <v>4</v>
      </c>
      <c r="F897">
        <f t="shared" si="39"/>
        <v>2024</v>
      </c>
      <c r="G897">
        <f t="shared" si="40"/>
        <v>7</v>
      </c>
      <c r="H897" t="str">
        <f t="shared" si="41"/>
        <v>2024-7</v>
      </c>
    </row>
    <row r="898" spans="1:8" x14ac:dyDescent="0.25">
      <c r="A898" t="s">
        <v>29</v>
      </c>
      <c r="B898" t="s">
        <v>51</v>
      </c>
      <c r="C898" t="s">
        <v>426</v>
      </c>
      <c r="D898">
        <v>13772</v>
      </c>
      <c r="E898">
        <v>2</v>
      </c>
      <c r="F898">
        <f t="shared" si="39"/>
        <v>2024</v>
      </c>
      <c r="G898">
        <f t="shared" si="40"/>
        <v>7</v>
      </c>
      <c r="H898" t="str">
        <f t="shared" si="41"/>
        <v>2024-7</v>
      </c>
    </row>
    <row r="899" spans="1:8" x14ac:dyDescent="0.25">
      <c r="A899" t="s">
        <v>19</v>
      </c>
      <c r="B899" t="s">
        <v>278</v>
      </c>
      <c r="C899" t="s">
        <v>427</v>
      </c>
      <c r="D899">
        <v>51013</v>
      </c>
      <c r="E899">
        <v>8</v>
      </c>
      <c r="F899">
        <f t="shared" ref="F899:F962" si="42">YEAR(C899)</f>
        <v>2024</v>
      </c>
      <c r="G899">
        <f t="shared" ref="G899:G962" si="43">MONTH(C899)</f>
        <v>7</v>
      </c>
      <c r="H899" t="str">
        <f t="shared" ref="H899:H962" si="44">F899&amp;"-"&amp;G899</f>
        <v>2024-7</v>
      </c>
    </row>
    <row r="900" spans="1:8" x14ac:dyDescent="0.25">
      <c r="A900" t="s">
        <v>26</v>
      </c>
      <c r="B900" t="s">
        <v>187</v>
      </c>
      <c r="C900" t="s">
        <v>427</v>
      </c>
      <c r="D900">
        <v>63397</v>
      </c>
      <c r="E900">
        <v>8</v>
      </c>
      <c r="F900">
        <f t="shared" si="42"/>
        <v>2024</v>
      </c>
      <c r="G900">
        <f t="shared" si="43"/>
        <v>7</v>
      </c>
      <c r="H900" t="str">
        <f t="shared" si="44"/>
        <v>2024-7</v>
      </c>
    </row>
    <row r="901" spans="1:8" x14ac:dyDescent="0.25">
      <c r="A901" t="s">
        <v>5</v>
      </c>
      <c r="B901" t="s">
        <v>115</v>
      </c>
      <c r="C901" t="s">
        <v>427</v>
      </c>
      <c r="D901">
        <v>50445</v>
      </c>
      <c r="E901">
        <v>7</v>
      </c>
      <c r="F901">
        <f t="shared" si="42"/>
        <v>2024</v>
      </c>
      <c r="G901">
        <f t="shared" si="43"/>
        <v>7</v>
      </c>
      <c r="H901" t="str">
        <f t="shared" si="44"/>
        <v>2024-7</v>
      </c>
    </row>
    <row r="902" spans="1:8" x14ac:dyDescent="0.25">
      <c r="A902" t="s">
        <v>43</v>
      </c>
      <c r="B902" t="s">
        <v>160</v>
      </c>
      <c r="C902" t="s">
        <v>427</v>
      </c>
      <c r="D902">
        <v>99509</v>
      </c>
      <c r="E902">
        <v>10</v>
      </c>
      <c r="F902">
        <f t="shared" si="42"/>
        <v>2024</v>
      </c>
      <c r="G902">
        <f t="shared" si="43"/>
        <v>7</v>
      </c>
      <c r="H902" t="str">
        <f t="shared" si="44"/>
        <v>2024-7</v>
      </c>
    </row>
    <row r="903" spans="1:8" x14ac:dyDescent="0.25">
      <c r="A903" t="s">
        <v>19</v>
      </c>
      <c r="B903" t="s">
        <v>89</v>
      </c>
      <c r="C903" t="s">
        <v>428</v>
      </c>
      <c r="D903">
        <v>49807</v>
      </c>
      <c r="E903">
        <v>5</v>
      </c>
      <c r="F903">
        <f t="shared" si="42"/>
        <v>2024</v>
      </c>
      <c r="G903">
        <f t="shared" si="43"/>
        <v>7</v>
      </c>
      <c r="H903" t="str">
        <f t="shared" si="44"/>
        <v>2024-7</v>
      </c>
    </row>
    <row r="904" spans="1:8" x14ac:dyDescent="0.25">
      <c r="A904" t="s">
        <v>29</v>
      </c>
      <c r="B904" t="s">
        <v>160</v>
      </c>
      <c r="C904" t="s">
        <v>428</v>
      </c>
      <c r="D904">
        <v>49279</v>
      </c>
      <c r="E904">
        <v>5</v>
      </c>
      <c r="F904">
        <f t="shared" si="42"/>
        <v>2024</v>
      </c>
      <c r="G904">
        <f t="shared" si="43"/>
        <v>7</v>
      </c>
      <c r="H904" t="str">
        <f t="shared" si="44"/>
        <v>2024-7</v>
      </c>
    </row>
    <row r="905" spans="1:8" x14ac:dyDescent="0.25">
      <c r="A905" t="s">
        <v>55</v>
      </c>
      <c r="B905" t="s">
        <v>269</v>
      </c>
      <c r="C905" t="s">
        <v>428</v>
      </c>
      <c r="D905">
        <v>57474</v>
      </c>
      <c r="E905">
        <v>9</v>
      </c>
      <c r="F905">
        <f t="shared" si="42"/>
        <v>2024</v>
      </c>
      <c r="G905">
        <f t="shared" si="43"/>
        <v>7</v>
      </c>
      <c r="H905" t="str">
        <f t="shared" si="44"/>
        <v>2024-7</v>
      </c>
    </row>
    <row r="906" spans="1:8" x14ac:dyDescent="0.25">
      <c r="A906" t="s">
        <v>29</v>
      </c>
      <c r="B906" t="s">
        <v>127</v>
      </c>
      <c r="C906" t="s">
        <v>428</v>
      </c>
      <c r="D906">
        <v>76459</v>
      </c>
      <c r="E906">
        <v>8</v>
      </c>
      <c r="F906">
        <f t="shared" si="42"/>
        <v>2024</v>
      </c>
      <c r="G906">
        <f t="shared" si="43"/>
        <v>7</v>
      </c>
      <c r="H906" t="str">
        <f t="shared" si="44"/>
        <v>2024-7</v>
      </c>
    </row>
    <row r="907" spans="1:8" x14ac:dyDescent="0.25">
      <c r="A907" t="s">
        <v>16</v>
      </c>
      <c r="B907" t="s">
        <v>299</v>
      </c>
      <c r="C907" t="s">
        <v>429</v>
      </c>
      <c r="D907">
        <v>31254</v>
      </c>
      <c r="E907">
        <v>5</v>
      </c>
      <c r="F907">
        <f t="shared" si="42"/>
        <v>2024</v>
      </c>
      <c r="G907">
        <f t="shared" si="43"/>
        <v>7</v>
      </c>
      <c r="H907" t="str">
        <f t="shared" si="44"/>
        <v>2024-7</v>
      </c>
    </row>
    <row r="908" spans="1:8" x14ac:dyDescent="0.25">
      <c r="A908" t="s">
        <v>55</v>
      </c>
      <c r="B908" t="s">
        <v>25</v>
      </c>
      <c r="C908" t="s">
        <v>429</v>
      </c>
      <c r="D908">
        <v>92684</v>
      </c>
      <c r="E908">
        <v>5</v>
      </c>
      <c r="F908">
        <f t="shared" si="42"/>
        <v>2024</v>
      </c>
      <c r="G908">
        <f t="shared" si="43"/>
        <v>7</v>
      </c>
      <c r="H908" t="str">
        <f t="shared" si="44"/>
        <v>2024-7</v>
      </c>
    </row>
    <row r="909" spans="1:8" x14ac:dyDescent="0.25">
      <c r="A909" t="s">
        <v>21</v>
      </c>
      <c r="B909" t="s">
        <v>187</v>
      </c>
      <c r="C909" t="s">
        <v>429</v>
      </c>
      <c r="D909">
        <v>90333</v>
      </c>
      <c r="E909">
        <v>7</v>
      </c>
      <c r="F909">
        <f t="shared" si="42"/>
        <v>2024</v>
      </c>
      <c r="G909">
        <f t="shared" si="43"/>
        <v>7</v>
      </c>
      <c r="H909" t="str">
        <f t="shared" si="44"/>
        <v>2024-7</v>
      </c>
    </row>
    <row r="910" spans="1:8" x14ac:dyDescent="0.25">
      <c r="A910" t="s">
        <v>11</v>
      </c>
      <c r="B910" t="s">
        <v>47</v>
      </c>
      <c r="C910" t="s">
        <v>429</v>
      </c>
      <c r="D910">
        <v>25410</v>
      </c>
      <c r="E910">
        <v>10</v>
      </c>
      <c r="F910">
        <f t="shared" si="42"/>
        <v>2024</v>
      </c>
      <c r="G910">
        <f t="shared" si="43"/>
        <v>7</v>
      </c>
      <c r="H910" t="str">
        <f t="shared" si="44"/>
        <v>2024-7</v>
      </c>
    </row>
    <row r="911" spans="1:8" x14ac:dyDescent="0.25">
      <c r="A911" t="s">
        <v>19</v>
      </c>
      <c r="B911" t="s">
        <v>144</v>
      </c>
      <c r="C911" t="s">
        <v>429</v>
      </c>
      <c r="D911">
        <v>85380</v>
      </c>
      <c r="E911">
        <v>7</v>
      </c>
      <c r="F911">
        <f t="shared" si="42"/>
        <v>2024</v>
      </c>
      <c r="G911">
        <f t="shared" si="43"/>
        <v>7</v>
      </c>
      <c r="H911" t="str">
        <f t="shared" si="44"/>
        <v>2024-7</v>
      </c>
    </row>
    <row r="912" spans="1:8" x14ac:dyDescent="0.25">
      <c r="A912" t="s">
        <v>13</v>
      </c>
      <c r="B912" t="s">
        <v>28</v>
      </c>
      <c r="C912" t="s">
        <v>429</v>
      </c>
      <c r="D912">
        <v>32529</v>
      </c>
      <c r="E912">
        <v>7</v>
      </c>
      <c r="F912">
        <f t="shared" si="42"/>
        <v>2024</v>
      </c>
      <c r="G912">
        <f t="shared" si="43"/>
        <v>7</v>
      </c>
      <c r="H912" t="str">
        <f t="shared" si="44"/>
        <v>2024-7</v>
      </c>
    </row>
    <row r="913" spans="1:8" x14ac:dyDescent="0.25">
      <c r="A913" t="s">
        <v>21</v>
      </c>
      <c r="B913" t="s">
        <v>190</v>
      </c>
      <c r="C913" t="s">
        <v>429</v>
      </c>
      <c r="D913">
        <v>52155</v>
      </c>
      <c r="E913">
        <v>5</v>
      </c>
      <c r="F913">
        <f t="shared" si="42"/>
        <v>2024</v>
      </c>
      <c r="G913">
        <f t="shared" si="43"/>
        <v>7</v>
      </c>
      <c r="H913" t="str">
        <f t="shared" si="44"/>
        <v>2024-7</v>
      </c>
    </row>
    <row r="914" spans="1:8" x14ac:dyDescent="0.25">
      <c r="A914" t="s">
        <v>19</v>
      </c>
      <c r="B914" t="s">
        <v>12</v>
      </c>
      <c r="C914" t="s">
        <v>430</v>
      </c>
      <c r="D914">
        <v>63031</v>
      </c>
      <c r="E914">
        <v>10</v>
      </c>
      <c r="F914">
        <f t="shared" si="42"/>
        <v>2024</v>
      </c>
      <c r="G914">
        <f t="shared" si="43"/>
        <v>7</v>
      </c>
      <c r="H914" t="str">
        <f t="shared" si="44"/>
        <v>2024-7</v>
      </c>
    </row>
    <row r="915" spans="1:8" x14ac:dyDescent="0.25">
      <c r="A915" t="s">
        <v>26</v>
      </c>
      <c r="B915" t="s">
        <v>57</v>
      </c>
      <c r="C915" t="s">
        <v>430</v>
      </c>
      <c r="D915">
        <v>76673</v>
      </c>
      <c r="E915">
        <v>10</v>
      </c>
      <c r="F915">
        <f t="shared" si="42"/>
        <v>2024</v>
      </c>
      <c r="G915">
        <f t="shared" si="43"/>
        <v>7</v>
      </c>
      <c r="H915" t="str">
        <f t="shared" si="44"/>
        <v>2024-7</v>
      </c>
    </row>
    <row r="916" spans="1:8" x14ac:dyDescent="0.25">
      <c r="A916" t="s">
        <v>43</v>
      </c>
      <c r="B916" t="s">
        <v>119</v>
      </c>
      <c r="C916" t="s">
        <v>430</v>
      </c>
      <c r="D916">
        <v>23845</v>
      </c>
      <c r="E916">
        <v>9</v>
      </c>
      <c r="F916">
        <f t="shared" si="42"/>
        <v>2024</v>
      </c>
      <c r="G916">
        <f t="shared" si="43"/>
        <v>7</v>
      </c>
      <c r="H916" t="str">
        <f t="shared" si="44"/>
        <v>2024-7</v>
      </c>
    </row>
    <row r="917" spans="1:8" x14ac:dyDescent="0.25">
      <c r="A917" t="s">
        <v>13</v>
      </c>
      <c r="B917" t="s">
        <v>105</v>
      </c>
      <c r="C917" t="s">
        <v>430</v>
      </c>
      <c r="D917">
        <v>22179</v>
      </c>
      <c r="E917">
        <v>10</v>
      </c>
      <c r="F917">
        <f t="shared" si="42"/>
        <v>2024</v>
      </c>
      <c r="G917">
        <f t="shared" si="43"/>
        <v>7</v>
      </c>
      <c r="H917" t="str">
        <f t="shared" si="44"/>
        <v>2024-7</v>
      </c>
    </row>
    <row r="918" spans="1:8" x14ac:dyDescent="0.25">
      <c r="A918" t="s">
        <v>55</v>
      </c>
      <c r="B918" t="s">
        <v>91</v>
      </c>
      <c r="C918" t="s">
        <v>431</v>
      </c>
      <c r="D918">
        <v>55656</v>
      </c>
      <c r="E918">
        <v>4</v>
      </c>
      <c r="F918">
        <f t="shared" si="42"/>
        <v>2024</v>
      </c>
      <c r="G918">
        <f t="shared" si="43"/>
        <v>8</v>
      </c>
      <c r="H918" t="str">
        <f t="shared" si="44"/>
        <v>2024-8</v>
      </c>
    </row>
    <row r="919" spans="1:8" x14ac:dyDescent="0.25">
      <c r="A919" t="s">
        <v>19</v>
      </c>
      <c r="B919" t="s">
        <v>45</v>
      </c>
      <c r="C919" t="s">
        <v>431</v>
      </c>
      <c r="D919">
        <v>85068</v>
      </c>
      <c r="E919">
        <v>8</v>
      </c>
      <c r="F919">
        <f t="shared" si="42"/>
        <v>2024</v>
      </c>
      <c r="G919">
        <f t="shared" si="43"/>
        <v>8</v>
      </c>
      <c r="H919" t="str">
        <f t="shared" si="44"/>
        <v>2024-8</v>
      </c>
    </row>
    <row r="920" spans="1:8" x14ac:dyDescent="0.25">
      <c r="A920" t="s">
        <v>11</v>
      </c>
      <c r="B920" t="s">
        <v>293</v>
      </c>
      <c r="C920" t="s">
        <v>431</v>
      </c>
      <c r="D920">
        <v>46434</v>
      </c>
      <c r="E920">
        <v>5</v>
      </c>
      <c r="F920">
        <f t="shared" si="42"/>
        <v>2024</v>
      </c>
      <c r="G920">
        <f t="shared" si="43"/>
        <v>8</v>
      </c>
      <c r="H920" t="str">
        <f t="shared" si="44"/>
        <v>2024-8</v>
      </c>
    </row>
    <row r="921" spans="1:8" x14ac:dyDescent="0.25">
      <c r="A921" t="s">
        <v>26</v>
      </c>
      <c r="B921" t="s">
        <v>171</v>
      </c>
      <c r="C921" t="s">
        <v>432</v>
      </c>
      <c r="D921">
        <v>48621</v>
      </c>
      <c r="E921">
        <v>3</v>
      </c>
      <c r="F921">
        <f t="shared" si="42"/>
        <v>2024</v>
      </c>
      <c r="G921">
        <f t="shared" si="43"/>
        <v>8</v>
      </c>
      <c r="H921" t="str">
        <f t="shared" si="44"/>
        <v>2024-8</v>
      </c>
    </row>
    <row r="922" spans="1:8" x14ac:dyDescent="0.25">
      <c r="A922" t="s">
        <v>55</v>
      </c>
      <c r="B922" t="s">
        <v>79</v>
      </c>
      <c r="C922" t="s">
        <v>432</v>
      </c>
      <c r="D922">
        <v>90123</v>
      </c>
      <c r="E922">
        <v>8</v>
      </c>
      <c r="F922">
        <f t="shared" si="42"/>
        <v>2024</v>
      </c>
      <c r="G922">
        <f t="shared" si="43"/>
        <v>8</v>
      </c>
      <c r="H922" t="str">
        <f t="shared" si="44"/>
        <v>2024-8</v>
      </c>
    </row>
    <row r="923" spans="1:8" x14ac:dyDescent="0.25">
      <c r="A923" t="s">
        <v>5</v>
      </c>
      <c r="B923" t="s">
        <v>74</v>
      </c>
      <c r="C923" t="s">
        <v>432</v>
      </c>
      <c r="D923">
        <v>50168</v>
      </c>
      <c r="E923">
        <v>9</v>
      </c>
      <c r="F923">
        <f t="shared" si="42"/>
        <v>2024</v>
      </c>
      <c r="G923">
        <f t="shared" si="43"/>
        <v>8</v>
      </c>
      <c r="H923" t="str">
        <f t="shared" si="44"/>
        <v>2024-8</v>
      </c>
    </row>
    <row r="924" spans="1:8" x14ac:dyDescent="0.25">
      <c r="A924" t="s">
        <v>43</v>
      </c>
      <c r="B924" t="s">
        <v>116</v>
      </c>
      <c r="C924" t="s">
        <v>432</v>
      </c>
      <c r="D924">
        <v>24136</v>
      </c>
      <c r="E924">
        <v>9</v>
      </c>
      <c r="F924">
        <f t="shared" si="42"/>
        <v>2024</v>
      </c>
      <c r="G924">
        <f t="shared" si="43"/>
        <v>8</v>
      </c>
      <c r="H924" t="str">
        <f t="shared" si="44"/>
        <v>2024-8</v>
      </c>
    </row>
    <row r="925" spans="1:8" x14ac:dyDescent="0.25">
      <c r="A925" t="s">
        <v>5</v>
      </c>
      <c r="B925" t="s">
        <v>64</v>
      </c>
      <c r="C925" t="s">
        <v>432</v>
      </c>
      <c r="D925">
        <v>86871</v>
      </c>
      <c r="E925">
        <v>7</v>
      </c>
      <c r="F925">
        <f t="shared" si="42"/>
        <v>2024</v>
      </c>
      <c r="G925">
        <f t="shared" si="43"/>
        <v>8</v>
      </c>
      <c r="H925" t="str">
        <f t="shared" si="44"/>
        <v>2024-8</v>
      </c>
    </row>
    <row r="926" spans="1:8" x14ac:dyDescent="0.25">
      <c r="A926" t="s">
        <v>26</v>
      </c>
      <c r="B926" t="s">
        <v>289</v>
      </c>
      <c r="C926" t="s">
        <v>432</v>
      </c>
      <c r="D926">
        <v>78832</v>
      </c>
      <c r="E926">
        <v>5</v>
      </c>
      <c r="F926">
        <f t="shared" si="42"/>
        <v>2024</v>
      </c>
      <c r="G926">
        <f t="shared" si="43"/>
        <v>8</v>
      </c>
      <c r="H926" t="str">
        <f t="shared" si="44"/>
        <v>2024-8</v>
      </c>
    </row>
    <row r="927" spans="1:8" x14ac:dyDescent="0.25">
      <c r="A927" t="s">
        <v>19</v>
      </c>
      <c r="B927" t="s">
        <v>433</v>
      </c>
      <c r="C927" t="s">
        <v>434</v>
      </c>
      <c r="D927">
        <v>89042</v>
      </c>
      <c r="E927">
        <v>5</v>
      </c>
      <c r="F927">
        <f t="shared" si="42"/>
        <v>2024</v>
      </c>
      <c r="G927">
        <f t="shared" si="43"/>
        <v>8</v>
      </c>
      <c r="H927" t="str">
        <f t="shared" si="44"/>
        <v>2024-8</v>
      </c>
    </row>
    <row r="928" spans="1:8" x14ac:dyDescent="0.25">
      <c r="A928" t="s">
        <v>38</v>
      </c>
      <c r="B928" t="s">
        <v>172</v>
      </c>
      <c r="C928" t="s">
        <v>434</v>
      </c>
      <c r="D928">
        <v>41855</v>
      </c>
      <c r="E928">
        <v>5</v>
      </c>
      <c r="F928">
        <f t="shared" si="42"/>
        <v>2024</v>
      </c>
      <c r="G928">
        <f t="shared" si="43"/>
        <v>8</v>
      </c>
      <c r="H928" t="str">
        <f t="shared" si="44"/>
        <v>2024-8</v>
      </c>
    </row>
    <row r="929" spans="1:8" x14ac:dyDescent="0.25">
      <c r="A929" t="s">
        <v>29</v>
      </c>
      <c r="B929" t="s">
        <v>169</v>
      </c>
      <c r="C929" t="s">
        <v>434</v>
      </c>
      <c r="D929">
        <v>19360</v>
      </c>
      <c r="E929">
        <v>8</v>
      </c>
      <c r="F929">
        <f t="shared" si="42"/>
        <v>2024</v>
      </c>
      <c r="G929">
        <f t="shared" si="43"/>
        <v>8</v>
      </c>
      <c r="H929" t="str">
        <f t="shared" si="44"/>
        <v>2024-8</v>
      </c>
    </row>
    <row r="930" spans="1:8" x14ac:dyDescent="0.25">
      <c r="A930" t="s">
        <v>55</v>
      </c>
      <c r="B930" t="s">
        <v>319</v>
      </c>
      <c r="C930" t="s">
        <v>434</v>
      </c>
      <c r="D930">
        <v>37692</v>
      </c>
      <c r="E930">
        <v>5</v>
      </c>
      <c r="F930">
        <f t="shared" si="42"/>
        <v>2024</v>
      </c>
      <c r="G930">
        <f t="shared" si="43"/>
        <v>8</v>
      </c>
      <c r="H930" t="str">
        <f t="shared" si="44"/>
        <v>2024-8</v>
      </c>
    </row>
    <row r="931" spans="1:8" x14ac:dyDescent="0.25">
      <c r="A931" t="s">
        <v>26</v>
      </c>
      <c r="B931" t="s">
        <v>293</v>
      </c>
      <c r="C931" t="s">
        <v>434</v>
      </c>
      <c r="D931">
        <v>25734</v>
      </c>
      <c r="E931">
        <v>3</v>
      </c>
      <c r="F931">
        <f t="shared" si="42"/>
        <v>2024</v>
      </c>
      <c r="G931">
        <f t="shared" si="43"/>
        <v>8</v>
      </c>
      <c r="H931" t="str">
        <f t="shared" si="44"/>
        <v>2024-8</v>
      </c>
    </row>
    <row r="932" spans="1:8" x14ac:dyDescent="0.25">
      <c r="A932" t="s">
        <v>21</v>
      </c>
      <c r="B932" t="s">
        <v>129</v>
      </c>
      <c r="C932" t="s">
        <v>434</v>
      </c>
      <c r="D932">
        <v>36743</v>
      </c>
      <c r="E932">
        <v>4</v>
      </c>
      <c r="F932">
        <f t="shared" si="42"/>
        <v>2024</v>
      </c>
      <c r="G932">
        <f t="shared" si="43"/>
        <v>8</v>
      </c>
      <c r="H932" t="str">
        <f t="shared" si="44"/>
        <v>2024-8</v>
      </c>
    </row>
    <row r="933" spans="1:8" x14ac:dyDescent="0.25">
      <c r="A933" t="s">
        <v>38</v>
      </c>
      <c r="B933" t="s">
        <v>102</v>
      </c>
      <c r="C933" t="s">
        <v>434</v>
      </c>
      <c r="D933">
        <v>11384</v>
      </c>
      <c r="E933">
        <v>6</v>
      </c>
      <c r="F933">
        <f t="shared" si="42"/>
        <v>2024</v>
      </c>
      <c r="G933">
        <f t="shared" si="43"/>
        <v>8</v>
      </c>
      <c r="H933" t="str">
        <f t="shared" si="44"/>
        <v>2024-8</v>
      </c>
    </row>
    <row r="934" spans="1:8" x14ac:dyDescent="0.25">
      <c r="A934" t="s">
        <v>55</v>
      </c>
      <c r="B934" t="s">
        <v>59</v>
      </c>
      <c r="C934" t="s">
        <v>434</v>
      </c>
      <c r="D934">
        <v>47588</v>
      </c>
      <c r="E934">
        <v>3</v>
      </c>
      <c r="F934">
        <f t="shared" si="42"/>
        <v>2024</v>
      </c>
      <c r="G934">
        <f t="shared" si="43"/>
        <v>8</v>
      </c>
      <c r="H934" t="str">
        <f t="shared" si="44"/>
        <v>2024-8</v>
      </c>
    </row>
    <row r="935" spans="1:8" x14ac:dyDescent="0.25">
      <c r="A935" t="s">
        <v>11</v>
      </c>
      <c r="B935" t="s">
        <v>269</v>
      </c>
      <c r="C935" t="s">
        <v>434</v>
      </c>
      <c r="D935">
        <v>53529</v>
      </c>
      <c r="E935">
        <v>7</v>
      </c>
      <c r="F935">
        <f t="shared" si="42"/>
        <v>2024</v>
      </c>
      <c r="G935">
        <f t="shared" si="43"/>
        <v>8</v>
      </c>
      <c r="H935" t="str">
        <f t="shared" si="44"/>
        <v>2024-8</v>
      </c>
    </row>
    <row r="936" spans="1:8" x14ac:dyDescent="0.25">
      <c r="A936" t="s">
        <v>21</v>
      </c>
      <c r="B936" t="s">
        <v>169</v>
      </c>
      <c r="C936" t="s">
        <v>434</v>
      </c>
      <c r="D936">
        <v>69642</v>
      </c>
      <c r="E936">
        <v>9</v>
      </c>
      <c r="F936">
        <f t="shared" si="42"/>
        <v>2024</v>
      </c>
      <c r="G936">
        <f t="shared" si="43"/>
        <v>8</v>
      </c>
      <c r="H936" t="str">
        <f t="shared" si="44"/>
        <v>2024-8</v>
      </c>
    </row>
    <row r="937" spans="1:8" x14ac:dyDescent="0.25">
      <c r="A937" t="s">
        <v>13</v>
      </c>
      <c r="B937" t="s">
        <v>197</v>
      </c>
      <c r="C937" t="s">
        <v>434</v>
      </c>
      <c r="D937">
        <v>18749</v>
      </c>
      <c r="E937">
        <v>10</v>
      </c>
      <c r="F937">
        <f t="shared" si="42"/>
        <v>2024</v>
      </c>
      <c r="G937">
        <f t="shared" si="43"/>
        <v>8</v>
      </c>
      <c r="H937" t="str">
        <f t="shared" si="44"/>
        <v>2024-8</v>
      </c>
    </row>
    <row r="938" spans="1:8" x14ac:dyDescent="0.25">
      <c r="A938" t="s">
        <v>19</v>
      </c>
      <c r="B938" t="s">
        <v>97</v>
      </c>
      <c r="C938" t="s">
        <v>435</v>
      </c>
      <c r="D938">
        <v>87904</v>
      </c>
      <c r="E938">
        <v>5</v>
      </c>
      <c r="F938">
        <f t="shared" si="42"/>
        <v>2024</v>
      </c>
      <c r="G938">
        <f t="shared" si="43"/>
        <v>8</v>
      </c>
      <c r="H938" t="str">
        <f t="shared" si="44"/>
        <v>2024-8</v>
      </c>
    </row>
    <row r="939" spans="1:8" x14ac:dyDescent="0.25">
      <c r="A939" t="s">
        <v>19</v>
      </c>
      <c r="B939" t="s">
        <v>187</v>
      </c>
      <c r="C939" t="s">
        <v>435</v>
      </c>
      <c r="D939">
        <v>52164</v>
      </c>
      <c r="E939">
        <v>4</v>
      </c>
      <c r="F939">
        <f t="shared" si="42"/>
        <v>2024</v>
      </c>
      <c r="G939">
        <f t="shared" si="43"/>
        <v>8</v>
      </c>
      <c r="H939" t="str">
        <f t="shared" si="44"/>
        <v>2024-8</v>
      </c>
    </row>
    <row r="940" spans="1:8" x14ac:dyDescent="0.25">
      <c r="A940" t="s">
        <v>21</v>
      </c>
      <c r="B940" t="s">
        <v>160</v>
      </c>
      <c r="C940" t="s">
        <v>436</v>
      </c>
      <c r="D940">
        <v>68247</v>
      </c>
      <c r="E940">
        <v>1</v>
      </c>
      <c r="F940">
        <f t="shared" si="42"/>
        <v>2024</v>
      </c>
      <c r="G940">
        <f t="shared" si="43"/>
        <v>8</v>
      </c>
      <c r="H940" t="str">
        <f t="shared" si="44"/>
        <v>2024-8</v>
      </c>
    </row>
    <row r="941" spans="1:8" x14ac:dyDescent="0.25">
      <c r="A941" t="s">
        <v>38</v>
      </c>
      <c r="B941" t="s">
        <v>340</v>
      </c>
      <c r="C941" t="s">
        <v>437</v>
      </c>
      <c r="D941">
        <v>29703</v>
      </c>
      <c r="E941">
        <v>6</v>
      </c>
      <c r="F941">
        <f t="shared" si="42"/>
        <v>2024</v>
      </c>
      <c r="G941">
        <f t="shared" si="43"/>
        <v>8</v>
      </c>
      <c r="H941" t="str">
        <f t="shared" si="44"/>
        <v>2024-8</v>
      </c>
    </row>
    <row r="942" spans="1:8" x14ac:dyDescent="0.25">
      <c r="A942" t="s">
        <v>43</v>
      </c>
      <c r="B942" t="s">
        <v>22</v>
      </c>
      <c r="C942" t="s">
        <v>437</v>
      </c>
      <c r="D942">
        <v>22968</v>
      </c>
      <c r="E942">
        <v>10</v>
      </c>
      <c r="F942">
        <f t="shared" si="42"/>
        <v>2024</v>
      </c>
      <c r="G942">
        <f t="shared" si="43"/>
        <v>8</v>
      </c>
      <c r="H942" t="str">
        <f t="shared" si="44"/>
        <v>2024-8</v>
      </c>
    </row>
    <row r="943" spans="1:8" x14ac:dyDescent="0.25">
      <c r="A943" t="s">
        <v>43</v>
      </c>
      <c r="B943" t="s">
        <v>106</v>
      </c>
      <c r="C943" t="s">
        <v>438</v>
      </c>
      <c r="D943">
        <v>18814</v>
      </c>
      <c r="E943">
        <v>7</v>
      </c>
      <c r="F943">
        <f t="shared" si="42"/>
        <v>2024</v>
      </c>
      <c r="G943">
        <f t="shared" si="43"/>
        <v>8</v>
      </c>
      <c r="H943" t="str">
        <f t="shared" si="44"/>
        <v>2024-8</v>
      </c>
    </row>
    <row r="944" spans="1:8" x14ac:dyDescent="0.25">
      <c r="A944" t="s">
        <v>8</v>
      </c>
      <c r="B944" t="s">
        <v>27</v>
      </c>
      <c r="C944" t="s">
        <v>438</v>
      </c>
      <c r="D944">
        <v>62969</v>
      </c>
      <c r="E944">
        <v>6</v>
      </c>
      <c r="F944">
        <f t="shared" si="42"/>
        <v>2024</v>
      </c>
      <c r="G944">
        <f t="shared" si="43"/>
        <v>8</v>
      </c>
      <c r="H944" t="str">
        <f t="shared" si="44"/>
        <v>2024-8</v>
      </c>
    </row>
    <row r="945" spans="1:8" x14ac:dyDescent="0.25">
      <c r="A945" t="s">
        <v>11</v>
      </c>
      <c r="B945" t="s">
        <v>211</v>
      </c>
      <c r="C945" t="s">
        <v>438</v>
      </c>
      <c r="D945">
        <v>17799</v>
      </c>
      <c r="E945">
        <v>1</v>
      </c>
      <c r="F945">
        <f t="shared" si="42"/>
        <v>2024</v>
      </c>
      <c r="G945">
        <f t="shared" si="43"/>
        <v>8</v>
      </c>
      <c r="H945" t="str">
        <f t="shared" si="44"/>
        <v>2024-8</v>
      </c>
    </row>
    <row r="946" spans="1:8" x14ac:dyDescent="0.25">
      <c r="A946" t="s">
        <v>21</v>
      </c>
      <c r="B946" t="s">
        <v>274</v>
      </c>
      <c r="C946" t="s">
        <v>438</v>
      </c>
      <c r="D946">
        <v>69433</v>
      </c>
      <c r="E946">
        <v>6</v>
      </c>
      <c r="F946">
        <f t="shared" si="42"/>
        <v>2024</v>
      </c>
      <c r="G946">
        <f t="shared" si="43"/>
        <v>8</v>
      </c>
      <c r="H946" t="str">
        <f t="shared" si="44"/>
        <v>2024-8</v>
      </c>
    </row>
    <row r="947" spans="1:8" x14ac:dyDescent="0.25">
      <c r="A947" t="s">
        <v>55</v>
      </c>
      <c r="B947" t="s">
        <v>76</v>
      </c>
      <c r="C947" t="s">
        <v>439</v>
      </c>
      <c r="D947">
        <v>41080</v>
      </c>
      <c r="E947">
        <v>6</v>
      </c>
      <c r="F947">
        <f t="shared" si="42"/>
        <v>2024</v>
      </c>
      <c r="G947">
        <f t="shared" si="43"/>
        <v>8</v>
      </c>
      <c r="H947" t="str">
        <f t="shared" si="44"/>
        <v>2024-8</v>
      </c>
    </row>
    <row r="948" spans="1:8" x14ac:dyDescent="0.25">
      <c r="A948" t="s">
        <v>8</v>
      </c>
      <c r="B948" t="s">
        <v>94</v>
      </c>
      <c r="C948" t="s">
        <v>439</v>
      </c>
      <c r="D948">
        <v>47123</v>
      </c>
      <c r="E948">
        <v>6</v>
      </c>
      <c r="F948">
        <f t="shared" si="42"/>
        <v>2024</v>
      </c>
      <c r="G948">
        <f t="shared" si="43"/>
        <v>8</v>
      </c>
      <c r="H948" t="str">
        <f t="shared" si="44"/>
        <v>2024-8</v>
      </c>
    </row>
    <row r="949" spans="1:8" x14ac:dyDescent="0.25">
      <c r="A949" t="s">
        <v>29</v>
      </c>
      <c r="B949" t="s">
        <v>255</v>
      </c>
      <c r="C949" t="s">
        <v>439</v>
      </c>
      <c r="D949">
        <v>65024</v>
      </c>
      <c r="E949">
        <v>10</v>
      </c>
      <c r="F949">
        <f t="shared" si="42"/>
        <v>2024</v>
      </c>
      <c r="G949">
        <f t="shared" si="43"/>
        <v>8</v>
      </c>
      <c r="H949" t="str">
        <f t="shared" si="44"/>
        <v>2024-8</v>
      </c>
    </row>
    <row r="950" spans="1:8" x14ac:dyDescent="0.25">
      <c r="A950" t="s">
        <v>38</v>
      </c>
      <c r="B950" t="s">
        <v>187</v>
      </c>
      <c r="C950" t="s">
        <v>439</v>
      </c>
      <c r="D950">
        <v>63773</v>
      </c>
      <c r="E950">
        <v>9</v>
      </c>
      <c r="F950">
        <f t="shared" si="42"/>
        <v>2024</v>
      </c>
      <c r="G950">
        <f t="shared" si="43"/>
        <v>8</v>
      </c>
      <c r="H950" t="str">
        <f t="shared" si="44"/>
        <v>2024-8</v>
      </c>
    </row>
    <row r="951" spans="1:8" x14ac:dyDescent="0.25">
      <c r="A951" t="s">
        <v>13</v>
      </c>
      <c r="B951" t="s">
        <v>92</v>
      </c>
      <c r="C951" t="s">
        <v>439</v>
      </c>
      <c r="D951">
        <v>83133</v>
      </c>
      <c r="E951">
        <v>2</v>
      </c>
      <c r="F951">
        <f t="shared" si="42"/>
        <v>2024</v>
      </c>
      <c r="G951">
        <f t="shared" si="43"/>
        <v>8</v>
      </c>
      <c r="H951" t="str">
        <f t="shared" si="44"/>
        <v>2024-8</v>
      </c>
    </row>
    <row r="952" spans="1:8" x14ac:dyDescent="0.25">
      <c r="A952" t="s">
        <v>11</v>
      </c>
      <c r="B952" t="s">
        <v>172</v>
      </c>
      <c r="C952" t="s">
        <v>439</v>
      </c>
      <c r="D952">
        <v>41071</v>
      </c>
      <c r="E952">
        <v>7</v>
      </c>
      <c r="F952">
        <f t="shared" si="42"/>
        <v>2024</v>
      </c>
      <c r="G952">
        <f t="shared" si="43"/>
        <v>8</v>
      </c>
      <c r="H952" t="str">
        <f t="shared" si="44"/>
        <v>2024-8</v>
      </c>
    </row>
    <row r="953" spans="1:8" x14ac:dyDescent="0.25">
      <c r="A953" t="s">
        <v>11</v>
      </c>
      <c r="B953" t="s">
        <v>178</v>
      </c>
      <c r="C953" t="s">
        <v>439</v>
      </c>
      <c r="D953">
        <v>52804</v>
      </c>
      <c r="E953">
        <v>5</v>
      </c>
      <c r="F953">
        <f t="shared" si="42"/>
        <v>2024</v>
      </c>
      <c r="G953">
        <f t="shared" si="43"/>
        <v>8</v>
      </c>
      <c r="H953" t="str">
        <f t="shared" si="44"/>
        <v>2024-8</v>
      </c>
    </row>
    <row r="954" spans="1:8" x14ac:dyDescent="0.25">
      <c r="A954" t="s">
        <v>16</v>
      </c>
      <c r="B954" t="s">
        <v>123</v>
      </c>
      <c r="C954" t="s">
        <v>439</v>
      </c>
      <c r="D954">
        <v>31521</v>
      </c>
      <c r="E954">
        <v>8</v>
      </c>
      <c r="F954">
        <f t="shared" si="42"/>
        <v>2024</v>
      </c>
      <c r="G954">
        <f t="shared" si="43"/>
        <v>8</v>
      </c>
      <c r="H954" t="str">
        <f t="shared" si="44"/>
        <v>2024-8</v>
      </c>
    </row>
    <row r="955" spans="1:8" x14ac:dyDescent="0.25">
      <c r="A955" t="s">
        <v>11</v>
      </c>
      <c r="B955" t="s">
        <v>75</v>
      </c>
      <c r="C955" t="s">
        <v>440</v>
      </c>
      <c r="D955">
        <v>44408</v>
      </c>
      <c r="E955">
        <v>5</v>
      </c>
      <c r="F955">
        <f t="shared" si="42"/>
        <v>2024</v>
      </c>
      <c r="G955">
        <f t="shared" si="43"/>
        <v>8</v>
      </c>
      <c r="H955" t="str">
        <f t="shared" si="44"/>
        <v>2024-8</v>
      </c>
    </row>
    <row r="956" spans="1:8" x14ac:dyDescent="0.25">
      <c r="A956" t="s">
        <v>11</v>
      </c>
      <c r="B956" t="s">
        <v>217</v>
      </c>
      <c r="C956" t="s">
        <v>440</v>
      </c>
      <c r="D956">
        <v>11698</v>
      </c>
      <c r="E956">
        <v>4</v>
      </c>
      <c r="F956">
        <f t="shared" si="42"/>
        <v>2024</v>
      </c>
      <c r="G956">
        <f t="shared" si="43"/>
        <v>8</v>
      </c>
      <c r="H956" t="str">
        <f t="shared" si="44"/>
        <v>2024-8</v>
      </c>
    </row>
    <row r="957" spans="1:8" x14ac:dyDescent="0.25">
      <c r="A957" t="s">
        <v>16</v>
      </c>
      <c r="B957" t="s">
        <v>143</v>
      </c>
      <c r="C957" t="s">
        <v>441</v>
      </c>
      <c r="D957">
        <v>10319</v>
      </c>
      <c r="E957">
        <v>7</v>
      </c>
      <c r="F957">
        <f t="shared" si="42"/>
        <v>2024</v>
      </c>
      <c r="G957">
        <f t="shared" si="43"/>
        <v>8</v>
      </c>
      <c r="H957" t="str">
        <f t="shared" si="44"/>
        <v>2024-8</v>
      </c>
    </row>
    <row r="958" spans="1:8" x14ac:dyDescent="0.25">
      <c r="A958" t="s">
        <v>19</v>
      </c>
      <c r="B958" t="s">
        <v>58</v>
      </c>
      <c r="C958" t="s">
        <v>441</v>
      </c>
      <c r="D958">
        <v>35164</v>
      </c>
      <c r="E958">
        <v>6</v>
      </c>
      <c r="F958">
        <f t="shared" si="42"/>
        <v>2024</v>
      </c>
      <c r="G958">
        <f t="shared" si="43"/>
        <v>8</v>
      </c>
      <c r="H958" t="str">
        <f t="shared" si="44"/>
        <v>2024-8</v>
      </c>
    </row>
    <row r="959" spans="1:8" x14ac:dyDescent="0.25">
      <c r="A959" t="s">
        <v>19</v>
      </c>
      <c r="B959" t="s">
        <v>442</v>
      </c>
      <c r="C959" t="s">
        <v>443</v>
      </c>
      <c r="D959">
        <v>12003</v>
      </c>
      <c r="E959">
        <v>6</v>
      </c>
      <c r="F959">
        <f t="shared" si="42"/>
        <v>2024</v>
      </c>
      <c r="G959">
        <f t="shared" si="43"/>
        <v>8</v>
      </c>
      <c r="H959" t="str">
        <f t="shared" si="44"/>
        <v>2024-8</v>
      </c>
    </row>
    <row r="960" spans="1:8" x14ac:dyDescent="0.25">
      <c r="A960" t="s">
        <v>21</v>
      </c>
      <c r="B960" t="s">
        <v>33</v>
      </c>
      <c r="C960" t="s">
        <v>443</v>
      </c>
      <c r="D960">
        <v>74158</v>
      </c>
      <c r="E960">
        <v>7</v>
      </c>
      <c r="F960">
        <f t="shared" si="42"/>
        <v>2024</v>
      </c>
      <c r="G960">
        <f t="shared" si="43"/>
        <v>8</v>
      </c>
      <c r="H960" t="str">
        <f t="shared" si="44"/>
        <v>2024-8</v>
      </c>
    </row>
    <row r="961" spans="1:8" x14ac:dyDescent="0.25">
      <c r="A961" t="s">
        <v>13</v>
      </c>
      <c r="B961" t="s">
        <v>88</v>
      </c>
      <c r="C961" t="s">
        <v>443</v>
      </c>
      <c r="D961">
        <v>59187</v>
      </c>
      <c r="E961">
        <v>3</v>
      </c>
      <c r="F961">
        <f t="shared" si="42"/>
        <v>2024</v>
      </c>
      <c r="G961">
        <f t="shared" si="43"/>
        <v>8</v>
      </c>
      <c r="H961" t="str">
        <f t="shared" si="44"/>
        <v>2024-8</v>
      </c>
    </row>
    <row r="962" spans="1:8" x14ac:dyDescent="0.25">
      <c r="A962" t="s">
        <v>21</v>
      </c>
      <c r="B962" t="s">
        <v>88</v>
      </c>
      <c r="C962" t="s">
        <v>444</v>
      </c>
      <c r="D962">
        <v>94198</v>
      </c>
      <c r="E962">
        <v>6</v>
      </c>
      <c r="F962">
        <f t="shared" si="42"/>
        <v>2024</v>
      </c>
      <c r="G962">
        <f t="shared" si="43"/>
        <v>8</v>
      </c>
      <c r="H962" t="str">
        <f t="shared" si="44"/>
        <v>2024-8</v>
      </c>
    </row>
    <row r="963" spans="1:8" x14ac:dyDescent="0.25">
      <c r="A963" t="s">
        <v>11</v>
      </c>
      <c r="B963" t="s">
        <v>248</v>
      </c>
      <c r="C963" t="s">
        <v>444</v>
      </c>
      <c r="D963">
        <v>67764</v>
      </c>
      <c r="E963">
        <v>5</v>
      </c>
      <c r="F963">
        <f t="shared" ref="F963:F1001" si="45">YEAR(C963)</f>
        <v>2024</v>
      </c>
      <c r="G963">
        <f t="shared" ref="G963:G1001" si="46">MONTH(C963)</f>
        <v>8</v>
      </c>
      <c r="H963" t="str">
        <f t="shared" ref="H963:H1001" si="47">F963&amp;"-"&amp;G963</f>
        <v>2024-8</v>
      </c>
    </row>
    <row r="964" spans="1:8" x14ac:dyDescent="0.25">
      <c r="A964" t="s">
        <v>29</v>
      </c>
      <c r="B964" t="s">
        <v>370</v>
      </c>
      <c r="C964" t="s">
        <v>444</v>
      </c>
      <c r="D964">
        <v>83424</v>
      </c>
      <c r="E964">
        <v>5</v>
      </c>
      <c r="F964">
        <f t="shared" si="45"/>
        <v>2024</v>
      </c>
      <c r="G964">
        <f t="shared" si="46"/>
        <v>8</v>
      </c>
      <c r="H964" t="str">
        <f t="shared" si="47"/>
        <v>2024-8</v>
      </c>
    </row>
    <row r="965" spans="1:8" x14ac:dyDescent="0.25">
      <c r="A965" t="s">
        <v>29</v>
      </c>
      <c r="B965" t="s">
        <v>74</v>
      </c>
      <c r="C965" t="s">
        <v>445</v>
      </c>
      <c r="D965">
        <v>17760</v>
      </c>
      <c r="E965">
        <v>7</v>
      </c>
      <c r="F965">
        <f t="shared" si="45"/>
        <v>2024</v>
      </c>
      <c r="G965">
        <f t="shared" si="46"/>
        <v>8</v>
      </c>
      <c r="H965" t="str">
        <f t="shared" si="47"/>
        <v>2024-8</v>
      </c>
    </row>
    <row r="966" spans="1:8" x14ac:dyDescent="0.25">
      <c r="A966" t="s">
        <v>11</v>
      </c>
      <c r="B966" t="s">
        <v>114</v>
      </c>
      <c r="C966" t="s">
        <v>445</v>
      </c>
      <c r="D966">
        <v>95074</v>
      </c>
      <c r="E966">
        <v>4</v>
      </c>
      <c r="F966">
        <f t="shared" si="45"/>
        <v>2024</v>
      </c>
      <c r="G966">
        <f t="shared" si="46"/>
        <v>8</v>
      </c>
      <c r="H966" t="str">
        <f t="shared" si="47"/>
        <v>2024-8</v>
      </c>
    </row>
    <row r="967" spans="1:8" x14ac:dyDescent="0.25">
      <c r="A967" t="s">
        <v>16</v>
      </c>
      <c r="B967" t="s">
        <v>326</v>
      </c>
      <c r="C967" t="s">
        <v>445</v>
      </c>
      <c r="D967">
        <v>72423</v>
      </c>
      <c r="E967">
        <v>7</v>
      </c>
      <c r="F967">
        <f t="shared" si="45"/>
        <v>2024</v>
      </c>
      <c r="G967">
        <f t="shared" si="46"/>
        <v>8</v>
      </c>
      <c r="H967" t="str">
        <f t="shared" si="47"/>
        <v>2024-8</v>
      </c>
    </row>
    <row r="968" spans="1:8" x14ac:dyDescent="0.25">
      <c r="A968" t="s">
        <v>29</v>
      </c>
      <c r="B968" t="s">
        <v>220</v>
      </c>
      <c r="C968" t="s">
        <v>445</v>
      </c>
      <c r="D968">
        <v>16842</v>
      </c>
      <c r="E968">
        <v>5</v>
      </c>
      <c r="F968">
        <f t="shared" si="45"/>
        <v>2024</v>
      </c>
      <c r="G968">
        <f t="shared" si="46"/>
        <v>8</v>
      </c>
      <c r="H968" t="str">
        <f t="shared" si="47"/>
        <v>2024-8</v>
      </c>
    </row>
    <row r="969" spans="1:8" x14ac:dyDescent="0.25">
      <c r="A969" t="s">
        <v>19</v>
      </c>
      <c r="B969" t="s">
        <v>138</v>
      </c>
      <c r="C969" t="s">
        <v>445</v>
      </c>
      <c r="D969">
        <v>77861</v>
      </c>
      <c r="E969">
        <v>10</v>
      </c>
      <c r="F969">
        <f t="shared" si="45"/>
        <v>2024</v>
      </c>
      <c r="G969">
        <f t="shared" si="46"/>
        <v>8</v>
      </c>
      <c r="H969" t="str">
        <f t="shared" si="47"/>
        <v>2024-8</v>
      </c>
    </row>
    <row r="970" spans="1:8" x14ac:dyDescent="0.25">
      <c r="A970" t="s">
        <v>16</v>
      </c>
      <c r="B970" t="s">
        <v>96</v>
      </c>
      <c r="C970" t="s">
        <v>445</v>
      </c>
      <c r="D970">
        <v>41523</v>
      </c>
      <c r="E970">
        <v>6</v>
      </c>
      <c r="F970">
        <f t="shared" si="45"/>
        <v>2024</v>
      </c>
      <c r="G970">
        <f t="shared" si="46"/>
        <v>8</v>
      </c>
      <c r="H970" t="str">
        <f t="shared" si="47"/>
        <v>2024-8</v>
      </c>
    </row>
    <row r="971" spans="1:8" x14ac:dyDescent="0.25">
      <c r="A971" t="s">
        <v>21</v>
      </c>
      <c r="B971" t="s">
        <v>25</v>
      </c>
      <c r="C971" t="s">
        <v>445</v>
      </c>
      <c r="D971">
        <v>25071</v>
      </c>
      <c r="E971">
        <v>8</v>
      </c>
      <c r="F971">
        <f t="shared" si="45"/>
        <v>2024</v>
      </c>
      <c r="G971">
        <f t="shared" si="46"/>
        <v>8</v>
      </c>
      <c r="H971" t="str">
        <f t="shared" si="47"/>
        <v>2024-8</v>
      </c>
    </row>
    <row r="972" spans="1:8" x14ac:dyDescent="0.25">
      <c r="A972" t="s">
        <v>5</v>
      </c>
      <c r="B972" t="s">
        <v>410</v>
      </c>
      <c r="C972" t="s">
        <v>445</v>
      </c>
      <c r="D972">
        <v>53715</v>
      </c>
      <c r="E972">
        <v>3</v>
      </c>
      <c r="F972">
        <f t="shared" si="45"/>
        <v>2024</v>
      </c>
      <c r="G972">
        <f t="shared" si="46"/>
        <v>8</v>
      </c>
      <c r="H972" t="str">
        <f t="shared" si="47"/>
        <v>2024-8</v>
      </c>
    </row>
    <row r="973" spans="1:8" x14ac:dyDescent="0.25">
      <c r="A973" t="s">
        <v>5</v>
      </c>
      <c r="B973" t="s">
        <v>165</v>
      </c>
      <c r="C973" t="s">
        <v>445</v>
      </c>
      <c r="D973">
        <v>60546</v>
      </c>
      <c r="E973">
        <v>3</v>
      </c>
      <c r="F973">
        <f t="shared" si="45"/>
        <v>2024</v>
      </c>
      <c r="G973">
        <f t="shared" si="46"/>
        <v>8</v>
      </c>
      <c r="H973" t="str">
        <f t="shared" si="47"/>
        <v>2024-8</v>
      </c>
    </row>
    <row r="974" spans="1:8" x14ac:dyDescent="0.25">
      <c r="A974" t="s">
        <v>8</v>
      </c>
      <c r="B974" t="s">
        <v>411</v>
      </c>
      <c r="C974" t="s">
        <v>445</v>
      </c>
      <c r="D974">
        <v>13550</v>
      </c>
      <c r="E974">
        <v>4</v>
      </c>
      <c r="F974">
        <f t="shared" si="45"/>
        <v>2024</v>
      </c>
      <c r="G974">
        <f t="shared" si="46"/>
        <v>8</v>
      </c>
      <c r="H974" t="str">
        <f t="shared" si="47"/>
        <v>2024-8</v>
      </c>
    </row>
    <row r="975" spans="1:8" x14ac:dyDescent="0.25">
      <c r="A975" t="s">
        <v>13</v>
      </c>
      <c r="B975" t="s">
        <v>362</v>
      </c>
      <c r="C975" t="s">
        <v>446</v>
      </c>
      <c r="D975">
        <v>71304</v>
      </c>
      <c r="E975">
        <v>0</v>
      </c>
      <c r="F975">
        <f t="shared" si="45"/>
        <v>2024</v>
      </c>
      <c r="G975">
        <f t="shared" si="46"/>
        <v>8</v>
      </c>
      <c r="H975" t="str">
        <f t="shared" si="47"/>
        <v>2024-8</v>
      </c>
    </row>
    <row r="976" spans="1:8" x14ac:dyDescent="0.25">
      <c r="A976" t="s">
        <v>13</v>
      </c>
      <c r="B976" t="s">
        <v>135</v>
      </c>
      <c r="C976" t="s">
        <v>446</v>
      </c>
      <c r="D976">
        <v>13609</v>
      </c>
      <c r="E976">
        <v>9</v>
      </c>
      <c r="F976">
        <f t="shared" si="45"/>
        <v>2024</v>
      </c>
      <c r="G976">
        <f t="shared" si="46"/>
        <v>8</v>
      </c>
      <c r="H976" t="str">
        <f t="shared" si="47"/>
        <v>2024-8</v>
      </c>
    </row>
    <row r="977" spans="1:8" x14ac:dyDescent="0.25">
      <c r="A977" t="s">
        <v>16</v>
      </c>
      <c r="B977" t="s">
        <v>6</v>
      </c>
      <c r="C977" t="s">
        <v>447</v>
      </c>
      <c r="D977">
        <v>34530</v>
      </c>
      <c r="E977">
        <v>1</v>
      </c>
      <c r="F977">
        <f t="shared" si="45"/>
        <v>2024</v>
      </c>
      <c r="G977">
        <f t="shared" si="46"/>
        <v>8</v>
      </c>
      <c r="H977" t="str">
        <f t="shared" si="47"/>
        <v>2024-8</v>
      </c>
    </row>
    <row r="978" spans="1:8" x14ac:dyDescent="0.25">
      <c r="A978" t="s">
        <v>43</v>
      </c>
      <c r="B978" t="s">
        <v>362</v>
      </c>
      <c r="C978" t="s">
        <v>447</v>
      </c>
      <c r="D978">
        <v>77118</v>
      </c>
      <c r="E978">
        <v>8</v>
      </c>
      <c r="F978">
        <f t="shared" si="45"/>
        <v>2024</v>
      </c>
      <c r="G978">
        <f t="shared" si="46"/>
        <v>8</v>
      </c>
      <c r="H978" t="str">
        <f t="shared" si="47"/>
        <v>2024-8</v>
      </c>
    </row>
    <row r="979" spans="1:8" x14ac:dyDescent="0.25">
      <c r="A979" t="s">
        <v>8</v>
      </c>
      <c r="B979" t="s">
        <v>14</v>
      </c>
      <c r="C979" t="s">
        <v>447</v>
      </c>
      <c r="D979">
        <v>52830</v>
      </c>
      <c r="E979">
        <v>7</v>
      </c>
      <c r="F979">
        <f t="shared" si="45"/>
        <v>2024</v>
      </c>
      <c r="G979">
        <f t="shared" si="46"/>
        <v>8</v>
      </c>
      <c r="H979" t="str">
        <f t="shared" si="47"/>
        <v>2024-8</v>
      </c>
    </row>
    <row r="980" spans="1:8" x14ac:dyDescent="0.25">
      <c r="A980" t="s">
        <v>26</v>
      </c>
      <c r="B980" t="s">
        <v>267</v>
      </c>
      <c r="C980" t="s">
        <v>448</v>
      </c>
      <c r="D980">
        <v>66722</v>
      </c>
      <c r="E980">
        <v>4</v>
      </c>
      <c r="F980">
        <f t="shared" si="45"/>
        <v>2024</v>
      </c>
      <c r="G980">
        <f t="shared" si="46"/>
        <v>8</v>
      </c>
      <c r="H980" t="str">
        <f t="shared" si="47"/>
        <v>2024-8</v>
      </c>
    </row>
    <row r="981" spans="1:8" x14ac:dyDescent="0.25">
      <c r="A981" t="s">
        <v>11</v>
      </c>
      <c r="B981" t="s">
        <v>392</v>
      </c>
      <c r="C981" t="s">
        <v>449</v>
      </c>
      <c r="D981">
        <v>97653</v>
      </c>
      <c r="E981">
        <v>10</v>
      </c>
      <c r="F981">
        <f t="shared" si="45"/>
        <v>2024</v>
      </c>
      <c r="G981">
        <f t="shared" si="46"/>
        <v>8</v>
      </c>
      <c r="H981" t="str">
        <f t="shared" si="47"/>
        <v>2024-8</v>
      </c>
    </row>
    <row r="982" spans="1:8" x14ac:dyDescent="0.25">
      <c r="A982" t="s">
        <v>38</v>
      </c>
      <c r="B982" t="s">
        <v>88</v>
      </c>
      <c r="C982" t="s">
        <v>449</v>
      </c>
      <c r="D982">
        <v>82820</v>
      </c>
      <c r="E982">
        <v>10</v>
      </c>
      <c r="F982">
        <f t="shared" si="45"/>
        <v>2024</v>
      </c>
      <c r="G982">
        <f t="shared" si="46"/>
        <v>8</v>
      </c>
      <c r="H982" t="str">
        <f t="shared" si="47"/>
        <v>2024-8</v>
      </c>
    </row>
    <row r="983" spans="1:8" x14ac:dyDescent="0.25">
      <c r="A983" t="s">
        <v>55</v>
      </c>
      <c r="B983" t="s">
        <v>169</v>
      </c>
      <c r="C983" t="s">
        <v>449</v>
      </c>
      <c r="D983">
        <v>36206</v>
      </c>
      <c r="E983">
        <v>6</v>
      </c>
      <c r="F983">
        <f t="shared" si="45"/>
        <v>2024</v>
      </c>
      <c r="G983">
        <f t="shared" si="46"/>
        <v>8</v>
      </c>
      <c r="H983" t="str">
        <f t="shared" si="47"/>
        <v>2024-8</v>
      </c>
    </row>
    <row r="984" spans="1:8" x14ac:dyDescent="0.25">
      <c r="A984" t="s">
        <v>29</v>
      </c>
      <c r="B984" t="s">
        <v>154</v>
      </c>
      <c r="C984" t="s">
        <v>449</v>
      </c>
      <c r="D984">
        <v>63624</v>
      </c>
      <c r="E984">
        <v>7</v>
      </c>
      <c r="F984">
        <f t="shared" si="45"/>
        <v>2024</v>
      </c>
      <c r="G984">
        <f t="shared" si="46"/>
        <v>8</v>
      </c>
      <c r="H984" t="str">
        <f t="shared" si="47"/>
        <v>2024-8</v>
      </c>
    </row>
    <row r="985" spans="1:8" x14ac:dyDescent="0.25">
      <c r="A985" t="s">
        <v>29</v>
      </c>
      <c r="B985" t="s">
        <v>311</v>
      </c>
      <c r="C985" t="s">
        <v>449</v>
      </c>
      <c r="D985">
        <v>67540</v>
      </c>
      <c r="E985">
        <v>4</v>
      </c>
      <c r="F985">
        <f t="shared" si="45"/>
        <v>2024</v>
      </c>
      <c r="G985">
        <f t="shared" si="46"/>
        <v>8</v>
      </c>
      <c r="H985" t="str">
        <f t="shared" si="47"/>
        <v>2024-8</v>
      </c>
    </row>
    <row r="986" spans="1:8" x14ac:dyDescent="0.25">
      <c r="A986" t="s">
        <v>13</v>
      </c>
      <c r="B986" t="s">
        <v>65</v>
      </c>
      <c r="C986" t="s">
        <v>450</v>
      </c>
      <c r="D986">
        <v>68501</v>
      </c>
      <c r="E986">
        <v>8</v>
      </c>
      <c r="F986">
        <f t="shared" si="45"/>
        <v>2024</v>
      </c>
      <c r="G986">
        <f t="shared" si="46"/>
        <v>8</v>
      </c>
      <c r="H986" t="str">
        <f t="shared" si="47"/>
        <v>2024-8</v>
      </c>
    </row>
    <row r="987" spans="1:8" x14ac:dyDescent="0.25">
      <c r="A987" t="s">
        <v>29</v>
      </c>
      <c r="B987" t="s">
        <v>305</v>
      </c>
      <c r="C987" t="s">
        <v>451</v>
      </c>
      <c r="D987">
        <v>10549</v>
      </c>
      <c r="E987">
        <v>9</v>
      </c>
      <c r="F987">
        <f t="shared" si="45"/>
        <v>2024</v>
      </c>
      <c r="G987">
        <f t="shared" si="46"/>
        <v>8</v>
      </c>
      <c r="H987" t="str">
        <f t="shared" si="47"/>
        <v>2024-8</v>
      </c>
    </row>
    <row r="988" spans="1:8" x14ac:dyDescent="0.25">
      <c r="A988" t="s">
        <v>16</v>
      </c>
      <c r="B988" t="s">
        <v>98</v>
      </c>
      <c r="C988" t="s">
        <v>451</v>
      </c>
      <c r="D988">
        <v>72507</v>
      </c>
      <c r="E988">
        <v>7</v>
      </c>
      <c r="F988">
        <f t="shared" si="45"/>
        <v>2024</v>
      </c>
      <c r="G988">
        <f t="shared" si="46"/>
        <v>8</v>
      </c>
      <c r="H988" t="str">
        <f t="shared" si="47"/>
        <v>2024-8</v>
      </c>
    </row>
    <row r="989" spans="1:8" x14ac:dyDescent="0.25">
      <c r="A989" t="s">
        <v>21</v>
      </c>
      <c r="B989" t="s">
        <v>72</v>
      </c>
      <c r="C989" t="s">
        <v>451</v>
      </c>
      <c r="D989">
        <v>77004</v>
      </c>
      <c r="E989">
        <v>3</v>
      </c>
      <c r="F989">
        <f t="shared" si="45"/>
        <v>2024</v>
      </c>
      <c r="G989">
        <f t="shared" si="46"/>
        <v>8</v>
      </c>
      <c r="H989" t="str">
        <f t="shared" si="47"/>
        <v>2024-8</v>
      </c>
    </row>
    <row r="990" spans="1:8" x14ac:dyDescent="0.25">
      <c r="A990" t="s">
        <v>55</v>
      </c>
      <c r="B990" t="s">
        <v>178</v>
      </c>
      <c r="C990" t="s">
        <v>452</v>
      </c>
      <c r="D990">
        <v>90271</v>
      </c>
      <c r="E990">
        <v>9</v>
      </c>
      <c r="F990">
        <f t="shared" si="45"/>
        <v>2024</v>
      </c>
      <c r="G990">
        <f t="shared" si="46"/>
        <v>8</v>
      </c>
      <c r="H990" t="str">
        <f t="shared" si="47"/>
        <v>2024-8</v>
      </c>
    </row>
    <row r="991" spans="1:8" x14ac:dyDescent="0.25">
      <c r="A991" t="s">
        <v>19</v>
      </c>
      <c r="B991" t="s">
        <v>129</v>
      </c>
      <c r="C991" t="s">
        <v>452</v>
      </c>
      <c r="D991">
        <v>35544</v>
      </c>
      <c r="E991">
        <v>7</v>
      </c>
      <c r="F991">
        <f t="shared" si="45"/>
        <v>2024</v>
      </c>
      <c r="G991">
        <f t="shared" si="46"/>
        <v>8</v>
      </c>
      <c r="H991" t="str">
        <f t="shared" si="47"/>
        <v>2024-8</v>
      </c>
    </row>
    <row r="992" spans="1:8" x14ac:dyDescent="0.25">
      <c r="A992" t="s">
        <v>21</v>
      </c>
      <c r="B992" t="s">
        <v>370</v>
      </c>
      <c r="C992" t="s">
        <v>452</v>
      </c>
      <c r="D992">
        <v>97270</v>
      </c>
      <c r="E992">
        <v>7</v>
      </c>
      <c r="F992">
        <f t="shared" si="45"/>
        <v>2024</v>
      </c>
      <c r="G992">
        <f t="shared" si="46"/>
        <v>8</v>
      </c>
      <c r="H992" t="str">
        <f t="shared" si="47"/>
        <v>2024-8</v>
      </c>
    </row>
    <row r="993" spans="1:8" x14ac:dyDescent="0.25">
      <c r="A993" t="s">
        <v>8</v>
      </c>
      <c r="B993" t="s">
        <v>234</v>
      </c>
      <c r="C993" t="s">
        <v>452</v>
      </c>
      <c r="D993">
        <v>22863</v>
      </c>
      <c r="E993">
        <v>6</v>
      </c>
      <c r="F993">
        <f t="shared" si="45"/>
        <v>2024</v>
      </c>
      <c r="G993">
        <f t="shared" si="46"/>
        <v>8</v>
      </c>
      <c r="H993" t="str">
        <f t="shared" si="47"/>
        <v>2024-8</v>
      </c>
    </row>
    <row r="994" spans="1:8" x14ac:dyDescent="0.25">
      <c r="A994" t="s">
        <v>13</v>
      </c>
      <c r="B994" t="s">
        <v>65</v>
      </c>
      <c r="C994" t="s">
        <v>452</v>
      </c>
      <c r="D994">
        <v>18870</v>
      </c>
      <c r="E994">
        <v>4</v>
      </c>
      <c r="F994">
        <f t="shared" si="45"/>
        <v>2024</v>
      </c>
      <c r="G994">
        <f t="shared" si="46"/>
        <v>8</v>
      </c>
      <c r="H994" t="str">
        <f t="shared" si="47"/>
        <v>2024-8</v>
      </c>
    </row>
    <row r="995" spans="1:8" x14ac:dyDescent="0.25">
      <c r="A995" t="s">
        <v>21</v>
      </c>
      <c r="B995" t="s">
        <v>188</v>
      </c>
      <c r="C995" t="s">
        <v>453</v>
      </c>
      <c r="D995">
        <v>33507</v>
      </c>
      <c r="E995">
        <v>3</v>
      </c>
      <c r="F995">
        <f t="shared" si="45"/>
        <v>2024</v>
      </c>
      <c r="G995">
        <f t="shared" si="46"/>
        <v>8</v>
      </c>
      <c r="H995" t="str">
        <f t="shared" si="47"/>
        <v>2024-8</v>
      </c>
    </row>
    <row r="996" spans="1:8" x14ac:dyDescent="0.25">
      <c r="A996" t="s">
        <v>16</v>
      </c>
      <c r="B996" t="s">
        <v>50</v>
      </c>
      <c r="C996" t="s">
        <v>453</v>
      </c>
      <c r="D996">
        <v>94481</v>
      </c>
      <c r="E996">
        <v>7</v>
      </c>
      <c r="F996">
        <f t="shared" si="45"/>
        <v>2024</v>
      </c>
      <c r="G996">
        <f t="shared" si="46"/>
        <v>8</v>
      </c>
      <c r="H996" t="str">
        <f t="shared" si="47"/>
        <v>2024-8</v>
      </c>
    </row>
    <row r="997" spans="1:8" x14ac:dyDescent="0.25">
      <c r="A997" t="s">
        <v>38</v>
      </c>
      <c r="B997" t="s">
        <v>82</v>
      </c>
      <c r="C997" t="s">
        <v>454</v>
      </c>
      <c r="D997">
        <v>64088</v>
      </c>
      <c r="E997">
        <v>2</v>
      </c>
      <c r="F997">
        <f t="shared" si="45"/>
        <v>2024</v>
      </c>
      <c r="G997">
        <f t="shared" si="46"/>
        <v>9</v>
      </c>
      <c r="H997" t="str">
        <f t="shared" si="47"/>
        <v>2024-9</v>
      </c>
    </row>
    <row r="998" spans="1:8" x14ac:dyDescent="0.25">
      <c r="A998" t="s">
        <v>29</v>
      </c>
      <c r="B998" t="s">
        <v>264</v>
      </c>
      <c r="C998" t="s">
        <v>454</v>
      </c>
      <c r="D998">
        <v>99849</v>
      </c>
      <c r="E998">
        <v>2</v>
      </c>
      <c r="F998">
        <f t="shared" si="45"/>
        <v>2024</v>
      </c>
      <c r="G998">
        <f t="shared" si="46"/>
        <v>9</v>
      </c>
      <c r="H998" t="str">
        <f t="shared" si="47"/>
        <v>2024-9</v>
      </c>
    </row>
    <row r="999" spans="1:8" x14ac:dyDescent="0.25">
      <c r="A999" t="s">
        <v>38</v>
      </c>
      <c r="B999" t="s">
        <v>75</v>
      </c>
      <c r="C999" t="s">
        <v>454</v>
      </c>
      <c r="D999">
        <v>61311</v>
      </c>
      <c r="E999">
        <v>6</v>
      </c>
      <c r="F999">
        <f t="shared" si="45"/>
        <v>2024</v>
      </c>
      <c r="G999">
        <f t="shared" si="46"/>
        <v>9</v>
      </c>
      <c r="H999" t="str">
        <f t="shared" si="47"/>
        <v>2024-9</v>
      </c>
    </row>
    <row r="1000" spans="1:8" x14ac:dyDescent="0.25">
      <c r="A1000" t="s">
        <v>19</v>
      </c>
      <c r="B1000" t="s">
        <v>173</v>
      </c>
      <c r="C1000" t="s">
        <v>454</v>
      </c>
      <c r="D1000">
        <v>37517</v>
      </c>
      <c r="E1000">
        <v>7</v>
      </c>
      <c r="F1000">
        <f t="shared" si="45"/>
        <v>2024</v>
      </c>
      <c r="G1000">
        <f t="shared" si="46"/>
        <v>9</v>
      </c>
      <c r="H1000" t="str">
        <f t="shared" si="47"/>
        <v>2024-9</v>
      </c>
    </row>
    <row r="1001" spans="1:8" x14ac:dyDescent="0.25">
      <c r="A1001" t="s">
        <v>38</v>
      </c>
      <c r="B1001" t="s">
        <v>146</v>
      </c>
      <c r="C1001" t="s">
        <v>454</v>
      </c>
      <c r="D1001">
        <v>59008</v>
      </c>
      <c r="E1001">
        <v>7</v>
      </c>
      <c r="F1001">
        <f t="shared" si="45"/>
        <v>2024</v>
      </c>
      <c r="G1001">
        <f t="shared" si="46"/>
        <v>9</v>
      </c>
      <c r="H1001" t="str">
        <f t="shared" si="47"/>
        <v>2024-9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A4BFC-3C28-4A67-B795-FFC25E2AF795}">
  <dimension ref="A1:N13"/>
  <sheetViews>
    <sheetView workbookViewId="0">
      <selection activeCell="P7" sqref="P7"/>
    </sheetView>
  </sheetViews>
  <sheetFormatPr defaultRowHeight="15" x14ac:dyDescent="0.25"/>
  <cols>
    <col min="1" max="1" width="30.5703125" bestFit="1" customWidth="1"/>
    <col min="15" max="15" width="18" customWidth="1"/>
  </cols>
  <sheetData>
    <row r="1" spans="1:14" x14ac:dyDescent="0.25">
      <c r="A1" s="4" t="s">
        <v>458</v>
      </c>
      <c r="B1" s="24" t="s">
        <v>488</v>
      </c>
      <c r="C1" s="24" t="s">
        <v>489</v>
      </c>
      <c r="D1" s="24" t="s">
        <v>490</v>
      </c>
      <c r="E1" s="24" t="s">
        <v>491</v>
      </c>
      <c r="F1" s="24" t="s">
        <v>492</v>
      </c>
      <c r="G1" s="24" t="s">
        <v>493</v>
      </c>
      <c r="H1" s="24" t="s">
        <v>494</v>
      </c>
      <c r="I1" s="24" t="s">
        <v>495</v>
      </c>
      <c r="J1" s="24" t="s">
        <v>496</v>
      </c>
      <c r="K1" s="24" t="s">
        <v>497</v>
      </c>
      <c r="L1" s="24" t="s">
        <v>498</v>
      </c>
      <c r="M1" s="24" t="s">
        <v>499</v>
      </c>
      <c r="N1" s="24" t="s">
        <v>500</v>
      </c>
    </row>
    <row r="2" spans="1:14" x14ac:dyDescent="0.25">
      <c r="A2" s="7" t="s">
        <v>5</v>
      </c>
      <c r="B2">
        <f>COUNTIFS('3-данные'!$A:$A,'3'!$A2,'3-данные'!$H:$H,'3'!B$1)</f>
        <v>6</v>
      </c>
      <c r="C2">
        <f>COUNTIFS('3-данные'!$A:$A,'3'!$A2,'3-данные'!$H:$H,'3'!C$1)</f>
        <v>7</v>
      </c>
      <c r="D2">
        <f>COUNTIFS('3-данные'!$A:$A,'3'!$A2,'3-данные'!$H:$H,'3'!D$1)</f>
        <v>7</v>
      </c>
      <c r="E2">
        <f>COUNTIFS('3-данные'!$A:$A,'3'!$A2,'3-данные'!$H:$H,'3'!E$1)</f>
        <v>3</v>
      </c>
      <c r="F2">
        <f>COUNTIFS('3-данные'!$A:$A,'3'!$A2,'3-данные'!$H:$H,'3'!F$1)</f>
        <v>9</v>
      </c>
      <c r="G2">
        <f>COUNTIFS('3-данные'!$A:$A,'3'!$A2,'3-данные'!$H:$H,'3'!G$1)</f>
        <v>7</v>
      </c>
      <c r="H2">
        <f>COUNTIFS('3-данные'!$A:$A,'3'!$A2,'3-данные'!$H:$H,'3'!H$1)</f>
        <v>11</v>
      </c>
      <c r="I2">
        <f>COUNTIFS('3-данные'!$A:$A,'3'!$A2,'3-данные'!$H:$H,'3'!I$1)</f>
        <v>7</v>
      </c>
      <c r="J2">
        <f>COUNTIFS('3-данные'!$A:$A,'3'!$A2,'3-данные'!$H:$H,'3'!J$1)</f>
        <v>7</v>
      </c>
      <c r="K2">
        <f>COUNTIFS('3-данные'!$A:$A,'3'!$A2,'3-данные'!$H:$H,'3'!K$1)</f>
        <v>4</v>
      </c>
      <c r="L2">
        <f>COUNTIFS('3-данные'!$A:$A,'3'!$A2,'3-данные'!$H:$H,'3'!L$1)</f>
        <v>8</v>
      </c>
      <c r="M2">
        <f>COUNTIFS('3-данные'!$A:$A,'3'!$A2,'3-данные'!$H:$H,'3'!M$1)</f>
        <v>4</v>
      </c>
      <c r="N2">
        <f>COUNTIFS('3-данные'!$A:$A,'3'!$A2,'3-данные'!$H:$H,'3'!N$1)</f>
        <v>0</v>
      </c>
    </row>
    <row r="3" spans="1:14" x14ac:dyDescent="0.25">
      <c r="A3" s="7" t="s">
        <v>43</v>
      </c>
      <c r="B3">
        <f>COUNTIFS('3-данные'!$A:$A,'3'!$A3,'3-данные'!$H:$H,'3'!B$1)</f>
        <v>5</v>
      </c>
      <c r="C3">
        <f>COUNTIFS('3-данные'!$A:$A,'3'!$A3,'3-данные'!$H:$H,'3'!C$1)</f>
        <v>7</v>
      </c>
      <c r="D3">
        <f>COUNTIFS('3-данные'!$A:$A,'3'!$A3,'3-данные'!$H:$H,'3'!D$1)</f>
        <v>7</v>
      </c>
      <c r="E3">
        <f>COUNTIFS('3-данные'!$A:$A,'3'!$A3,'3-данные'!$H:$H,'3'!E$1)</f>
        <v>6</v>
      </c>
      <c r="F3">
        <f>COUNTIFS('3-данные'!$A:$A,'3'!$A3,'3-данные'!$H:$H,'3'!F$1)</f>
        <v>6</v>
      </c>
      <c r="G3">
        <f>COUNTIFS('3-данные'!$A:$A,'3'!$A3,'3-данные'!$H:$H,'3'!G$1)</f>
        <v>5</v>
      </c>
      <c r="H3">
        <f>COUNTIFS('3-данные'!$A:$A,'3'!$A3,'3-данные'!$H:$H,'3'!H$1)</f>
        <v>11</v>
      </c>
      <c r="I3">
        <f>COUNTIFS('3-данные'!$A:$A,'3'!$A3,'3-данные'!$H:$H,'3'!I$1)</f>
        <v>5</v>
      </c>
      <c r="J3">
        <f>COUNTIFS('3-данные'!$A:$A,'3'!$A3,'3-данные'!$H:$H,'3'!J$1)</f>
        <v>7</v>
      </c>
      <c r="K3">
        <f>COUNTIFS('3-данные'!$A:$A,'3'!$A3,'3-данные'!$H:$H,'3'!K$1)</f>
        <v>6</v>
      </c>
      <c r="L3">
        <f>COUNTIFS('3-данные'!$A:$A,'3'!$A3,'3-данные'!$H:$H,'3'!L$1)</f>
        <v>10</v>
      </c>
      <c r="M3">
        <f>COUNTIFS('3-данные'!$A:$A,'3'!$A3,'3-данные'!$H:$H,'3'!M$1)</f>
        <v>4</v>
      </c>
      <c r="N3">
        <f>COUNTIFS('3-данные'!$A:$A,'3'!$A3,'3-данные'!$H:$H,'3'!N$1)</f>
        <v>0</v>
      </c>
    </row>
    <row r="4" spans="1:14" x14ac:dyDescent="0.25">
      <c r="A4" s="7" t="s">
        <v>55</v>
      </c>
      <c r="B4">
        <f>COUNTIFS('3-данные'!$A:$A,'3'!$A4,'3-данные'!$H:$H,'3'!B$1)</f>
        <v>4</v>
      </c>
      <c r="C4">
        <f>COUNTIFS('3-данные'!$A:$A,'3'!$A4,'3-данные'!$H:$H,'3'!C$1)</f>
        <v>11</v>
      </c>
      <c r="D4">
        <f>COUNTIFS('3-данные'!$A:$A,'3'!$A4,'3-данные'!$H:$H,'3'!D$1)</f>
        <v>8</v>
      </c>
      <c r="E4">
        <f>COUNTIFS('3-данные'!$A:$A,'3'!$A4,'3-данные'!$H:$H,'3'!E$1)</f>
        <v>3</v>
      </c>
      <c r="F4">
        <f>COUNTIFS('3-данные'!$A:$A,'3'!$A4,'3-данные'!$H:$H,'3'!F$1)</f>
        <v>7</v>
      </c>
      <c r="G4">
        <f>COUNTIFS('3-данные'!$A:$A,'3'!$A4,'3-данные'!$H:$H,'3'!G$1)</f>
        <v>7</v>
      </c>
      <c r="H4">
        <f>COUNTIFS('3-данные'!$A:$A,'3'!$A4,'3-данные'!$H:$H,'3'!H$1)</f>
        <v>2</v>
      </c>
      <c r="I4">
        <f>COUNTIFS('3-данные'!$A:$A,'3'!$A4,'3-данные'!$H:$H,'3'!I$1)</f>
        <v>6</v>
      </c>
      <c r="J4">
        <f>COUNTIFS('3-данные'!$A:$A,'3'!$A4,'3-данные'!$H:$H,'3'!J$1)</f>
        <v>11</v>
      </c>
      <c r="K4">
        <f>COUNTIFS('3-данные'!$A:$A,'3'!$A4,'3-данные'!$H:$H,'3'!K$1)</f>
        <v>4</v>
      </c>
      <c r="L4">
        <f>COUNTIFS('3-данные'!$A:$A,'3'!$A4,'3-данные'!$H:$H,'3'!L$1)</f>
        <v>8</v>
      </c>
      <c r="M4">
        <f>COUNTIFS('3-данные'!$A:$A,'3'!$A4,'3-данные'!$H:$H,'3'!M$1)</f>
        <v>7</v>
      </c>
      <c r="N4">
        <f>COUNTIFS('3-данные'!$A:$A,'3'!$A4,'3-данные'!$H:$H,'3'!N$1)</f>
        <v>0</v>
      </c>
    </row>
    <row r="5" spans="1:14" x14ac:dyDescent="0.25">
      <c r="A5" s="7" t="s">
        <v>11</v>
      </c>
      <c r="B5">
        <f>COUNTIFS('3-данные'!$A:$A,'3'!$A5,'3-данные'!$H:$H,'3'!B$1)</f>
        <v>10</v>
      </c>
      <c r="C5">
        <f>COUNTIFS('3-данные'!$A:$A,'3'!$A5,'3-данные'!$H:$H,'3'!C$1)</f>
        <v>9</v>
      </c>
      <c r="D5">
        <f>COUNTIFS('3-данные'!$A:$A,'3'!$A5,'3-данные'!$H:$H,'3'!D$1)</f>
        <v>4</v>
      </c>
      <c r="E5">
        <f>COUNTIFS('3-данные'!$A:$A,'3'!$A5,'3-данные'!$H:$H,'3'!E$1)</f>
        <v>5</v>
      </c>
      <c r="F5">
        <f>COUNTIFS('3-данные'!$A:$A,'3'!$A5,'3-данные'!$H:$H,'3'!F$1)</f>
        <v>10</v>
      </c>
      <c r="G5">
        <f>COUNTIFS('3-данные'!$A:$A,'3'!$A5,'3-данные'!$H:$H,'3'!G$1)</f>
        <v>8</v>
      </c>
      <c r="H5">
        <f>COUNTIFS('3-данные'!$A:$A,'3'!$A5,'3-данные'!$H:$H,'3'!H$1)</f>
        <v>8</v>
      </c>
      <c r="I5">
        <f>COUNTIFS('3-данные'!$A:$A,'3'!$A5,'3-данные'!$H:$H,'3'!I$1)</f>
        <v>7</v>
      </c>
      <c r="J5">
        <f>COUNTIFS('3-данные'!$A:$A,'3'!$A5,'3-данные'!$H:$H,'3'!J$1)</f>
        <v>8</v>
      </c>
      <c r="K5">
        <f>COUNTIFS('3-данные'!$A:$A,'3'!$A5,'3-данные'!$H:$H,'3'!K$1)</f>
        <v>7</v>
      </c>
      <c r="L5">
        <f>COUNTIFS('3-данные'!$A:$A,'3'!$A5,'3-данные'!$H:$H,'3'!L$1)</f>
        <v>8</v>
      </c>
      <c r="M5">
        <f>COUNTIFS('3-данные'!$A:$A,'3'!$A5,'3-данные'!$H:$H,'3'!M$1)</f>
        <v>10</v>
      </c>
      <c r="N5">
        <f>COUNTIFS('3-данные'!$A:$A,'3'!$A5,'3-данные'!$H:$H,'3'!N$1)</f>
        <v>0</v>
      </c>
    </row>
    <row r="6" spans="1:14" x14ac:dyDescent="0.25">
      <c r="A6" s="7" t="s">
        <v>29</v>
      </c>
      <c r="B6">
        <f>COUNTIFS('3-данные'!$A:$A,'3'!$A6,'3-данные'!$H:$H,'3'!B$1)</f>
        <v>8</v>
      </c>
      <c r="C6">
        <f>COUNTIFS('3-данные'!$A:$A,'3'!$A6,'3-данные'!$H:$H,'3'!C$1)</f>
        <v>5</v>
      </c>
      <c r="D6">
        <f>COUNTIFS('3-данные'!$A:$A,'3'!$A6,'3-данные'!$H:$H,'3'!D$1)</f>
        <v>6</v>
      </c>
      <c r="E6">
        <f>COUNTIFS('3-данные'!$A:$A,'3'!$A6,'3-данные'!$H:$H,'3'!E$1)</f>
        <v>5</v>
      </c>
      <c r="F6">
        <f>COUNTIFS('3-данные'!$A:$A,'3'!$A6,'3-данные'!$H:$H,'3'!F$1)</f>
        <v>7</v>
      </c>
      <c r="G6">
        <f>COUNTIFS('3-данные'!$A:$A,'3'!$A6,'3-данные'!$H:$H,'3'!G$1)</f>
        <v>4</v>
      </c>
      <c r="H6">
        <f>COUNTIFS('3-данные'!$A:$A,'3'!$A6,'3-данные'!$H:$H,'3'!H$1)</f>
        <v>5</v>
      </c>
      <c r="I6">
        <f>COUNTIFS('3-данные'!$A:$A,'3'!$A6,'3-данные'!$H:$H,'3'!I$1)</f>
        <v>7</v>
      </c>
      <c r="J6">
        <f>COUNTIFS('3-данные'!$A:$A,'3'!$A6,'3-данные'!$H:$H,'3'!J$1)</f>
        <v>5</v>
      </c>
      <c r="K6">
        <f>COUNTIFS('3-данные'!$A:$A,'3'!$A6,'3-данные'!$H:$H,'3'!K$1)</f>
        <v>3</v>
      </c>
      <c r="L6">
        <f>COUNTIFS('3-данные'!$A:$A,'3'!$A6,'3-данные'!$H:$H,'3'!L$1)</f>
        <v>10</v>
      </c>
      <c r="M6">
        <f>COUNTIFS('3-данные'!$A:$A,'3'!$A6,'3-данные'!$H:$H,'3'!M$1)</f>
        <v>8</v>
      </c>
      <c r="N6">
        <f>COUNTIFS('3-данные'!$A:$A,'3'!$A6,'3-данные'!$H:$H,'3'!N$1)</f>
        <v>1</v>
      </c>
    </row>
    <row r="7" spans="1:14" x14ac:dyDescent="0.25">
      <c r="A7" s="7" t="s">
        <v>13</v>
      </c>
      <c r="B7">
        <f>COUNTIFS('3-данные'!$A:$A,'3'!$A7,'3-данные'!$H:$H,'3'!B$1)</f>
        <v>8</v>
      </c>
      <c r="C7">
        <f>COUNTIFS('3-данные'!$A:$A,'3'!$A7,'3-данные'!$H:$H,'3'!C$1)</f>
        <v>5</v>
      </c>
      <c r="D7">
        <f>COUNTIFS('3-данные'!$A:$A,'3'!$A7,'3-данные'!$H:$H,'3'!D$1)</f>
        <v>9</v>
      </c>
      <c r="E7">
        <f>COUNTIFS('3-данные'!$A:$A,'3'!$A7,'3-данные'!$H:$H,'3'!E$1)</f>
        <v>12</v>
      </c>
      <c r="F7">
        <f>COUNTIFS('3-данные'!$A:$A,'3'!$A7,'3-данные'!$H:$H,'3'!F$1)</f>
        <v>9</v>
      </c>
      <c r="G7">
        <f>COUNTIFS('3-данные'!$A:$A,'3'!$A7,'3-данные'!$H:$H,'3'!G$1)</f>
        <v>6</v>
      </c>
      <c r="H7">
        <f>COUNTIFS('3-данные'!$A:$A,'3'!$A7,'3-данные'!$H:$H,'3'!H$1)</f>
        <v>8</v>
      </c>
      <c r="I7">
        <f>COUNTIFS('3-данные'!$A:$A,'3'!$A7,'3-данные'!$H:$H,'3'!I$1)</f>
        <v>7</v>
      </c>
      <c r="J7">
        <f>COUNTIFS('3-данные'!$A:$A,'3'!$A7,'3-данные'!$H:$H,'3'!J$1)</f>
        <v>10</v>
      </c>
      <c r="K7">
        <f>COUNTIFS('3-данные'!$A:$A,'3'!$A7,'3-данные'!$H:$H,'3'!K$1)</f>
        <v>6</v>
      </c>
      <c r="L7">
        <f>COUNTIFS('3-данные'!$A:$A,'3'!$A7,'3-данные'!$H:$H,'3'!L$1)</f>
        <v>9</v>
      </c>
      <c r="M7">
        <f>COUNTIFS('3-данные'!$A:$A,'3'!$A7,'3-данные'!$H:$H,'3'!M$1)</f>
        <v>7</v>
      </c>
      <c r="N7">
        <f>COUNTIFS('3-данные'!$A:$A,'3'!$A7,'3-данные'!$H:$H,'3'!N$1)</f>
        <v>0</v>
      </c>
    </row>
    <row r="8" spans="1:14" x14ac:dyDescent="0.25">
      <c r="A8" s="7" t="s">
        <v>19</v>
      </c>
      <c r="B8">
        <f>COUNTIFS('3-данные'!$A:$A,'3'!$A8,'3-данные'!$H:$H,'3'!B$1)</f>
        <v>9</v>
      </c>
      <c r="C8">
        <f>COUNTIFS('3-данные'!$A:$A,'3'!$A8,'3-данные'!$H:$H,'3'!C$1)</f>
        <v>7</v>
      </c>
      <c r="D8">
        <f>COUNTIFS('3-данные'!$A:$A,'3'!$A8,'3-данные'!$H:$H,'3'!D$1)</f>
        <v>10</v>
      </c>
      <c r="E8">
        <f>COUNTIFS('3-данные'!$A:$A,'3'!$A8,'3-данные'!$H:$H,'3'!E$1)</f>
        <v>6</v>
      </c>
      <c r="F8">
        <f>COUNTIFS('3-данные'!$A:$A,'3'!$A8,'3-данные'!$H:$H,'3'!F$1)</f>
        <v>12</v>
      </c>
      <c r="G8">
        <f>COUNTIFS('3-данные'!$A:$A,'3'!$A8,'3-данные'!$H:$H,'3'!G$1)</f>
        <v>6</v>
      </c>
      <c r="H8">
        <f>COUNTIFS('3-данные'!$A:$A,'3'!$A8,'3-данные'!$H:$H,'3'!H$1)</f>
        <v>4</v>
      </c>
      <c r="I8">
        <f>COUNTIFS('3-данные'!$A:$A,'3'!$A8,'3-данные'!$H:$H,'3'!I$1)</f>
        <v>16</v>
      </c>
      <c r="J8">
        <f>COUNTIFS('3-данные'!$A:$A,'3'!$A8,'3-данные'!$H:$H,'3'!J$1)</f>
        <v>7</v>
      </c>
      <c r="K8">
        <f>COUNTIFS('3-данные'!$A:$A,'3'!$A8,'3-данные'!$H:$H,'3'!K$1)</f>
        <v>8</v>
      </c>
      <c r="L8">
        <f>COUNTIFS('3-данные'!$A:$A,'3'!$A8,'3-данные'!$H:$H,'3'!L$1)</f>
        <v>11</v>
      </c>
      <c r="M8">
        <f>COUNTIFS('3-данные'!$A:$A,'3'!$A8,'3-данные'!$H:$H,'3'!M$1)</f>
        <v>8</v>
      </c>
      <c r="N8">
        <f>COUNTIFS('3-данные'!$A:$A,'3'!$A8,'3-данные'!$H:$H,'3'!N$1)</f>
        <v>1</v>
      </c>
    </row>
    <row r="9" spans="1:14" x14ac:dyDescent="0.25">
      <c r="A9" s="7" t="s">
        <v>16</v>
      </c>
      <c r="B9">
        <f>COUNTIFS('3-данные'!$A:$A,'3'!$A9,'3-данные'!$H:$H,'3'!B$1)</f>
        <v>8</v>
      </c>
      <c r="C9">
        <f>COUNTIFS('3-данные'!$A:$A,'3'!$A9,'3-данные'!$H:$H,'3'!C$1)</f>
        <v>7</v>
      </c>
      <c r="D9">
        <f>COUNTIFS('3-данные'!$A:$A,'3'!$A9,'3-данные'!$H:$H,'3'!D$1)</f>
        <v>8</v>
      </c>
      <c r="E9">
        <f>COUNTIFS('3-данные'!$A:$A,'3'!$A9,'3-данные'!$H:$H,'3'!E$1)</f>
        <v>4</v>
      </c>
      <c r="F9">
        <f>COUNTIFS('3-данные'!$A:$A,'3'!$A9,'3-данные'!$H:$H,'3'!F$1)</f>
        <v>6</v>
      </c>
      <c r="G9">
        <f>COUNTIFS('3-данные'!$A:$A,'3'!$A9,'3-данные'!$H:$H,'3'!G$1)</f>
        <v>9</v>
      </c>
      <c r="H9">
        <f>COUNTIFS('3-данные'!$A:$A,'3'!$A9,'3-данные'!$H:$H,'3'!H$1)</f>
        <v>6</v>
      </c>
      <c r="I9">
        <f>COUNTIFS('3-данные'!$A:$A,'3'!$A9,'3-данные'!$H:$H,'3'!I$1)</f>
        <v>8</v>
      </c>
      <c r="J9">
        <f>COUNTIFS('3-данные'!$A:$A,'3'!$A9,'3-данные'!$H:$H,'3'!J$1)</f>
        <v>5</v>
      </c>
      <c r="K9">
        <f>COUNTIFS('3-данные'!$A:$A,'3'!$A9,'3-данные'!$H:$H,'3'!K$1)</f>
        <v>5</v>
      </c>
      <c r="L9">
        <f>COUNTIFS('3-данные'!$A:$A,'3'!$A9,'3-данные'!$H:$H,'3'!L$1)</f>
        <v>11</v>
      </c>
      <c r="M9">
        <f>COUNTIFS('3-данные'!$A:$A,'3'!$A9,'3-данные'!$H:$H,'3'!M$1)</f>
        <v>7</v>
      </c>
      <c r="N9">
        <f>COUNTIFS('3-данные'!$A:$A,'3'!$A9,'3-данные'!$H:$H,'3'!N$1)</f>
        <v>0</v>
      </c>
    </row>
    <row r="10" spans="1:14" x14ac:dyDescent="0.25">
      <c r="A10" s="7" t="s">
        <v>8</v>
      </c>
      <c r="B10">
        <f>COUNTIFS('3-данные'!$A:$A,'3'!$A10,'3-данные'!$H:$H,'3'!B$1)</f>
        <v>9</v>
      </c>
      <c r="C10">
        <f>COUNTIFS('3-данные'!$A:$A,'3'!$A10,'3-данные'!$H:$H,'3'!C$1)</f>
        <v>7</v>
      </c>
      <c r="D10">
        <f>COUNTIFS('3-данные'!$A:$A,'3'!$A10,'3-данные'!$H:$H,'3'!D$1)</f>
        <v>3</v>
      </c>
      <c r="E10">
        <f>COUNTIFS('3-данные'!$A:$A,'3'!$A10,'3-данные'!$H:$H,'3'!E$1)</f>
        <v>5</v>
      </c>
      <c r="F10">
        <f>COUNTIFS('3-данные'!$A:$A,'3'!$A10,'3-данные'!$H:$H,'3'!F$1)</f>
        <v>9</v>
      </c>
      <c r="G10">
        <f>COUNTIFS('3-данные'!$A:$A,'3'!$A10,'3-данные'!$H:$H,'3'!G$1)</f>
        <v>4</v>
      </c>
      <c r="H10">
        <f>COUNTIFS('3-данные'!$A:$A,'3'!$A10,'3-данные'!$H:$H,'3'!H$1)</f>
        <v>2</v>
      </c>
      <c r="I10">
        <f>COUNTIFS('3-данные'!$A:$A,'3'!$A10,'3-данные'!$H:$H,'3'!I$1)</f>
        <v>7</v>
      </c>
      <c r="J10">
        <f>COUNTIFS('3-данные'!$A:$A,'3'!$A10,'3-данные'!$H:$H,'3'!J$1)</f>
        <v>7</v>
      </c>
      <c r="K10">
        <f>COUNTIFS('3-данные'!$A:$A,'3'!$A10,'3-данные'!$H:$H,'3'!K$1)</f>
        <v>9</v>
      </c>
      <c r="L10">
        <f>COUNTIFS('3-данные'!$A:$A,'3'!$A10,'3-данные'!$H:$H,'3'!L$1)</f>
        <v>6</v>
      </c>
      <c r="M10">
        <f>COUNTIFS('3-данные'!$A:$A,'3'!$A10,'3-данные'!$H:$H,'3'!M$1)</f>
        <v>5</v>
      </c>
      <c r="N10">
        <f>COUNTIFS('3-данные'!$A:$A,'3'!$A10,'3-данные'!$H:$H,'3'!N$1)</f>
        <v>0</v>
      </c>
    </row>
    <row r="11" spans="1:14" x14ac:dyDescent="0.25">
      <c r="A11" s="7" t="s">
        <v>26</v>
      </c>
      <c r="B11">
        <f>COUNTIFS('3-данные'!$A:$A,'3'!$A11,'3-данные'!$H:$H,'3'!B$1)</f>
        <v>7</v>
      </c>
      <c r="C11">
        <f>COUNTIFS('3-данные'!$A:$A,'3'!$A11,'3-данные'!$H:$H,'3'!C$1)</f>
        <v>7</v>
      </c>
      <c r="D11">
        <f>COUNTIFS('3-данные'!$A:$A,'3'!$A11,'3-данные'!$H:$H,'3'!D$1)</f>
        <v>7</v>
      </c>
      <c r="E11">
        <f>COUNTIFS('3-данные'!$A:$A,'3'!$A11,'3-данные'!$H:$H,'3'!E$1)</f>
        <v>8</v>
      </c>
      <c r="F11">
        <f>COUNTIFS('3-данные'!$A:$A,'3'!$A11,'3-данные'!$H:$H,'3'!F$1)</f>
        <v>7</v>
      </c>
      <c r="G11">
        <f>COUNTIFS('3-данные'!$A:$A,'3'!$A11,'3-данные'!$H:$H,'3'!G$1)</f>
        <v>4</v>
      </c>
      <c r="H11">
        <f>COUNTIFS('3-данные'!$A:$A,'3'!$A11,'3-данные'!$H:$H,'3'!H$1)</f>
        <v>8</v>
      </c>
      <c r="I11">
        <f>COUNTIFS('3-данные'!$A:$A,'3'!$A11,'3-данные'!$H:$H,'3'!I$1)</f>
        <v>7</v>
      </c>
      <c r="J11">
        <f>COUNTIFS('3-данные'!$A:$A,'3'!$A11,'3-данные'!$H:$H,'3'!J$1)</f>
        <v>5</v>
      </c>
      <c r="K11">
        <f>COUNTIFS('3-данные'!$A:$A,'3'!$A11,'3-данные'!$H:$H,'3'!K$1)</f>
        <v>2</v>
      </c>
      <c r="L11">
        <f>COUNTIFS('3-данные'!$A:$A,'3'!$A11,'3-данные'!$H:$H,'3'!L$1)</f>
        <v>7</v>
      </c>
      <c r="M11">
        <f>COUNTIFS('3-данные'!$A:$A,'3'!$A11,'3-данные'!$H:$H,'3'!M$1)</f>
        <v>4</v>
      </c>
      <c r="N11">
        <f>COUNTIFS('3-данные'!$A:$A,'3'!$A11,'3-данные'!$H:$H,'3'!N$1)</f>
        <v>0</v>
      </c>
    </row>
    <row r="12" spans="1:14" x14ac:dyDescent="0.25">
      <c r="A12" s="7" t="s">
        <v>38</v>
      </c>
      <c r="B12">
        <f>COUNTIFS('3-данные'!$A:$A,'3'!$A12,'3-данные'!$H:$H,'3'!B$1)</f>
        <v>3</v>
      </c>
      <c r="C12">
        <f>COUNTIFS('3-данные'!$A:$A,'3'!$A12,'3-данные'!$H:$H,'3'!C$1)</f>
        <v>7</v>
      </c>
      <c r="D12">
        <f>COUNTIFS('3-данные'!$A:$A,'3'!$A12,'3-данные'!$H:$H,'3'!D$1)</f>
        <v>6</v>
      </c>
      <c r="E12">
        <f>COUNTIFS('3-данные'!$A:$A,'3'!$A12,'3-данные'!$H:$H,'3'!E$1)</f>
        <v>6</v>
      </c>
      <c r="F12">
        <f>COUNTIFS('3-данные'!$A:$A,'3'!$A12,'3-данные'!$H:$H,'3'!F$1)</f>
        <v>9</v>
      </c>
      <c r="G12">
        <f>COUNTIFS('3-данные'!$A:$A,'3'!$A12,'3-данные'!$H:$H,'3'!G$1)</f>
        <v>8</v>
      </c>
      <c r="H12">
        <f>COUNTIFS('3-данные'!$A:$A,'3'!$A12,'3-данные'!$H:$H,'3'!H$1)</f>
        <v>4</v>
      </c>
      <c r="I12">
        <f>COUNTIFS('3-данные'!$A:$A,'3'!$A12,'3-данные'!$H:$H,'3'!I$1)</f>
        <v>6</v>
      </c>
      <c r="J12">
        <f>COUNTIFS('3-данные'!$A:$A,'3'!$A12,'3-данные'!$H:$H,'3'!J$1)</f>
        <v>5</v>
      </c>
      <c r="K12">
        <f>COUNTIFS('3-данные'!$A:$A,'3'!$A12,'3-данные'!$H:$H,'3'!K$1)</f>
        <v>6</v>
      </c>
      <c r="L12">
        <f>COUNTIFS('3-данные'!$A:$A,'3'!$A12,'3-данные'!$H:$H,'3'!L$1)</f>
        <v>8</v>
      </c>
      <c r="M12">
        <f>COUNTIFS('3-данные'!$A:$A,'3'!$A12,'3-данные'!$H:$H,'3'!M$1)</f>
        <v>5</v>
      </c>
      <c r="N12">
        <f>COUNTIFS('3-данные'!$A:$A,'3'!$A12,'3-данные'!$H:$H,'3'!N$1)</f>
        <v>3</v>
      </c>
    </row>
    <row r="13" spans="1:14" x14ac:dyDescent="0.25">
      <c r="A13" s="7" t="s">
        <v>21</v>
      </c>
      <c r="B13">
        <f>COUNTIFS('3-данные'!$A:$A,'3'!$A13,'3-данные'!$H:$H,'3'!B$1)</f>
        <v>8</v>
      </c>
      <c r="C13">
        <f>COUNTIFS('3-данные'!$A:$A,'3'!$A13,'3-данные'!$H:$H,'3'!C$1)</f>
        <v>6</v>
      </c>
      <c r="D13">
        <f>COUNTIFS('3-данные'!$A:$A,'3'!$A13,'3-данные'!$H:$H,'3'!D$1)</f>
        <v>5</v>
      </c>
      <c r="E13">
        <f>COUNTIFS('3-данные'!$A:$A,'3'!$A13,'3-данные'!$H:$H,'3'!E$1)</f>
        <v>6</v>
      </c>
      <c r="F13">
        <f>COUNTIFS('3-данные'!$A:$A,'3'!$A13,'3-данные'!$H:$H,'3'!F$1)</f>
        <v>9</v>
      </c>
      <c r="G13">
        <f>COUNTIFS('3-данные'!$A:$A,'3'!$A13,'3-данные'!$H:$H,'3'!G$1)</f>
        <v>5</v>
      </c>
      <c r="H13">
        <f>COUNTIFS('3-данные'!$A:$A,'3'!$A13,'3-данные'!$H:$H,'3'!H$1)</f>
        <v>11</v>
      </c>
      <c r="I13">
        <f>COUNTIFS('3-данные'!$A:$A,'3'!$A13,'3-данные'!$H:$H,'3'!I$1)</f>
        <v>9</v>
      </c>
      <c r="J13">
        <f>COUNTIFS('3-данные'!$A:$A,'3'!$A13,'3-данные'!$H:$H,'3'!J$1)</f>
        <v>3</v>
      </c>
      <c r="K13">
        <f>COUNTIFS('3-данные'!$A:$A,'3'!$A13,'3-данные'!$H:$H,'3'!K$1)</f>
        <v>8</v>
      </c>
      <c r="L13">
        <f>COUNTIFS('3-данные'!$A:$A,'3'!$A13,'3-данные'!$H:$H,'3'!L$1)</f>
        <v>8</v>
      </c>
      <c r="M13">
        <f>COUNTIFS('3-данные'!$A:$A,'3'!$A13,'3-данные'!$H:$H,'3'!M$1)</f>
        <v>10</v>
      </c>
      <c r="N13">
        <f>COUNTIFS('3-данные'!$A:$A,'3'!$A13,'3-данные'!$H:$H,'3'!N$1)</f>
        <v>0</v>
      </c>
    </row>
  </sheetData>
  <phoneticPr fontId="7" type="noConversion"/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2E129804-0CA3-479B-BD96-B59A09F6A74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'3'!B2:N2</xm:f>
              <xm:sqref>O2</xm:sqref>
            </x14:sparkline>
            <x14:sparkline>
              <xm:f>'3'!B3:N3</xm:f>
              <xm:sqref>O3</xm:sqref>
            </x14:sparkline>
            <x14:sparkline>
              <xm:f>'3'!B4:N4</xm:f>
              <xm:sqref>O4</xm:sqref>
            </x14:sparkline>
            <x14:sparkline>
              <xm:f>'3'!B5:N5</xm:f>
              <xm:sqref>O5</xm:sqref>
            </x14:sparkline>
            <x14:sparkline>
              <xm:f>'3'!B6:N6</xm:f>
              <xm:sqref>O6</xm:sqref>
            </x14:sparkline>
            <x14:sparkline>
              <xm:f>'3'!B7:N7</xm:f>
              <xm:sqref>O7</xm:sqref>
            </x14:sparkline>
            <x14:sparkline>
              <xm:f>'3'!B8:N8</xm:f>
              <xm:sqref>O8</xm:sqref>
            </x14:sparkline>
            <x14:sparkline>
              <xm:f>'3'!B9:N9</xm:f>
              <xm:sqref>O9</xm:sqref>
            </x14:sparkline>
            <x14:sparkline>
              <xm:f>'3'!B10:N10</xm:f>
              <xm:sqref>O10</xm:sqref>
            </x14:sparkline>
            <x14:sparkline>
              <xm:f>'3'!B11:N11</xm:f>
              <xm:sqref>O11</xm:sqref>
            </x14:sparkline>
            <x14:sparkline>
              <xm:f>'3'!B12:N12</xm:f>
              <xm:sqref>O12</xm:sqref>
            </x14:sparkline>
            <x14:sparkline>
              <xm:f>'3'!B13:N13</xm:f>
              <xm:sqref>O13</xm:sqref>
            </x14:sparkline>
          </x14:sparklines>
        </x14:sparklineGroup>
      </x14:sparklineGroup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1C69F-7E64-4191-89DA-BD5B316DAF8C}">
  <dimension ref="A1:N13"/>
  <sheetViews>
    <sheetView workbookViewId="0">
      <selection activeCell="F28" sqref="F28"/>
    </sheetView>
  </sheetViews>
  <sheetFormatPr defaultRowHeight="15" x14ac:dyDescent="0.25"/>
  <cols>
    <col min="1" max="1" width="30.5703125" bestFit="1" customWidth="1"/>
  </cols>
  <sheetData>
    <row r="1" spans="1:14" x14ac:dyDescent="0.25">
      <c r="A1" s="4" t="s">
        <v>458</v>
      </c>
      <c r="B1" s="24" t="s">
        <v>488</v>
      </c>
      <c r="C1" s="24" t="s">
        <v>489</v>
      </c>
      <c r="D1" s="24" t="s">
        <v>490</v>
      </c>
      <c r="E1" s="24" t="s">
        <v>491</v>
      </c>
      <c r="F1" s="24" t="s">
        <v>492</v>
      </c>
      <c r="G1" s="24" t="s">
        <v>493</v>
      </c>
      <c r="H1" s="24" t="s">
        <v>494</v>
      </c>
      <c r="I1" s="24" t="s">
        <v>495</v>
      </c>
      <c r="J1" s="24" t="s">
        <v>496</v>
      </c>
      <c r="K1" s="24" t="s">
        <v>497</v>
      </c>
      <c r="L1" s="24" t="s">
        <v>498</v>
      </c>
      <c r="M1" s="24" t="s">
        <v>499</v>
      </c>
      <c r="N1" s="24" t="s">
        <v>500</v>
      </c>
    </row>
    <row r="2" spans="1:14" x14ac:dyDescent="0.25">
      <c r="A2" s="7" t="s">
        <v>5</v>
      </c>
      <c r="B2" s="26">
        <f>IFERROR((COUNTIFS('3-данные'!$A:$A,'3-2'!$A2,'3-данные'!$H:$H,'3-2'!B$1,'3-данные'!$E:$E,"&gt;=9")-COUNTIFS('3-данные'!$A:$A,'3-2'!$A2,'3-данные'!$H:$H,'3-2'!B$1,'3-данные'!$E:$E,"&gt;=6"))/COUNTIFS('3-данные'!$A:$A,'3-2'!$A2,'3-данные'!$H:$H,'3-2'!B$1,'3-данные'!$E:$E,"&gt;=0"),"")</f>
        <v>-0.5</v>
      </c>
      <c r="C2" s="26">
        <f>IFERROR((COUNTIFS('3-данные'!$A:$A,'3-2'!$A2,'3-данные'!$H:$H,'3-2'!C$1,'3-данные'!$E:$E,"&gt;=9")-COUNTIFS('3-данные'!$A:$A,'3-2'!$A2,'3-данные'!$H:$H,'3-2'!C$1,'3-данные'!$E:$E,"&gt;=6"))/COUNTIFS('3-данные'!$A:$A,'3-2'!$A2,'3-данные'!$H:$H,'3-2'!C$1,'3-данные'!$E:$E,"&gt;=0"),"")</f>
        <v>-0.8571428571428571</v>
      </c>
      <c r="D2" s="26">
        <f>IFERROR((COUNTIFS('3-данные'!$A:$A,'3-2'!$A2,'3-данные'!$H:$H,'3-2'!D$1,'3-данные'!$E:$E,"&gt;=9")-COUNTIFS('3-данные'!$A:$A,'3-2'!$A2,'3-данные'!$H:$H,'3-2'!D$1,'3-данные'!$E:$E,"&gt;=6"))/COUNTIFS('3-данные'!$A:$A,'3-2'!$A2,'3-данные'!$H:$H,'3-2'!D$1,'3-данные'!$E:$E,"&gt;=0"),"")</f>
        <v>-0.42857142857142855</v>
      </c>
      <c r="E2" s="26">
        <f>IFERROR((COUNTIFS('3-данные'!$A:$A,'3-2'!$A2,'3-данные'!$H:$H,'3-2'!E$1,'3-данные'!$E:$E,"&gt;=9")-COUNTIFS('3-данные'!$A:$A,'3-2'!$A2,'3-данные'!$H:$H,'3-2'!E$1,'3-данные'!$E:$E,"&gt;=6"))/COUNTIFS('3-данные'!$A:$A,'3-2'!$A2,'3-данные'!$H:$H,'3-2'!E$1,'3-данные'!$E:$E,"&gt;=0"),"")</f>
        <v>0</v>
      </c>
      <c r="F2" s="26">
        <f>IFERROR((COUNTIFS('3-данные'!$A:$A,'3-2'!$A2,'3-данные'!$H:$H,'3-2'!F$1,'3-данные'!$E:$E,"&gt;=9")-COUNTIFS('3-данные'!$A:$A,'3-2'!$A2,'3-данные'!$H:$H,'3-2'!F$1,'3-данные'!$E:$E,"&gt;=6"))/COUNTIFS('3-данные'!$A:$A,'3-2'!$A2,'3-данные'!$H:$H,'3-2'!F$1,'3-данные'!$E:$E,"&gt;=0"),"")</f>
        <v>-0.44444444444444442</v>
      </c>
      <c r="G2" s="26">
        <f>IFERROR((COUNTIFS('3-данные'!$A:$A,'3-2'!$A2,'3-данные'!$H:$H,'3-2'!G$1,'3-данные'!$E:$E,"&gt;=9")-COUNTIFS('3-данные'!$A:$A,'3-2'!$A2,'3-данные'!$H:$H,'3-2'!G$1,'3-данные'!$E:$E,"&gt;=6"))/COUNTIFS('3-данные'!$A:$A,'3-2'!$A2,'3-данные'!$H:$H,'3-2'!G$1,'3-данные'!$E:$E,"&gt;=0"),"")</f>
        <v>-0.7142857142857143</v>
      </c>
      <c r="H2" s="26">
        <f>IFERROR((COUNTIFS('3-данные'!$A:$A,'3-2'!$A2,'3-данные'!$H:$H,'3-2'!H$1,'3-данные'!$E:$E,"&gt;=9")-COUNTIFS('3-данные'!$A:$A,'3-2'!$A2,'3-данные'!$H:$H,'3-2'!H$1,'3-данные'!$E:$E,"&gt;=6"))/COUNTIFS('3-данные'!$A:$A,'3-2'!$A2,'3-данные'!$H:$H,'3-2'!H$1,'3-данные'!$E:$E,"&gt;=0"),"")</f>
        <v>-0.45454545454545453</v>
      </c>
      <c r="I2" s="26">
        <f>IFERROR((COUNTIFS('3-данные'!$A:$A,'3-2'!$A2,'3-данные'!$H:$H,'3-2'!I$1,'3-данные'!$E:$E,"&gt;=9")-COUNTIFS('3-данные'!$A:$A,'3-2'!$A2,'3-данные'!$H:$H,'3-2'!I$1,'3-данные'!$E:$E,"&gt;=6"))/COUNTIFS('3-данные'!$A:$A,'3-2'!$A2,'3-данные'!$H:$H,'3-2'!I$1,'3-данные'!$E:$E,"&gt;=0"),"")</f>
        <v>-0.7142857142857143</v>
      </c>
      <c r="J2" s="26">
        <f>IFERROR((COUNTIFS('3-данные'!$A:$A,'3-2'!$A2,'3-данные'!$H:$H,'3-2'!J$1,'3-данные'!$E:$E,"&gt;=9")-COUNTIFS('3-данные'!$A:$A,'3-2'!$A2,'3-данные'!$H:$H,'3-2'!J$1,'3-данные'!$E:$E,"&gt;=6"))/COUNTIFS('3-данные'!$A:$A,'3-2'!$A2,'3-данные'!$H:$H,'3-2'!J$1,'3-данные'!$E:$E,"&gt;=0"),"")</f>
        <v>-0.42857142857142855</v>
      </c>
      <c r="K2" s="26">
        <f>IFERROR((COUNTIFS('3-данные'!$A:$A,'3-2'!$A2,'3-данные'!$H:$H,'3-2'!K$1,'3-данные'!$E:$E,"&gt;=9")-COUNTIFS('3-данные'!$A:$A,'3-2'!$A2,'3-данные'!$H:$H,'3-2'!K$1,'3-данные'!$E:$E,"&gt;=6"))/COUNTIFS('3-данные'!$A:$A,'3-2'!$A2,'3-данные'!$H:$H,'3-2'!K$1,'3-данные'!$E:$E,"&gt;=0"),"")</f>
        <v>-0.75</v>
      </c>
      <c r="L2" s="26">
        <f>IFERROR((COUNTIFS('3-данные'!$A:$A,'3-2'!$A2,'3-данные'!$H:$H,'3-2'!L$1,'3-данные'!$E:$E,"&gt;=9")-COUNTIFS('3-данные'!$A:$A,'3-2'!$A2,'3-данные'!$H:$H,'3-2'!L$1,'3-данные'!$E:$E,"&gt;=6"))/COUNTIFS('3-данные'!$A:$A,'3-2'!$A2,'3-данные'!$H:$H,'3-2'!L$1,'3-данные'!$E:$E,"&gt;=0"),"")</f>
        <v>-0.625</v>
      </c>
      <c r="M2" s="26">
        <f>IFERROR((COUNTIFS('3-данные'!$A:$A,'3-2'!$A2,'3-данные'!$H:$H,'3-2'!M$1,'3-данные'!$E:$E,"&gt;=9")-COUNTIFS('3-данные'!$A:$A,'3-2'!$A2,'3-данные'!$H:$H,'3-2'!M$1,'3-данные'!$E:$E,"&gt;=6"))/COUNTIFS('3-данные'!$A:$A,'3-2'!$A2,'3-данные'!$H:$H,'3-2'!M$1,'3-данные'!$E:$E,"&gt;=0"),"")</f>
        <v>-0.25</v>
      </c>
      <c r="N2" s="26" t="str">
        <f>IFERROR((COUNTIFS('3-данные'!$A:$A,'3-2'!$A2,'3-данные'!$H:$H,'3-2'!N$1,'3-данные'!$E:$E,"&gt;=9")-COUNTIFS('3-данные'!$A:$A,'3-2'!$A2,'3-данные'!$H:$H,'3-2'!N$1,'3-данные'!$E:$E,"&gt;=6"))/COUNTIFS('3-данные'!$A:$A,'3-2'!$A2,'3-данные'!$H:$H,'3-2'!N$1,'3-данные'!$E:$E,"&gt;=0"),"")</f>
        <v/>
      </c>
    </row>
    <row r="3" spans="1:14" x14ac:dyDescent="0.25">
      <c r="A3" s="7" t="s">
        <v>43</v>
      </c>
      <c r="B3" s="26">
        <f>IFERROR((COUNTIFS('3-данные'!$A:$A,'3-2'!$A3,'3-данные'!$H:$H,'3-2'!B$1,'3-данные'!$E:$E,"&gt;=9")-COUNTIFS('3-данные'!$A:$A,'3-2'!$A3,'3-данные'!$H:$H,'3-2'!B$1,'3-данные'!$E:$E,"&gt;=6"))/COUNTIFS('3-данные'!$A:$A,'3-2'!$A3,'3-данные'!$H:$H,'3-2'!B$1,'3-данные'!$E:$E,"&gt;=0"),"")</f>
        <v>-0.4</v>
      </c>
      <c r="C3" s="26">
        <f>IFERROR((COUNTIFS('3-данные'!$A:$A,'3-2'!$A3,'3-данные'!$H:$H,'3-2'!C$1,'3-данные'!$E:$E,"&gt;=9")-COUNTIFS('3-данные'!$A:$A,'3-2'!$A3,'3-данные'!$H:$H,'3-2'!C$1,'3-данные'!$E:$E,"&gt;=6"))/COUNTIFS('3-данные'!$A:$A,'3-2'!$A3,'3-данные'!$H:$H,'3-2'!C$1,'3-данные'!$E:$E,"&gt;=0"),"")</f>
        <v>-0.42857142857142855</v>
      </c>
      <c r="D3" s="26">
        <f>IFERROR((COUNTIFS('3-данные'!$A:$A,'3-2'!$A3,'3-данные'!$H:$H,'3-2'!D$1,'3-данные'!$E:$E,"&gt;=9")-COUNTIFS('3-данные'!$A:$A,'3-2'!$A3,'3-данные'!$H:$H,'3-2'!D$1,'3-данные'!$E:$E,"&gt;=6"))/COUNTIFS('3-данные'!$A:$A,'3-2'!$A3,'3-данные'!$H:$H,'3-2'!D$1,'3-данные'!$E:$E,"&gt;=0"),"")</f>
        <v>-0.5714285714285714</v>
      </c>
      <c r="E3" s="26">
        <f>IFERROR((COUNTIFS('3-данные'!$A:$A,'3-2'!$A3,'3-данные'!$H:$H,'3-2'!E$1,'3-данные'!$E:$E,"&gt;=9")-COUNTIFS('3-данные'!$A:$A,'3-2'!$A3,'3-данные'!$H:$H,'3-2'!E$1,'3-данные'!$E:$E,"&gt;=6"))/COUNTIFS('3-данные'!$A:$A,'3-2'!$A3,'3-данные'!$H:$H,'3-2'!E$1,'3-данные'!$E:$E,"&gt;=0"),"")</f>
        <v>-0.66666666666666663</v>
      </c>
      <c r="F3" s="26">
        <f>IFERROR((COUNTIFS('3-данные'!$A:$A,'3-2'!$A3,'3-данные'!$H:$H,'3-2'!F$1,'3-данные'!$E:$E,"&gt;=9")-COUNTIFS('3-данные'!$A:$A,'3-2'!$A3,'3-данные'!$H:$H,'3-2'!F$1,'3-данные'!$E:$E,"&gt;=6"))/COUNTIFS('3-данные'!$A:$A,'3-2'!$A3,'3-данные'!$H:$H,'3-2'!F$1,'3-данные'!$E:$E,"&gt;=0"),"")</f>
        <v>-0.33333333333333331</v>
      </c>
      <c r="G3" s="26">
        <f>IFERROR((COUNTIFS('3-данные'!$A:$A,'3-2'!$A3,'3-данные'!$H:$H,'3-2'!G$1,'3-данные'!$E:$E,"&gt;=9")-COUNTIFS('3-данные'!$A:$A,'3-2'!$A3,'3-данные'!$H:$H,'3-2'!G$1,'3-данные'!$E:$E,"&gt;=6"))/COUNTIFS('3-данные'!$A:$A,'3-2'!$A3,'3-данные'!$H:$H,'3-2'!G$1,'3-данные'!$E:$E,"&gt;=0"),"")</f>
        <v>-0.4</v>
      </c>
      <c r="H3" s="26">
        <f>IFERROR((COUNTIFS('3-данные'!$A:$A,'3-2'!$A3,'3-данные'!$H:$H,'3-2'!H$1,'3-данные'!$E:$E,"&gt;=9")-COUNTIFS('3-данные'!$A:$A,'3-2'!$A3,'3-данные'!$H:$H,'3-2'!H$1,'3-данные'!$E:$E,"&gt;=6"))/COUNTIFS('3-данные'!$A:$A,'3-2'!$A3,'3-данные'!$H:$H,'3-2'!H$1,'3-данные'!$E:$E,"&gt;=0"),"")</f>
        <v>-0.36363636363636365</v>
      </c>
      <c r="I3" s="26">
        <f>IFERROR((COUNTIFS('3-данные'!$A:$A,'3-2'!$A3,'3-данные'!$H:$H,'3-2'!I$1,'3-данные'!$E:$E,"&gt;=9")-COUNTIFS('3-данные'!$A:$A,'3-2'!$A3,'3-данные'!$H:$H,'3-2'!I$1,'3-данные'!$E:$E,"&gt;=6"))/COUNTIFS('3-данные'!$A:$A,'3-2'!$A3,'3-данные'!$H:$H,'3-2'!I$1,'3-данные'!$E:$E,"&gt;=0"),"")</f>
        <v>-0.4</v>
      </c>
      <c r="J3" s="26">
        <f>IFERROR((COUNTIFS('3-данные'!$A:$A,'3-2'!$A3,'3-данные'!$H:$H,'3-2'!J$1,'3-данные'!$E:$E,"&gt;=9")-COUNTIFS('3-данные'!$A:$A,'3-2'!$A3,'3-данные'!$H:$H,'3-2'!J$1,'3-данные'!$E:$E,"&gt;=6"))/COUNTIFS('3-данные'!$A:$A,'3-2'!$A3,'3-данные'!$H:$H,'3-2'!J$1,'3-данные'!$E:$E,"&gt;=0"),"")</f>
        <v>-0.5714285714285714</v>
      </c>
      <c r="K3" s="26">
        <f>IFERROR((COUNTIFS('3-данные'!$A:$A,'3-2'!$A3,'3-данные'!$H:$H,'3-2'!K$1,'3-данные'!$E:$E,"&gt;=9")-COUNTIFS('3-данные'!$A:$A,'3-2'!$A3,'3-данные'!$H:$H,'3-2'!K$1,'3-данные'!$E:$E,"&gt;=6"))/COUNTIFS('3-данные'!$A:$A,'3-2'!$A3,'3-данные'!$H:$H,'3-2'!K$1,'3-данные'!$E:$E,"&gt;=0"),"")</f>
        <v>-0.5</v>
      </c>
      <c r="L3" s="26">
        <f>IFERROR((COUNTIFS('3-данные'!$A:$A,'3-2'!$A3,'3-данные'!$H:$H,'3-2'!L$1,'3-данные'!$E:$E,"&gt;=9")-COUNTIFS('3-данные'!$A:$A,'3-2'!$A3,'3-данные'!$H:$H,'3-2'!L$1,'3-данные'!$E:$E,"&gt;=6"))/COUNTIFS('3-данные'!$A:$A,'3-2'!$A3,'3-данные'!$H:$H,'3-2'!L$1,'3-данные'!$E:$E,"&gt;=0"),"")</f>
        <v>-0.3</v>
      </c>
      <c r="M3" s="26">
        <f>IFERROR((COUNTIFS('3-данные'!$A:$A,'3-2'!$A3,'3-данные'!$H:$H,'3-2'!M$1,'3-данные'!$E:$E,"&gt;=9")-COUNTIFS('3-данные'!$A:$A,'3-2'!$A3,'3-данные'!$H:$H,'3-2'!M$1,'3-данные'!$E:$E,"&gt;=6"))/COUNTIFS('3-данные'!$A:$A,'3-2'!$A3,'3-данные'!$H:$H,'3-2'!M$1,'3-данные'!$E:$E,"&gt;=0"),"")</f>
        <v>-0.5</v>
      </c>
      <c r="N3" s="26" t="str">
        <f>IFERROR((COUNTIFS('3-данные'!$A:$A,'3-2'!$A3,'3-данные'!$H:$H,'3-2'!N$1,'3-данные'!$E:$E,"&gt;=9")-COUNTIFS('3-данные'!$A:$A,'3-2'!$A3,'3-данные'!$H:$H,'3-2'!N$1,'3-данные'!$E:$E,"&gt;=6"))/COUNTIFS('3-данные'!$A:$A,'3-2'!$A3,'3-данные'!$H:$H,'3-2'!N$1,'3-данные'!$E:$E,"&gt;=0"),"")</f>
        <v/>
      </c>
    </row>
    <row r="4" spans="1:14" x14ac:dyDescent="0.25">
      <c r="A4" s="7" t="s">
        <v>55</v>
      </c>
      <c r="B4" s="26">
        <f>IFERROR((COUNTIFS('3-данные'!$A:$A,'3-2'!$A4,'3-данные'!$H:$H,'3-2'!B$1,'3-данные'!$E:$E,"&gt;=9")-COUNTIFS('3-данные'!$A:$A,'3-2'!$A4,'3-данные'!$H:$H,'3-2'!B$1,'3-данные'!$E:$E,"&gt;=6"))/COUNTIFS('3-данные'!$A:$A,'3-2'!$A4,'3-данные'!$H:$H,'3-2'!B$1,'3-данные'!$E:$E,"&gt;=0"),"")</f>
        <v>-1</v>
      </c>
      <c r="C4" s="26">
        <f>IFERROR((COUNTIFS('3-данные'!$A:$A,'3-2'!$A4,'3-данные'!$H:$H,'3-2'!C$1,'3-данные'!$E:$E,"&gt;=9")-COUNTIFS('3-данные'!$A:$A,'3-2'!$A4,'3-данные'!$H:$H,'3-2'!C$1,'3-данные'!$E:$E,"&gt;=6"))/COUNTIFS('3-данные'!$A:$A,'3-2'!$A4,'3-данные'!$H:$H,'3-2'!C$1,'3-данные'!$E:$E,"&gt;=0"),"")</f>
        <v>-0.45454545454545453</v>
      </c>
      <c r="D4" s="26">
        <f>IFERROR((COUNTIFS('3-данные'!$A:$A,'3-2'!$A4,'3-данные'!$H:$H,'3-2'!D$1,'3-данные'!$E:$E,"&gt;=9")-COUNTIFS('3-данные'!$A:$A,'3-2'!$A4,'3-данные'!$H:$H,'3-2'!D$1,'3-данные'!$E:$E,"&gt;=6"))/COUNTIFS('3-данные'!$A:$A,'3-2'!$A4,'3-данные'!$H:$H,'3-2'!D$1,'3-данные'!$E:$E,"&gt;=0"),"")</f>
        <v>-0.5</v>
      </c>
      <c r="E4" s="26">
        <f>IFERROR((COUNTIFS('3-данные'!$A:$A,'3-2'!$A4,'3-данные'!$H:$H,'3-2'!E$1,'3-данные'!$E:$E,"&gt;=9")-COUNTIFS('3-данные'!$A:$A,'3-2'!$A4,'3-данные'!$H:$H,'3-2'!E$1,'3-данные'!$E:$E,"&gt;=6"))/COUNTIFS('3-данные'!$A:$A,'3-2'!$A4,'3-данные'!$H:$H,'3-2'!E$1,'3-данные'!$E:$E,"&gt;=0"),"")</f>
        <v>-0.33333333333333331</v>
      </c>
      <c r="F4" s="26">
        <f>IFERROR((COUNTIFS('3-данные'!$A:$A,'3-2'!$A4,'3-данные'!$H:$H,'3-2'!F$1,'3-данные'!$E:$E,"&gt;=9")-COUNTIFS('3-данные'!$A:$A,'3-2'!$A4,'3-данные'!$H:$H,'3-2'!F$1,'3-данные'!$E:$E,"&gt;=6"))/COUNTIFS('3-данные'!$A:$A,'3-2'!$A4,'3-данные'!$H:$H,'3-2'!F$1,'3-данные'!$E:$E,"&gt;=0"),"")</f>
        <v>-0.5714285714285714</v>
      </c>
      <c r="G4" s="26">
        <f>IFERROR((COUNTIFS('3-данные'!$A:$A,'3-2'!$A4,'3-данные'!$H:$H,'3-2'!G$1,'3-данные'!$E:$E,"&gt;=9")-COUNTIFS('3-данные'!$A:$A,'3-2'!$A4,'3-данные'!$H:$H,'3-2'!G$1,'3-данные'!$E:$E,"&gt;=6"))/COUNTIFS('3-данные'!$A:$A,'3-2'!$A4,'3-данные'!$H:$H,'3-2'!G$1,'3-данные'!$E:$E,"&gt;=0"),"")</f>
        <v>-0.7142857142857143</v>
      </c>
      <c r="H4" s="26">
        <f>IFERROR((COUNTIFS('3-данные'!$A:$A,'3-2'!$A4,'3-данные'!$H:$H,'3-2'!H$1,'3-данные'!$E:$E,"&gt;=9")-COUNTIFS('3-данные'!$A:$A,'3-2'!$A4,'3-данные'!$H:$H,'3-2'!H$1,'3-данные'!$E:$E,"&gt;=6"))/COUNTIFS('3-данные'!$A:$A,'3-2'!$A4,'3-данные'!$H:$H,'3-2'!H$1,'3-данные'!$E:$E,"&gt;=0"),"")</f>
        <v>-1</v>
      </c>
      <c r="I4" s="26">
        <f>IFERROR((COUNTIFS('3-данные'!$A:$A,'3-2'!$A4,'3-данные'!$H:$H,'3-2'!I$1,'3-данные'!$E:$E,"&gt;=9")-COUNTIFS('3-данные'!$A:$A,'3-2'!$A4,'3-данные'!$H:$H,'3-2'!I$1,'3-данные'!$E:$E,"&gt;=6"))/COUNTIFS('3-данные'!$A:$A,'3-2'!$A4,'3-данные'!$H:$H,'3-2'!I$1,'3-данные'!$E:$E,"&gt;=0"),"")</f>
        <v>-0.66666666666666663</v>
      </c>
      <c r="J4" s="26">
        <f>IFERROR((COUNTIFS('3-данные'!$A:$A,'3-2'!$A4,'3-данные'!$H:$H,'3-2'!J$1,'3-данные'!$E:$E,"&gt;=9")-COUNTIFS('3-данные'!$A:$A,'3-2'!$A4,'3-данные'!$H:$H,'3-2'!J$1,'3-данные'!$E:$E,"&gt;=6"))/COUNTIFS('3-данные'!$A:$A,'3-2'!$A4,'3-данные'!$H:$H,'3-2'!J$1,'3-данные'!$E:$E,"&gt;=0"),"")</f>
        <v>-0.36363636363636365</v>
      </c>
      <c r="K4" s="26">
        <f>IFERROR((COUNTIFS('3-данные'!$A:$A,'3-2'!$A4,'3-данные'!$H:$H,'3-2'!K$1,'3-данные'!$E:$E,"&gt;=9")-COUNTIFS('3-данные'!$A:$A,'3-2'!$A4,'3-данные'!$H:$H,'3-2'!K$1,'3-данные'!$E:$E,"&gt;=6"))/COUNTIFS('3-данные'!$A:$A,'3-2'!$A4,'3-данные'!$H:$H,'3-2'!K$1,'3-данные'!$E:$E,"&gt;=0"),"")</f>
        <v>-0.75</v>
      </c>
      <c r="L4" s="26">
        <f>IFERROR((COUNTIFS('3-данные'!$A:$A,'3-2'!$A4,'3-данные'!$H:$H,'3-2'!L$1,'3-данные'!$E:$E,"&gt;=9")-COUNTIFS('3-данные'!$A:$A,'3-2'!$A4,'3-данные'!$H:$H,'3-2'!L$1,'3-данные'!$E:$E,"&gt;=6"))/COUNTIFS('3-данные'!$A:$A,'3-2'!$A4,'3-данные'!$H:$H,'3-2'!L$1,'3-данные'!$E:$E,"&gt;=0"),"")</f>
        <v>-0.375</v>
      </c>
      <c r="M4" s="26">
        <f>IFERROR((COUNTIFS('3-данные'!$A:$A,'3-2'!$A4,'3-данные'!$H:$H,'3-2'!M$1,'3-данные'!$E:$E,"&gt;=9")-COUNTIFS('3-данные'!$A:$A,'3-2'!$A4,'3-данные'!$H:$H,'3-2'!M$1,'3-данные'!$E:$E,"&gt;=6"))/COUNTIFS('3-данные'!$A:$A,'3-2'!$A4,'3-данные'!$H:$H,'3-2'!M$1,'3-данные'!$E:$E,"&gt;=0"),"")</f>
        <v>-0.42857142857142855</v>
      </c>
      <c r="N4" s="26" t="str">
        <f>IFERROR((COUNTIFS('3-данные'!$A:$A,'3-2'!$A4,'3-данные'!$H:$H,'3-2'!N$1,'3-данные'!$E:$E,"&gt;=9")-COUNTIFS('3-данные'!$A:$A,'3-2'!$A4,'3-данные'!$H:$H,'3-2'!N$1,'3-данные'!$E:$E,"&gt;=6"))/COUNTIFS('3-данные'!$A:$A,'3-2'!$A4,'3-данные'!$H:$H,'3-2'!N$1,'3-данные'!$E:$E,"&gt;=0"),"")</f>
        <v/>
      </c>
    </row>
    <row r="5" spans="1:14" x14ac:dyDescent="0.25">
      <c r="A5" s="7" t="s">
        <v>11</v>
      </c>
      <c r="B5" s="26">
        <f>IFERROR((COUNTIFS('3-данные'!$A:$A,'3-2'!$A5,'3-данные'!$H:$H,'3-2'!B$1,'3-данные'!$E:$E,"&gt;=9")-COUNTIFS('3-данные'!$A:$A,'3-2'!$A5,'3-данные'!$H:$H,'3-2'!B$1,'3-данные'!$E:$E,"&gt;=6"))/COUNTIFS('3-данные'!$A:$A,'3-2'!$A5,'3-данные'!$H:$H,'3-2'!B$1,'3-данные'!$E:$E,"&gt;=0"),"")</f>
        <v>-0.4</v>
      </c>
      <c r="C5" s="26">
        <f>IFERROR((COUNTIFS('3-данные'!$A:$A,'3-2'!$A5,'3-данные'!$H:$H,'3-2'!C$1,'3-данные'!$E:$E,"&gt;=9")-COUNTIFS('3-данные'!$A:$A,'3-2'!$A5,'3-данные'!$H:$H,'3-2'!C$1,'3-данные'!$E:$E,"&gt;=6"))/COUNTIFS('3-данные'!$A:$A,'3-2'!$A5,'3-данные'!$H:$H,'3-2'!C$1,'3-данные'!$E:$E,"&gt;=0"),"")</f>
        <v>-0.44444444444444442</v>
      </c>
      <c r="D5" s="26">
        <f>IFERROR((COUNTIFS('3-данные'!$A:$A,'3-2'!$A5,'3-данные'!$H:$H,'3-2'!D$1,'3-данные'!$E:$E,"&gt;=9")-COUNTIFS('3-данные'!$A:$A,'3-2'!$A5,'3-данные'!$H:$H,'3-2'!D$1,'3-данные'!$E:$E,"&gt;=6"))/COUNTIFS('3-данные'!$A:$A,'3-2'!$A5,'3-данные'!$H:$H,'3-2'!D$1,'3-данные'!$E:$E,"&gt;=0"),"")</f>
        <v>-0.5</v>
      </c>
      <c r="E5" s="26">
        <f>IFERROR((COUNTIFS('3-данные'!$A:$A,'3-2'!$A5,'3-данные'!$H:$H,'3-2'!E$1,'3-данные'!$E:$E,"&gt;=9")-COUNTIFS('3-данные'!$A:$A,'3-2'!$A5,'3-данные'!$H:$H,'3-2'!E$1,'3-данные'!$E:$E,"&gt;=6"))/COUNTIFS('3-данные'!$A:$A,'3-2'!$A5,'3-данные'!$H:$H,'3-2'!E$1,'3-данные'!$E:$E,"&gt;=0"),"")</f>
        <v>-0.6</v>
      </c>
      <c r="F5" s="26">
        <f>IFERROR((COUNTIFS('3-данные'!$A:$A,'3-2'!$A5,'3-данные'!$H:$H,'3-2'!F$1,'3-данные'!$E:$E,"&gt;=9")-COUNTIFS('3-данные'!$A:$A,'3-2'!$A5,'3-данные'!$H:$H,'3-2'!F$1,'3-данные'!$E:$E,"&gt;=6"))/COUNTIFS('3-данные'!$A:$A,'3-2'!$A5,'3-данные'!$H:$H,'3-2'!F$1,'3-данные'!$E:$E,"&gt;=0"),"")</f>
        <v>-0.7</v>
      </c>
      <c r="G5" s="26">
        <f>IFERROR((COUNTIFS('3-данные'!$A:$A,'3-2'!$A5,'3-данные'!$H:$H,'3-2'!G$1,'3-данные'!$E:$E,"&gt;=9")-COUNTIFS('3-данные'!$A:$A,'3-2'!$A5,'3-данные'!$H:$H,'3-2'!G$1,'3-данные'!$E:$E,"&gt;=6"))/COUNTIFS('3-данные'!$A:$A,'3-2'!$A5,'3-данные'!$H:$H,'3-2'!G$1,'3-данные'!$E:$E,"&gt;=0"),"")</f>
        <v>-0.375</v>
      </c>
      <c r="H5" s="26">
        <f>IFERROR((COUNTIFS('3-данные'!$A:$A,'3-2'!$A5,'3-данные'!$H:$H,'3-2'!H$1,'3-данные'!$E:$E,"&gt;=9")-COUNTIFS('3-данные'!$A:$A,'3-2'!$A5,'3-данные'!$H:$H,'3-2'!H$1,'3-данные'!$E:$E,"&gt;=6"))/COUNTIFS('3-данные'!$A:$A,'3-2'!$A5,'3-данные'!$H:$H,'3-2'!H$1,'3-данные'!$E:$E,"&gt;=0"),"")</f>
        <v>-0.5</v>
      </c>
      <c r="I5" s="26">
        <f>IFERROR((COUNTIFS('3-данные'!$A:$A,'3-2'!$A5,'3-данные'!$H:$H,'3-2'!I$1,'3-данные'!$E:$E,"&gt;=9")-COUNTIFS('3-данные'!$A:$A,'3-2'!$A5,'3-данные'!$H:$H,'3-2'!I$1,'3-данные'!$E:$E,"&gt;=6"))/COUNTIFS('3-данные'!$A:$A,'3-2'!$A5,'3-данные'!$H:$H,'3-2'!I$1,'3-данные'!$E:$E,"&gt;=0"),"")</f>
        <v>-0.7142857142857143</v>
      </c>
      <c r="J5" s="26">
        <f>IFERROR((COUNTIFS('3-данные'!$A:$A,'3-2'!$A5,'3-данные'!$H:$H,'3-2'!J$1,'3-данные'!$E:$E,"&gt;=9")-COUNTIFS('3-данные'!$A:$A,'3-2'!$A5,'3-данные'!$H:$H,'3-2'!J$1,'3-данные'!$E:$E,"&gt;=6"))/COUNTIFS('3-данные'!$A:$A,'3-2'!$A5,'3-данные'!$H:$H,'3-2'!J$1,'3-данные'!$E:$E,"&gt;=0"),"")</f>
        <v>-0.75</v>
      </c>
      <c r="K5" s="26">
        <f>IFERROR((COUNTIFS('3-данные'!$A:$A,'3-2'!$A5,'3-данные'!$H:$H,'3-2'!K$1,'3-данные'!$E:$E,"&gt;=9")-COUNTIFS('3-данные'!$A:$A,'3-2'!$A5,'3-данные'!$H:$H,'3-2'!K$1,'3-данные'!$E:$E,"&gt;=6"))/COUNTIFS('3-данные'!$A:$A,'3-2'!$A5,'3-данные'!$H:$H,'3-2'!K$1,'3-данные'!$E:$E,"&gt;=0"),"")</f>
        <v>-0.5714285714285714</v>
      </c>
      <c r="L5" s="26">
        <f>IFERROR((COUNTIFS('3-данные'!$A:$A,'3-2'!$A5,'3-данные'!$H:$H,'3-2'!L$1,'3-данные'!$E:$E,"&gt;=9")-COUNTIFS('3-данные'!$A:$A,'3-2'!$A5,'3-данные'!$H:$H,'3-2'!L$1,'3-данные'!$E:$E,"&gt;=6"))/COUNTIFS('3-данные'!$A:$A,'3-2'!$A5,'3-данные'!$H:$H,'3-2'!L$1,'3-данные'!$E:$E,"&gt;=0"),"")</f>
        <v>-0.25</v>
      </c>
      <c r="M5" s="26">
        <f>IFERROR((COUNTIFS('3-данные'!$A:$A,'3-2'!$A5,'3-данные'!$H:$H,'3-2'!M$1,'3-данные'!$E:$E,"&gt;=9")-COUNTIFS('3-данные'!$A:$A,'3-2'!$A5,'3-данные'!$H:$H,'3-2'!M$1,'3-данные'!$E:$E,"&gt;=6"))/COUNTIFS('3-данные'!$A:$A,'3-2'!$A5,'3-данные'!$H:$H,'3-2'!M$1,'3-данные'!$E:$E,"&gt;=0"),"")</f>
        <v>-0.2</v>
      </c>
      <c r="N5" s="26" t="str">
        <f>IFERROR((COUNTIFS('3-данные'!$A:$A,'3-2'!$A5,'3-данные'!$H:$H,'3-2'!N$1,'3-данные'!$E:$E,"&gt;=9")-COUNTIFS('3-данные'!$A:$A,'3-2'!$A5,'3-данные'!$H:$H,'3-2'!N$1,'3-данные'!$E:$E,"&gt;=6"))/COUNTIFS('3-данные'!$A:$A,'3-2'!$A5,'3-данные'!$H:$H,'3-2'!N$1,'3-данные'!$E:$E,"&gt;=0"),"")</f>
        <v/>
      </c>
    </row>
    <row r="6" spans="1:14" x14ac:dyDescent="0.25">
      <c r="A6" s="7" t="s">
        <v>29</v>
      </c>
      <c r="B6" s="26">
        <f>IFERROR((COUNTIFS('3-данные'!$A:$A,'3-2'!$A6,'3-данные'!$H:$H,'3-2'!B$1,'3-данные'!$E:$E,"&gt;=9")-COUNTIFS('3-данные'!$A:$A,'3-2'!$A6,'3-данные'!$H:$H,'3-2'!B$1,'3-данные'!$E:$E,"&gt;=6"))/COUNTIFS('3-данные'!$A:$A,'3-2'!$A6,'3-данные'!$H:$H,'3-2'!B$1,'3-данные'!$E:$E,"&gt;=0"),"")</f>
        <v>-0.375</v>
      </c>
      <c r="C6" s="26">
        <f>IFERROR((COUNTIFS('3-данные'!$A:$A,'3-2'!$A6,'3-данные'!$H:$H,'3-2'!C$1,'3-данные'!$E:$E,"&gt;=9")-COUNTIFS('3-данные'!$A:$A,'3-2'!$A6,'3-данные'!$H:$H,'3-2'!C$1,'3-данные'!$E:$E,"&gt;=6"))/COUNTIFS('3-данные'!$A:$A,'3-2'!$A6,'3-данные'!$H:$H,'3-2'!C$1,'3-данные'!$E:$E,"&gt;=0"),"")</f>
        <v>-0.4</v>
      </c>
      <c r="D6" s="26">
        <f>IFERROR((COUNTIFS('3-данные'!$A:$A,'3-2'!$A6,'3-данные'!$H:$H,'3-2'!D$1,'3-данные'!$E:$E,"&gt;=9")-COUNTIFS('3-данные'!$A:$A,'3-2'!$A6,'3-данные'!$H:$H,'3-2'!D$1,'3-данные'!$E:$E,"&gt;=6"))/COUNTIFS('3-данные'!$A:$A,'3-2'!$A6,'3-данные'!$H:$H,'3-2'!D$1,'3-данные'!$E:$E,"&gt;=0"),"")</f>
        <v>-0.33333333333333331</v>
      </c>
      <c r="E6" s="26">
        <f>IFERROR((COUNTIFS('3-данные'!$A:$A,'3-2'!$A6,'3-данные'!$H:$H,'3-2'!E$1,'3-данные'!$E:$E,"&gt;=9")-COUNTIFS('3-данные'!$A:$A,'3-2'!$A6,'3-данные'!$H:$H,'3-2'!E$1,'3-данные'!$E:$E,"&gt;=6"))/COUNTIFS('3-данные'!$A:$A,'3-2'!$A6,'3-данные'!$H:$H,'3-2'!E$1,'3-данные'!$E:$E,"&gt;=0"),"")</f>
        <v>-0.6</v>
      </c>
      <c r="F6" s="26">
        <f>IFERROR((COUNTIFS('3-данные'!$A:$A,'3-2'!$A6,'3-данные'!$H:$H,'3-2'!F$1,'3-данные'!$E:$E,"&gt;=9")-COUNTIFS('3-данные'!$A:$A,'3-2'!$A6,'3-данные'!$H:$H,'3-2'!F$1,'3-данные'!$E:$E,"&gt;=6"))/COUNTIFS('3-данные'!$A:$A,'3-2'!$A6,'3-данные'!$H:$H,'3-2'!F$1,'3-данные'!$E:$E,"&gt;=0"),"")</f>
        <v>-0.5714285714285714</v>
      </c>
      <c r="G6" s="26">
        <f>IFERROR((COUNTIFS('3-данные'!$A:$A,'3-2'!$A6,'3-данные'!$H:$H,'3-2'!G$1,'3-данные'!$E:$E,"&gt;=9")-COUNTIFS('3-данные'!$A:$A,'3-2'!$A6,'3-данные'!$H:$H,'3-2'!G$1,'3-данные'!$E:$E,"&gt;=6"))/COUNTIFS('3-данные'!$A:$A,'3-2'!$A6,'3-данные'!$H:$H,'3-2'!G$1,'3-данные'!$E:$E,"&gt;=0"),"")</f>
        <v>-0.75</v>
      </c>
      <c r="H6" s="26">
        <f>IFERROR((COUNTIFS('3-данные'!$A:$A,'3-2'!$A6,'3-данные'!$H:$H,'3-2'!H$1,'3-данные'!$E:$E,"&gt;=9")-COUNTIFS('3-данные'!$A:$A,'3-2'!$A6,'3-данные'!$H:$H,'3-2'!H$1,'3-данные'!$E:$E,"&gt;=6"))/COUNTIFS('3-данные'!$A:$A,'3-2'!$A6,'3-данные'!$H:$H,'3-2'!H$1,'3-данные'!$E:$E,"&gt;=0"),"")</f>
        <v>-0.8</v>
      </c>
      <c r="I6" s="26">
        <f>IFERROR((COUNTIFS('3-данные'!$A:$A,'3-2'!$A6,'3-данные'!$H:$H,'3-2'!I$1,'3-данные'!$E:$E,"&gt;=9")-COUNTIFS('3-данные'!$A:$A,'3-2'!$A6,'3-данные'!$H:$H,'3-2'!I$1,'3-данные'!$E:$E,"&gt;=6"))/COUNTIFS('3-данные'!$A:$A,'3-2'!$A6,'3-данные'!$H:$H,'3-2'!I$1,'3-данные'!$E:$E,"&gt;=0"),"")</f>
        <v>-0.5714285714285714</v>
      </c>
      <c r="J6" s="26">
        <f>IFERROR((COUNTIFS('3-данные'!$A:$A,'3-2'!$A6,'3-данные'!$H:$H,'3-2'!J$1,'3-данные'!$E:$E,"&gt;=9")-COUNTIFS('3-данные'!$A:$A,'3-2'!$A6,'3-данные'!$H:$H,'3-2'!J$1,'3-данные'!$E:$E,"&gt;=6"))/COUNTIFS('3-данные'!$A:$A,'3-2'!$A6,'3-данные'!$H:$H,'3-2'!J$1,'3-данные'!$E:$E,"&gt;=0"),"")</f>
        <v>-0.2</v>
      </c>
      <c r="K6" s="26">
        <f>IFERROR((COUNTIFS('3-данные'!$A:$A,'3-2'!$A6,'3-данные'!$H:$H,'3-2'!K$1,'3-данные'!$E:$E,"&gt;=9")-COUNTIFS('3-данные'!$A:$A,'3-2'!$A6,'3-данные'!$H:$H,'3-2'!K$1,'3-данные'!$E:$E,"&gt;=6"))/COUNTIFS('3-данные'!$A:$A,'3-2'!$A6,'3-данные'!$H:$H,'3-2'!K$1,'3-данные'!$E:$E,"&gt;=0"),"")</f>
        <v>0</v>
      </c>
      <c r="L6" s="26">
        <f>IFERROR((COUNTIFS('3-данные'!$A:$A,'3-2'!$A6,'3-данные'!$H:$H,'3-2'!L$1,'3-данные'!$E:$E,"&gt;=9")-COUNTIFS('3-данные'!$A:$A,'3-2'!$A6,'3-данные'!$H:$H,'3-2'!L$1,'3-данные'!$E:$E,"&gt;=6"))/COUNTIFS('3-данные'!$A:$A,'3-2'!$A6,'3-данные'!$H:$H,'3-2'!L$1,'3-данные'!$E:$E,"&gt;=0"),"")</f>
        <v>-0.3</v>
      </c>
      <c r="M6" s="26">
        <f>IFERROR((COUNTIFS('3-данные'!$A:$A,'3-2'!$A6,'3-данные'!$H:$H,'3-2'!M$1,'3-данные'!$E:$E,"&gt;=9")-COUNTIFS('3-данные'!$A:$A,'3-2'!$A6,'3-данные'!$H:$H,'3-2'!M$1,'3-данные'!$E:$E,"&gt;=6"))/COUNTIFS('3-данные'!$A:$A,'3-2'!$A6,'3-данные'!$H:$H,'3-2'!M$1,'3-данные'!$E:$E,"&gt;=0"),"")</f>
        <v>-0.375</v>
      </c>
      <c r="N6" s="26">
        <f>IFERROR((COUNTIFS('3-данные'!$A:$A,'3-2'!$A6,'3-данные'!$H:$H,'3-2'!N$1,'3-данные'!$E:$E,"&gt;=9")-COUNTIFS('3-данные'!$A:$A,'3-2'!$A6,'3-данные'!$H:$H,'3-2'!N$1,'3-данные'!$E:$E,"&gt;=6"))/COUNTIFS('3-данные'!$A:$A,'3-2'!$A6,'3-данные'!$H:$H,'3-2'!N$1,'3-данные'!$E:$E,"&gt;=0"),"")</f>
        <v>0</v>
      </c>
    </row>
    <row r="7" spans="1:14" x14ac:dyDescent="0.25">
      <c r="A7" s="7" t="s">
        <v>13</v>
      </c>
      <c r="B7" s="26">
        <f>IFERROR((COUNTIFS('3-данные'!$A:$A,'3-2'!$A7,'3-данные'!$H:$H,'3-2'!B$1,'3-данные'!$E:$E,"&gt;=9")-COUNTIFS('3-данные'!$A:$A,'3-2'!$A7,'3-данные'!$H:$H,'3-2'!B$1,'3-данные'!$E:$E,"&gt;=6"))/COUNTIFS('3-данные'!$A:$A,'3-2'!$A7,'3-данные'!$H:$H,'3-2'!B$1,'3-данные'!$E:$E,"&gt;=0"),"")</f>
        <v>-0.625</v>
      </c>
      <c r="C7" s="26">
        <f>IFERROR((COUNTIFS('3-данные'!$A:$A,'3-2'!$A7,'3-данные'!$H:$H,'3-2'!C$1,'3-данные'!$E:$E,"&gt;=9")-COUNTIFS('3-данные'!$A:$A,'3-2'!$A7,'3-данные'!$H:$H,'3-2'!C$1,'3-данные'!$E:$E,"&gt;=6"))/COUNTIFS('3-данные'!$A:$A,'3-2'!$A7,'3-данные'!$H:$H,'3-2'!C$1,'3-данные'!$E:$E,"&gt;=0"),"")</f>
        <v>-0.4</v>
      </c>
      <c r="D7" s="26">
        <f>IFERROR((COUNTIFS('3-данные'!$A:$A,'3-2'!$A7,'3-данные'!$H:$H,'3-2'!D$1,'3-данные'!$E:$E,"&gt;=9")-COUNTIFS('3-данные'!$A:$A,'3-2'!$A7,'3-данные'!$H:$H,'3-2'!D$1,'3-данные'!$E:$E,"&gt;=6"))/COUNTIFS('3-данные'!$A:$A,'3-2'!$A7,'3-данные'!$H:$H,'3-2'!D$1,'3-данные'!$E:$E,"&gt;=0"),"")</f>
        <v>-0.66666666666666663</v>
      </c>
      <c r="E7" s="26">
        <f>IFERROR((COUNTIFS('3-данные'!$A:$A,'3-2'!$A7,'3-данные'!$H:$H,'3-2'!E$1,'3-данные'!$E:$E,"&gt;=9")-COUNTIFS('3-данные'!$A:$A,'3-2'!$A7,'3-данные'!$H:$H,'3-2'!E$1,'3-данные'!$E:$E,"&gt;=6"))/COUNTIFS('3-данные'!$A:$A,'3-2'!$A7,'3-данные'!$H:$H,'3-2'!E$1,'3-данные'!$E:$E,"&gt;=0"),"")</f>
        <v>-0.58333333333333337</v>
      </c>
      <c r="F7" s="26">
        <f>IFERROR((COUNTIFS('3-данные'!$A:$A,'3-2'!$A7,'3-данные'!$H:$H,'3-2'!F$1,'3-данные'!$E:$E,"&gt;=9")-COUNTIFS('3-данные'!$A:$A,'3-2'!$A7,'3-данные'!$H:$H,'3-2'!F$1,'3-данные'!$E:$E,"&gt;=6"))/COUNTIFS('3-данные'!$A:$A,'3-2'!$A7,'3-данные'!$H:$H,'3-2'!F$1,'3-данные'!$E:$E,"&gt;=0"),"")</f>
        <v>-0.66666666666666663</v>
      </c>
      <c r="G7" s="26">
        <f>IFERROR((COUNTIFS('3-данные'!$A:$A,'3-2'!$A7,'3-данные'!$H:$H,'3-2'!G$1,'3-данные'!$E:$E,"&gt;=9")-COUNTIFS('3-данные'!$A:$A,'3-2'!$A7,'3-данные'!$H:$H,'3-2'!G$1,'3-данные'!$E:$E,"&gt;=6"))/COUNTIFS('3-данные'!$A:$A,'3-2'!$A7,'3-данные'!$H:$H,'3-2'!G$1,'3-данные'!$E:$E,"&gt;=0"),"")</f>
        <v>-0.33333333333333331</v>
      </c>
      <c r="H7" s="26">
        <f>IFERROR((COUNTIFS('3-данные'!$A:$A,'3-2'!$A7,'3-данные'!$H:$H,'3-2'!H$1,'3-данные'!$E:$E,"&gt;=9")-COUNTIFS('3-данные'!$A:$A,'3-2'!$A7,'3-данные'!$H:$H,'3-2'!H$1,'3-данные'!$E:$E,"&gt;=6"))/COUNTIFS('3-данные'!$A:$A,'3-2'!$A7,'3-данные'!$H:$H,'3-2'!H$1,'3-данные'!$E:$E,"&gt;=0"),"")</f>
        <v>-0.625</v>
      </c>
      <c r="I7" s="26">
        <f>IFERROR((COUNTIFS('3-данные'!$A:$A,'3-2'!$A7,'3-данные'!$H:$H,'3-2'!I$1,'3-данные'!$E:$E,"&gt;=9")-COUNTIFS('3-данные'!$A:$A,'3-2'!$A7,'3-данные'!$H:$H,'3-2'!I$1,'3-данные'!$E:$E,"&gt;=6"))/COUNTIFS('3-данные'!$A:$A,'3-2'!$A7,'3-данные'!$H:$H,'3-2'!I$1,'3-данные'!$E:$E,"&gt;=0"),"")</f>
        <v>-0.2857142857142857</v>
      </c>
      <c r="J7" s="26">
        <f>IFERROR((COUNTIFS('3-данные'!$A:$A,'3-2'!$A7,'3-данные'!$H:$H,'3-2'!J$1,'3-данные'!$E:$E,"&gt;=9")-COUNTIFS('3-данные'!$A:$A,'3-2'!$A7,'3-данные'!$H:$H,'3-2'!J$1,'3-данные'!$E:$E,"&gt;=6"))/COUNTIFS('3-данные'!$A:$A,'3-2'!$A7,'3-данные'!$H:$H,'3-2'!J$1,'3-данные'!$E:$E,"&gt;=0"),"")</f>
        <v>-0.6</v>
      </c>
      <c r="K7" s="26">
        <f>IFERROR((COUNTIFS('3-данные'!$A:$A,'3-2'!$A7,'3-данные'!$H:$H,'3-2'!K$1,'3-данные'!$E:$E,"&gt;=9")-COUNTIFS('3-данные'!$A:$A,'3-2'!$A7,'3-данные'!$H:$H,'3-2'!K$1,'3-данные'!$E:$E,"&gt;=6"))/COUNTIFS('3-данные'!$A:$A,'3-2'!$A7,'3-данные'!$H:$H,'3-2'!K$1,'3-данные'!$E:$E,"&gt;=0"),"")</f>
        <v>-0.5</v>
      </c>
      <c r="L7" s="26">
        <f>IFERROR((COUNTIFS('3-данные'!$A:$A,'3-2'!$A7,'3-данные'!$H:$H,'3-2'!L$1,'3-данные'!$E:$E,"&gt;=9")-COUNTIFS('3-данные'!$A:$A,'3-2'!$A7,'3-данные'!$H:$H,'3-2'!L$1,'3-данные'!$E:$E,"&gt;=6"))/COUNTIFS('3-данные'!$A:$A,'3-2'!$A7,'3-данные'!$H:$H,'3-2'!L$1,'3-данные'!$E:$E,"&gt;=0"),"")</f>
        <v>-0.55555555555555558</v>
      </c>
      <c r="M7" s="26">
        <f>IFERROR((COUNTIFS('3-данные'!$A:$A,'3-2'!$A7,'3-данные'!$H:$H,'3-2'!M$1,'3-данные'!$E:$E,"&gt;=9")-COUNTIFS('3-данные'!$A:$A,'3-2'!$A7,'3-данные'!$H:$H,'3-2'!M$1,'3-данные'!$E:$E,"&gt;=6"))/COUNTIFS('3-данные'!$A:$A,'3-2'!$A7,'3-данные'!$H:$H,'3-2'!M$1,'3-данные'!$E:$E,"&gt;=0"),"")</f>
        <v>-0.14285714285714285</v>
      </c>
      <c r="N7" s="26" t="str">
        <f>IFERROR((COUNTIFS('3-данные'!$A:$A,'3-2'!$A7,'3-данные'!$H:$H,'3-2'!N$1,'3-данные'!$E:$E,"&gt;=9")-COUNTIFS('3-данные'!$A:$A,'3-2'!$A7,'3-данные'!$H:$H,'3-2'!N$1,'3-данные'!$E:$E,"&gt;=6"))/COUNTIFS('3-данные'!$A:$A,'3-2'!$A7,'3-данные'!$H:$H,'3-2'!N$1,'3-данные'!$E:$E,"&gt;=0"),"")</f>
        <v/>
      </c>
    </row>
    <row r="8" spans="1:14" x14ac:dyDescent="0.25">
      <c r="A8" s="7" t="s">
        <v>19</v>
      </c>
      <c r="B8" s="26">
        <f>IFERROR((COUNTIFS('3-данные'!$A:$A,'3-2'!$A8,'3-данные'!$H:$H,'3-2'!B$1,'3-данные'!$E:$E,"&gt;=9")-COUNTIFS('3-данные'!$A:$A,'3-2'!$A8,'3-данные'!$H:$H,'3-2'!B$1,'3-данные'!$E:$E,"&gt;=6"))/COUNTIFS('3-данные'!$A:$A,'3-2'!$A8,'3-данные'!$H:$H,'3-2'!B$1,'3-данные'!$E:$E,"&gt;=0"),"")</f>
        <v>-0.77777777777777779</v>
      </c>
      <c r="C8" s="26">
        <f>IFERROR((COUNTIFS('3-данные'!$A:$A,'3-2'!$A8,'3-данные'!$H:$H,'3-2'!C$1,'3-данные'!$E:$E,"&gt;=9")-COUNTIFS('3-данные'!$A:$A,'3-2'!$A8,'3-данные'!$H:$H,'3-2'!C$1,'3-данные'!$E:$E,"&gt;=6"))/COUNTIFS('3-данные'!$A:$A,'3-2'!$A8,'3-данные'!$H:$H,'3-2'!C$1,'3-данные'!$E:$E,"&gt;=0"),"")</f>
        <v>-0.5714285714285714</v>
      </c>
      <c r="D8" s="26">
        <f>IFERROR((COUNTIFS('3-данные'!$A:$A,'3-2'!$A8,'3-данные'!$H:$H,'3-2'!D$1,'3-данные'!$E:$E,"&gt;=9")-COUNTIFS('3-данные'!$A:$A,'3-2'!$A8,'3-данные'!$H:$H,'3-2'!D$1,'3-данные'!$E:$E,"&gt;=6"))/COUNTIFS('3-данные'!$A:$A,'3-2'!$A8,'3-данные'!$H:$H,'3-2'!D$1,'3-данные'!$E:$E,"&gt;=0"),"")</f>
        <v>-0.6</v>
      </c>
      <c r="E8" s="26">
        <f>IFERROR((COUNTIFS('3-данные'!$A:$A,'3-2'!$A8,'3-данные'!$H:$H,'3-2'!E$1,'3-данные'!$E:$E,"&gt;=9")-COUNTIFS('3-данные'!$A:$A,'3-2'!$A8,'3-данные'!$H:$H,'3-2'!E$1,'3-данные'!$E:$E,"&gt;=6"))/COUNTIFS('3-данные'!$A:$A,'3-2'!$A8,'3-данные'!$H:$H,'3-2'!E$1,'3-данные'!$E:$E,"&gt;=0"),"")</f>
        <v>-0.5</v>
      </c>
      <c r="F8" s="26">
        <f>IFERROR((COUNTIFS('3-данные'!$A:$A,'3-2'!$A8,'3-данные'!$H:$H,'3-2'!F$1,'3-данные'!$E:$E,"&gt;=9")-COUNTIFS('3-данные'!$A:$A,'3-2'!$A8,'3-данные'!$H:$H,'3-2'!F$1,'3-данные'!$E:$E,"&gt;=6"))/COUNTIFS('3-данные'!$A:$A,'3-2'!$A8,'3-данные'!$H:$H,'3-2'!F$1,'3-данные'!$E:$E,"&gt;=0"),"")</f>
        <v>-0.75</v>
      </c>
      <c r="G8" s="26">
        <f>IFERROR((COUNTIFS('3-данные'!$A:$A,'3-2'!$A8,'3-данные'!$H:$H,'3-2'!G$1,'3-данные'!$E:$E,"&gt;=9")-COUNTIFS('3-данные'!$A:$A,'3-2'!$A8,'3-данные'!$H:$H,'3-2'!G$1,'3-данные'!$E:$E,"&gt;=6"))/COUNTIFS('3-данные'!$A:$A,'3-2'!$A8,'3-данные'!$H:$H,'3-2'!G$1,'3-данные'!$E:$E,"&gt;=0"),"")</f>
        <v>-0.33333333333333331</v>
      </c>
      <c r="H8" s="26">
        <f>IFERROR((COUNTIFS('3-данные'!$A:$A,'3-2'!$A8,'3-данные'!$H:$H,'3-2'!H$1,'3-данные'!$E:$E,"&gt;=9")-COUNTIFS('3-данные'!$A:$A,'3-2'!$A8,'3-данные'!$H:$H,'3-2'!H$1,'3-данные'!$E:$E,"&gt;=6"))/COUNTIFS('3-данные'!$A:$A,'3-2'!$A8,'3-данные'!$H:$H,'3-2'!H$1,'3-данные'!$E:$E,"&gt;=0"),"")</f>
        <v>-0.5</v>
      </c>
      <c r="I8" s="26">
        <f>IFERROR((COUNTIFS('3-данные'!$A:$A,'3-2'!$A8,'3-данные'!$H:$H,'3-2'!I$1,'3-данные'!$E:$E,"&gt;=9")-COUNTIFS('3-данные'!$A:$A,'3-2'!$A8,'3-данные'!$H:$H,'3-2'!I$1,'3-данные'!$E:$E,"&gt;=6"))/COUNTIFS('3-данные'!$A:$A,'3-2'!$A8,'3-данные'!$H:$H,'3-2'!I$1,'3-данные'!$E:$E,"&gt;=0"),"")</f>
        <v>-0.625</v>
      </c>
      <c r="J8" s="26">
        <f>IFERROR((COUNTIFS('3-данные'!$A:$A,'3-2'!$A8,'3-данные'!$H:$H,'3-2'!J$1,'3-данные'!$E:$E,"&gt;=9")-COUNTIFS('3-данные'!$A:$A,'3-2'!$A8,'3-данные'!$H:$H,'3-2'!J$1,'3-данные'!$E:$E,"&gt;=6"))/COUNTIFS('3-данные'!$A:$A,'3-2'!$A8,'3-данные'!$H:$H,'3-2'!J$1,'3-данные'!$E:$E,"&gt;=0"),"")</f>
        <v>-0.7142857142857143</v>
      </c>
      <c r="K8" s="26">
        <f>IFERROR((COUNTIFS('3-данные'!$A:$A,'3-2'!$A8,'3-данные'!$H:$H,'3-2'!K$1,'3-данные'!$E:$E,"&gt;=9")-COUNTIFS('3-данные'!$A:$A,'3-2'!$A8,'3-данные'!$H:$H,'3-2'!K$1,'3-данные'!$E:$E,"&gt;=6"))/COUNTIFS('3-данные'!$A:$A,'3-2'!$A8,'3-данные'!$H:$H,'3-2'!K$1,'3-данные'!$E:$E,"&gt;=0"),"")</f>
        <v>-0.25</v>
      </c>
      <c r="L8" s="26">
        <f>IFERROR((COUNTIFS('3-данные'!$A:$A,'3-2'!$A8,'3-данные'!$H:$H,'3-2'!L$1,'3-данные'!$E:$E,"&gt;=9")-COUNTIFS('3-данные'!$A:$A,'3-2'!$A8,'3-данные'!$H:$H,'3-2'!L$1,'3-данные'!$E:$E,"&gt;=6"))/COUNTIFS('3-данные'!$A:$A,'3-2'!$A8,'3-данные'!$H:$H,'3-2'!L$1,'3-данные'!$E:$E,"&gt;=0"),"")</f>
        <v>-0.45454545454545453</v>
      </c>
      <c r="M8" s="26">
        <f>IFERROR((COUNTIFS('3-данные'!$A:$A,'3-2'!$A8,'3-данные'!$H:$H,'3-2'!M$1,'3-данные'!$E:$E,"&gt;=9")-COUNTIFS('3-данные'!$A:$A,'3-2'!$A8,'3-данные'!$H:$H,'3-2'!M$1,'3-данные'!$E:$E,"&gt;=6"))/COUNTIFS('3-данные'!$A:$A,'3-2'!$A8,'3-данные'!$H:$H,'3-2'!M$1,'3-данные'!$E:$E,"&gt;=0"),"")</f>
        <v>-0.5</v>
      </c>
      <c r="N8" s="26">
        <f>IFERROR((COUNTIFS('3-данные'!$A:$A,'3-2'!$A8,'3-данные'!$H:$H,'3-2'!N$1,'3-данные'!$E:$E,"&gt;=9")-COUNTIFS('3-данные'!$A:$A,'3-2'!$A8,'3-данные'!$H:$H,'3-2'!N$1,'3-данные'!$E:$E,"&gt;=6"))/COUNTIFS('3-данные'!$A:$A,'3-2'!$A8,'3-данные'!$H:$H,'3-2'!N$1,'3-данные'!$E:$E,"&gt;=0"),"")</f>
        <v>-1</v>
      </c>
    </row>
    <row r="9" spans="1:14" x14ac:dyDescent="0.25">
      <c r="A9" s="7" t="s">
        <v>16</v>
      </c>
      <c r="B9" s="26">
        <f>IFERROR((COUNTIFS('3-данные'!$A:$A,'3-2'!$A9,'3-данные'!$H:$H,'3-2'!B$1,'3-данные'!$E:$E,"&gt;=9")-COUNTIFS('3-данные'!$A:$A,'3-2'!$A9,'3-данные'!$H:$H,'3-2'!B$1,'3-данные'!$E:$E,"&gt;=6"))/COUNTIFS('3-данные'!$A:$A,'3-2'!$A9,'3-данные'!$H:$H,'3-2'!B$1,'3-данные'!$E:$E,"&gt;=0"),"")</f>
        <v>-0.25</v>
      </c>
      <c r="C9" s="26">
        <f>IFERROR((COUNTIFS('3-данные'!$A:$A,'3-2'!$A9,'3-данные'!$H:$H,'3-2'!C$1,'3-данные'!$E:$E,"&gt;=9")-COUNTIFS('3-данные'!$A:$A,'3-2'!$A9,'3-данные'!$H:$H,'3-2'!C$1,'3-данные'!$E:$E,"&gt;=6"))/COUNTIFS('3-данные'!$A:$A,'3-2'!$A9,'3-данные'!$H:$H,'3-2'!C$1,'3-данные'!$E:$E,"&gt;=0"),"")</f>
        <v>-0.2857142857142857</v>
      </c>
      <c r="D9" s="26">
        <f>IFERROR((COUNTIFS('3-данные'!$A:$A,'3-2'!$A9,'3-данные'!$H:$H,'3-2'!D$1,'3-данные'!$E:$E,"&gt;=9")-COUNTIFS('3-данные'!$A:$A,'3-2'!$A9,'3-данные'!$H:$H,'3-2'!D$1,'3-данные'!$E:$E,"&gt;=6"))/COUNTIFS('3-данные'!$A:$A,'3-2'!$A9,'3-данные'!$H:$H,'3-2'!D$1,'3-данные'!$E:$E,"&gt;=0"),"")</f>
        <v>-0.75</v>
      </c>
      <c r="E9" s="26">
        <f>IFERROR((COUNTIFS('3-данные'!$A:$A,'3-2'!$A9,'3-данные'!$H:$H,'3-2'!E$1,'3-данные'!$E:$E,"&gt;=9")-COUNTIFS('3-данные'!$A:$A,'3-2'!$A9,'3-данные'!$H:$H,'3-2'!E$1,'3-данные'!$E:$E,"&gt;=6"))/COUNTIFS('3-данные'!$A:$A,'3-2'!$A9,'3-данные'!$H:$H,'3-2'!E$1,'3-данные'!$E:$E,"&gt;=0"),"")</f>
        <v>-0.25</v>
      </c>
      <c r="F9" s="26">
        <f>IFERROR((COUNTIFS('3-данные'!$A:$A,'3-2'!$A9,'3-данные'!$H:$H,'3-2'!F$1,'3-данные'!$E:$E,"&gt;=9")-COUNTIFS('3-данные'!$A:$A,'3-2'!$A9,'3-данные'!$H:$H,'3-2'!F$1,'3-данные'!$E:$E,"&gt;=6"))/COUNTIFS('3-данные'!$A:$A,'3-2'!$A9,'3-данные'!$H:$H,'3-2'!F$1,'3-данные'!$E:$E,"&gt;=0"),"")</f>
        <v>-0.66666666666666663</v>
      </c>
      <c r="G9" s="26">
        <f>IFERROR((COUNTIFS('3-данные'!$A:$A,'3-2'!$A9,'3-данные'!$H:$H,'3-2'!G$1,'3-данные'!$E:$E,"&gt;=9")-COUNTIFS('3-данные'!$A:$A,'3-2'!$A9,'3-данные'!$H:$H,'3-2'!G$1,'3-данные'!$E:$E,"&gt;=6"))/COUNTIFS('3-данные'!$A:$A,'3-2'!$A9,'3-данные'!$H:$H,'3-2'!G$1,'3-данные'!$E:$E,"&gt;=0"),"")</f>
        <v>-0.55555555555555558</v>
      </c>
      <c r="H9" s="26">
        <f>IFERROR((COUNTIFS('3-данные'!$A:$A,'3-2'!$A9,'3-данные'!$H:$H,'3-2'!H$1,'3-данные'!$E:$E,"&gt;=9")-COUNTIFS('3-данные'!$A:$A,'3-2'!$A9,'3-данные'!$H:$H,'3-2'!H$1,'3-данные'!$E:$E,"&gt;=6"))/COUNTIFS('3-данные'!$A:$A,'3-2'!$A9,'3-данные'!$H:$H,'3-2'!H$1,'3-данные'!$E:$E,"&gt;=0"),"")</f>
        <v>-0.5</v>
      </c>
      <c r="I9" s="26">
        <f>IFERROR((COUNTIFS('3-данные'!$A:$A,'3-2'!$A9,'3-данные'!$H:$H,'3-2'!I$1,'3-данные'!$E:$E,"&gt;=9")-COUNTIFS('3-данные'!$A:$A,'3-2'!$A9,'3-данные'!$H:$H,'3-2'!I$1,'3-данные'!$E:$E,"&gt;=6"))/COUNTIFS('3-данные'!$A:$A,'3-2'!$A9,'3-данные'!$H:$H,'3-2'!I$1,'3-данные'!$E:$E,"&gt;=0"),"")</f>
        <v>-0.75</v>
      </c>
      <c r="J9" s="26">
        <f>IFERROR((COUNTIFS('3-данные'!$A:$A,'3-2'!$A9,'3-данные'!$H:$H,'3-2'!J$1,'3-данные'!$E:$E,"&gt;=9")-COUNTIFS('3-данные'!$A:$A,'3-2'!$A9,'3-данные'!$H:$H,'3-2'!J$1,'3-данные'!$E:$E,"&gt;=6"))/COUNTIFS('3-данные'!$A:$A,'3-2'!$A9,'3-данные'!$H:$H,'3-2'!J$1,'3-данные'!$E:$E,"&gt;=0"),"")</f>
        <v>-0.4</v>
      </c>
      <c r="K9" s="26">
        <f>IFERROR((COUNTIFS('3-данные'!$A:$A,'3-2'!$A9,'3-данные'!$H:$H,'3-2'!K$1,'3-данные'!$E:$E,"&gt;=9")-COUNTIFS('3-данные'!$A:$A,'3-2'!$A9,'3-данные'!$H:$H,'3-2'!K$1,'3-данные'!$E:$E,"&gt;=6"))/COUNTIFS('3-данные'!$A:$A,'3-2'!$A9,'3-данные'!$H:$H,'3-2'!K$1,'3-данные'!$E:$E,"&gt;=0"),"")</f>
        <v>-0.6</v>
      </c>
      <c r="L9" s="26">
        <f>IFERROR((COUNTIFS('3-данные'!$A:$A,'3-2'!$A9,'3-данные'!$H:$H,'3-2'!L$1,'3-данные'!$E:$E,"&gt;=9")-COUNTIFS('3-данные'!$A:$A,'3-2'!$A9,'3-данные'!$H:$H,'3-2'!L$1,'3-данные'!$E:$E,"&gt;=6"))/COUNTIFS('3-данные'!$A:$A,'3-2'!$A9,'3-данные'!$H:$H,'3-2'!L$1,'3-данные'!$E:$E,"&gt;=0"),"")</f>
        <v>-0.63636363636363635</v>
      </c>
      <c r="M9" s="26">
        <f>IFERROR((COUNTIFS('3-данные'!$A:$A,'3-2'!$A9,'3-данные'!$H:$H,'3-2'!M$1,'3-данные'!$E:$E,"&gt;=9")-COUNTIFS('3-данные'!$A:$A,'3-2'!$A9,'3-данные'!$H:$H,'3-2'!M$1,'3-данные'!$E:$E,"&gt;=6"))/COUNTIFS('3-данные'!$A:$A,'3-2'!$A9,'3-данные'!$H:$H,'3-2'!M$1,'3-данные'!$E:$E,"&gt;=0"),"")</f>
        <v>-0.8571428571428571</v>
      </c>
      <c r="N9" s="26" t="str">
        <f>IFERROR((COUNTIFS('3-данные'!$A:$A,'3-2'!$A9,'3-данные'!$H:$H,'3-2'!N$1,'3-данные'!$E:$E,"&gt;=9")-COUNTIFS('3-данные'!$A:$A,'3-2'!$A9,'3-данные'!$H:$H,'3-2'!N$1,'3-данные'!$E:$E,"&gt;=6"))/COUNTIFS('3-данные'!$A:$A,'3-2'!$A9,'3-данные'!$H:$H,'3-2'!N$1,'3-данные'!$E:$E,"&gt;=0"),"")</f>
        <v/>
      </c>
    </row>
    <row r="10" spans="1:14" x14ac:dyDescent="0.25">
      <c r="A10" s="7" t="s">
        <v>8</v>
      </c>
      <c r="B10" s="26">
        <f>IFERROR((COUNTIFS('3-данные'!$A:$A,'3-2'!$A10,'3-данные'!$H:$H,'3-2'!B$1,'3-данные'!$E:$E,"&gt;=9")-COUNTIFS('3-данные'!$A:$A,'3-2'!$A10,'3-данные'!$H:$H,'3-2'!B$1,'3-данные'!$E:$E,"&gt;=6"))/COUNTIFS('3-данные'!$A:$A,'3-2'!$A10,'3-данные'!$H:$H,'3-2'!B$1,'3-данные'!$E:$E,"&gt;=0"),"")</f>
        <v>-0.66666666666666663</v>
      </c>
      <c r="C10" s="26">
        <f>IFERROR((COUNTIFS('3-данные'!$A:$A,'3-2'!$A10,'3-данные'!$H:$H,'3-2'!C$1,'3-данные'!$E:$E,"&gt;=9")-COUNTIFS('3-данные'!$A:$A,'3-2'!$A10,'3-данные'!$H:$H,'3-2'!C$1,'3-данные'!$E:$E,"&gt;=6"))/COUNTIFS('3-данные'!$A:$A,'3-2'!$A10,'3-данные'!$H:$H,'3-2'!C$1,'3-данные'!$E:$E,"&gt;=0"),"")</f>
        <v>-0.2857142857142857</v>
      </c>
      <c r="D10" s="26">
        <f>IFERROR((COUNTIFS('3-данные'!$A:$A,'3-2'!$A10,'3-данные'!$H:$H,'3-2'!D$1,'3-данные'!$E:$E,"&gt;=9")-COUNTIFS('3-данные'!$A:$A,'3-2'!$A10,'3-данные'!$H:$H,'3-2'!D$1,'3-данные'!$E:$E,"&gt;=6"))/COUNTIFS('3-данные'!$A:$A,'3-2'!$A10,'3-данные'!$H:$H,'3-2'!D$1,'3-данные'!$E:$E,"&gt;=0"),"")</f>
        <v>-0.33333333333333331</v>
      </c>
      <c r="E10" s="26">
        <f>IFERROR((COUNTIFS('3-данные'!$A:$A,'3-2'!$A10,'3-данные'!$H:$H,'3-2'!E$1,'3-данные'!$E:$E,"&gt;=9")-COUNTIFS('3-данные'!$A:$A,'3-2'!$A10,'3-данные'!$H:$H,'3-2'!E$1,'3-данные'!$E:$E,"&gt;=6"))/COUNTIFS('3-данные'!$A:$A,'3-2'!$A10,'3-данные'!$H:$H,'3-2'!E$1,'3-данные'!$E:$E,"&gt;=0"),"")</f>
        <v>-0.2</v>
      </c>
      <c r="F10" s="26">
        <f>IFERROR((COUNTIFS('3-данные'!$A:$A,'3-2'!$A10,'3-данные'!$H:$H,'3-2'!F$1,'3-данные'!$E:$E,"&gt;=9")-COUNTIFS('3-данные'!$A:$A,'3-2'!$A10,'3-данные'!$H:$H,'3-2'!F$1,'3-данные'!$E:$E,"&gt;=6"))/COUNTIFS('3-данные'!$A:$A,'3-2'!$A10,'3-данные'!$H:$H,'3-2'!F$1,'3-данные'!$E:$E,"&gt;=0"),"")</f>
        <v>-0.55555555555555558</v>
      </c>
      <c r="G10" s="26">
        <f>IFERROR((COUNTIFS('3-данные'!$A:$A,'3-2'!$A10,'3-данные'!$H:$H,'3-2'!G$1,'3-данные'!$E:$E,"&gt;=9")-COUNTIFS('3-данные'!$A:$A,'3-2'!$A10,'3-данные'!$H:$H,'3-2'!G$1,'3-данные'!$E:$E,"&gt;=6"))/COUNTIFS('3-данные'!$A:$A,'3-2'!$A10,'3-данные'!$H:$H,'3-2'!G$1,'3-данные'!$E:$E,"&gt;=0"),"")</f>
        <v>-0.5</v>
      </c>
      <c r="H10" s="26">
        <f>IFERROR((COUNTIFS('3-данные'!$A:$A,'3-2'!$A10,'3-данные'!$H:$H,'3-2'!H$1,'3-данные'!$E:$E,"&gt;=9")-COUNTIFS('3-данные'!$A:$A,'3-2'!$A10,'3-данные'!$H:$H,'3-2'!H$1,'3-данные'!$E:$E,"&gt;=6"))/COUNTIFS('3-данные'!$A:$A,'3-2'!$A10,'3-данные'!$H:$H,'3-2'!H$1,'3-данные'!$E:$E,"&gt;=0"),"")</f>
        <v>-1</v>
      </c>
      <c r="I10" s="26">
        <f>IFERROR((COUNTIFS('3-данные'!$A:$A,'3-2'!$A10,'3-данные'!$H:$H,'3-2'!I$1,'3-данные'!$E:$E,"&gt;=9")-COUNTIFS('3-данные'!$A:$A,'3-2'!$A10,'3-данные'!$H:$H,'3-2'!I$1,'3-данные'!$E:$E,"&gt;=6"))/COUNTIFS('3-данные'!$A:$A,'3-2'!$A10,'3-данные'!$H:$H,'3-2'!I$1,'3-данные'!$E:$E,"&gt;=0"),"")</f>
        <v>-0.42857142857142855</v>
      </c>
      <c r="J10" s="26">
        <f>IFERROR((COUNTIFS('3-данные'!$A:$A,'3-2'!$A10,'3-данные'!$H:$H,'3-2'!J$1,'3-данные'!$E:$E,"&gt;=9")-COUNTIFS('3-данные'!$A:$A,'3-2'!$A10,'3-данные'!$H:$H,'3-2'!J$1,'3-данные'!$E:$E,"&gt;=6"))/COUNTIFS('3-данные'!$A:$A,'3-2'!$A10,'3-данные'!$H:$H,'3-2'!J$1,'3-данные'!$E:$E,"&gt;=0"),"")</f>
        <v>-0.7142857142857143</v>
      </c>
      <c r="K10" s="26">
        <f>IFERROR((COUNTIFS('3-данные'!$A:$A,'3-2'!$A10,'3-данные'!$H:$H,'3-2'!K$1,'3-данные'!$E:$E,"&gt;=9")-COUNTIFS('3-данные'!$A:$A,'3-2'!$A10,'3-данные'!$H:$H,'3-2'!K$1,'3-данные'!$E:$E,"&gt;=6"))/COUNTIFS('3-данные'!$A:$A,'3-2'!$A10,'3-данные'!$H:$H,'3-2'!K$1,'3-данные'!$E:$E,"&gt;=0"),"")</f>
        <v>-0.33333333333333331</v>
      </c>
      <c r="L10" s="26">
        <f>IFERROR((COUNTIFS('3-данные'!$A:$A,'3-2'!$A10,'3-данные'!$H:$H,'3-2'!L$1,'3-данные'!$E:$E,"&gt;=9")-COUNTIFS('3-данные'!$A:$A,'3-2'!$A10,'3-данные'!$H:$H,'3-2'!L$1,'3-данные'!$E:$E,"&gt;=6"))/COUNTIFS('3-данные'!$A:$A,'3-2'!$A10,'3-данные'!$H:$H,'3-2'!L$1,'3-данные'!$E:$E,"&gt;=0"),"")</f>
        <v>-0.66666666666666663</v>
      </c>
      <c r="M10" s="26">
        <f>IFERROR((COUNTIFS('3-данные'!$A:$A,'3-2'!$A10,'3-данные'!$H:$H,'3-2'!M$1,'3-данные'!$E:$E,"&gt;=9")-COUNTIFS('3-данные'!$A:$A,'3-2'!$A10,'3-данные'!$H:$H,'3-2'!M$1,'3-данные'!$E:$E,"&gt;=6"))/COUNTIFS('3-данные'!$A:$A,'3-2'!$A10,'3-данные'!$H:$H,'3-2'!M$1,'3-данные'!$E:$E,"&gt;=0"),"")</f>
        <v>-0.8</v>
      </c>
      <c r="N10" s="26" t="str">
        <f>IFERROR((COUNTIFS('3-данные'!$A:$A,'3-2'!$A10,'3-данные'!$H:$H,'3-2'!N$1,'3-данные'!$E:$E,"&gt;=9")-COUNTIFS('3-данные'!$A:$A,'3-2'!$A10,'3-данные'!$H:$H,'3-2'!N$1,'3-данные'!$E:$E,"&gt;=6"))/COUNTIFS('3-данные'!$A:$A,'3-2'!$A10,'3-данные'!$H:$H,'3-2'!N$1,'3-данные'!$E:$E,"&gt;=0"),"")</f>
        <v/>
      </c>
    </row>
    <row r="11" spans="1:14" x14ac:dyDescent="0.25">
      <c r="A11" s="7" t="s">
        <v>26</v>
      </c>
      <c r="B11" s="26">
        <f>IFERROR((COUNTIFS('3-данные'!$A:$A,'3-2'!$A11,'3-данные'!$H:$H,'3-2'!B$1,'3-данные'!$E:$E,"&gt;=9")-COUNTIFS('3-данные'!$A:$A,'3-2'!$A11,'3-данные'!$H:$H,'3-2'!B$1,'3-данные'!$E:$E,"&gt;=6"))/COUNTIFS('3-данные'!$A:$A,'3-2'!$A11,'3-данные'!$H:$H,'3-2'!B$1,'3-данные'!$E:$E,"&gt;=0"),"")</f>
        <v>-0.2857142857142857</v>
      </c>
      <c r="C11" s="26">
        <f>IFERROR((COUNTIFS('3-данные'!$A:$A,'3-2'!$A11,'3-данные'!$H:$H,'3-2'!C$1,'3-данные'!$E:$E,"&gt;=9")-COUNTIFS('3-данные'!$A:$A,'3-2'!$A11,'3-данные'!$H:$H,'3-2'!C$1,'3-данные'!$E:$E,"&gt;=6"))/COUNTIFS('3-данные'!$A:$A,'3-2'!$A11,'3-данные'!$H:$H,'3-2'!C$1,'3-данные'!$E:$E,"&gt;=0"),"")</f>
        <v>-0.7142857142857143</v>
      </c>
      <c r="D11" s="26">
        <f>IFERROR((COUNTIFS('3-данные'!$A:$A,'3-2'!$A11,'3-данные'!$H:$H,'3-2'!D$1,'3-данные'!$E:$E,"&gt;=9")-COUNTIFS('3-данные'!$A:$A,'3-2'!$A11,'3-данные'!$H:$H,'3-2'!D$1,'3-данные'!$E:$E,"&gt;=6"))/COUNTIFS('3-данные'!$A:$A,'3-2'!$A11,'3-данные'!$H:$H,'3-2'!D$1,'3-данные'!$E:$E,"&gt;=0"),"")</f>
        <v>-0.42857142857142855</v>
      </c>
      <c r="E11" s="26">
        <f>IFERROR((COUNTIFS('3-данные'!$A:$A,'3-2'!$A11,'3-данные'!$H:$H,'3-2'!E$1,'3-данные'!$E:$E,"&gt;=9")-COUNTIFS('3-данные'!$A:$A,'3-2'!$A11,'3-данные'!$H:$H,'3-2'!E$1,'3-данные'!$E:$E,"&gt;=6"))/COUNTIFS('3-данные'!$A:$A,'3-2'!$A11,'3-данные'!$H:$H,'3-2'!E$1,'3-данные'!$E:$E,"&gt;=0"),"")</f>
        <v>-0.625</v>
      </c>
      <c r="F11" s="26">
        <f>IFERROR((COUNTIFS('3-данные'!$A:$A,'3-2'!$A11,'3-данные'!$H:$H,'3-2'!F$1,'3-данные'!$E:$E,"&gt;=9")-COUNTIFS('3-данные'!$A:$A,'3-2'!$A11,'3-данные'!$H:$H,'3-2'!F$1,'3-данные'!$E:$E,"&gt;=6"))/COUNTIFS('3-данные'!$A:$A,'3-2'!$A11,'3-данные'!$H:$H,'3-2'!F$1,'3-данные'!$E:$E,"&gt;=0"),"")</f>
        <v>-0.42857142857142855</v>
      </c>
      <c r="G11" s="26">
        <f>IFERROR((COUNTIFS('3-данные'!$A:$A,'3-2'!$A11,'3-данные'!$H:$H,'3-2'!G$1,'3-данные'!$E:$E,"&gt;=9")-COUNTIFS('3-данные'!$A:$A,'3-2'!$A11,'3-данные'!$H:$H,'3-2'!G$1,'3-данные'!$E:$E,"&gt;=6"))/COUNTIFS('3-данные'!$A:$A,'3-2'!$A11,'3-данные'!$H:$H,'3-2'!G$1,'3-данные'!$E:$E,"&gt;=0"),"")</f>
        <v>-0.5</v>
      </c>
      <c r="H11" s="26">
        <f>IFERROR((COUNTIFS('3-данные'!$A:$A,'3-2'!$A11,'3-данные'!$H:$H,'3-2'!H$1,'3-данные'!$E:$E,"&gt;=9")-COUNTIFS('3-данные'!$A:$A,'3-2'!$A11,'3-данные'!$H:$H,'3-2'!H$1,'3-данные'!$E:$E,"&gt;=6"))/COUNTIFS('3-данные'!$A:$A,'3-2'!$A11,'3-данные'!$H:$H,'3-2'!H$1,'3-данные'!$E:$E,"&gt;=0"),"")</f>
        <v>-0.75</v>
      </c>
      <c r="I11" s="26">
        <f>IFERROR((COUNTIFS('3-данные'!$A:$A,'3-2'!$A11,'3-данные'!$H:$H,'3-2'!I$1,'3-данные'!$E:$E,"&gt;=9")-COUNTIFS('3-данные'!$A:$A,'3-2'!$A11,'3-данные'!$H:$H,'3-2'!I$1,'3-данные'!$E:$E,"&gt;=6"))/COUNTIFS('3-данные'!$A:$A,'3-2'!$A11,'3-данные'!$H:$H,'3-2'!I$1,'3-данные'!$E:$E,"&gt;=0"),"")</f>
        <v>-0.5714285714285714</v>
      </c>
      <c r="J11" s="26">
        <f>IFERROR((COUNTIFS('3-данные'!$A:$A,'3-2'!$A11,'3-данные'!$H:$H,'3-2'!J$1,'3-данные'!$E:$E,"&gt;=9")-COUNTIFS('3-данные'!$A:$A,'3-2'!$A11,'3-данные'!$H:$H,'3-2'!J$1,'3-данные'!$E:$E,"&gt;=6"))/COUNTIFS('3-данные'!$A:$A,'3-2'!$A11,'3-данные'!$H:$H,'3-2'!J$1,'3-данные'!$E:$E,"&gt;=0"),"")</f>
        <v>-0.6</v>
      </c>
      <c r="K11" s="26">
        <f>IFERROR((COUNTIFS('3-данные'!$A:$A,'3-2'!$A11,'3-данные'!$H:$H,'3-2'!K$1,'3-данные'!$E:$E,"&gt;=9")-COUNTIFS('3-данные'!$A:$A,'3-2'!$A11,'3-данные'!$H:$H,'3-2'!K$1,'3-данные'!$E:$E,"&gt;=6"))/COUNTIFS('3-данные'!$A:$A,'3-2'!$A11,'3-данные'!$H:$H,'3-2'!K$1,'3-данные'!$E:$E,"&gt;=0"),"")</f>
        <v>-0.5</v>
      </c>
      <c r="L11" s="26">
        <f>IFERROR((COUNTIFS('3-данные'!$A:$A,'3-2'!$A11,'3-данные'!$H:$H,'3-2'!L$1,'3-данные'!$E:$E,"&gt;=9")-COUNTIFS('3-данные'!$A:$A,'3-2'!$A11,'3-данные'!$H:$H,'3-2'!L$1,'3-данные'!$E:$E,"&gt;=6"))/COUNTIFS('3-данные'!$A:$A,'3-2'!$A11,'3-данные'!$H:$H,'3-2'!L$1,'3-данные'!$E:$E,"&gt;=0"),"")</f>
        <v>-0.42857142857142855</v>
      </c>
      <c r="M11" s="26">
        <f>IFERROR((COUNTIFS('3-данные'!$A:$A,'3-2'!$A11,'3-данные'!$H:$H,'3-2'!M$1,'3-данные'!$E:$E,"&gt;=9")-COUNTIFS('3-данные'!$A:$A,'3-2'!$A11,'3-данные'!$H:$H,'3-2'!M$1,'3-данные'!$E:$E,"&gt;=6"))/COUNTIFS('3-данные'!$A:$A,'3-2'!$A11,'3-данные'!$H:$H,'3-2'!M$1,'3-данные'!$E:$E,"&gt;=0"),"")</f>
        <v>0</v>
      </c>
      <c r="N11" s="26" t="str">
        <f>IFERROR((COUNTIFS('3-данные'!$A:$A,'3-2'!$A11,'3-данные'!$H:$H,'3-2'!N$1,'3-данные'!$E:$E,"&gt;=9")-COUNTIFS('3-данные'!$A:$A,'3-2'!$A11,'3-данные'!$H:$H,'3-2'!N$1,'3-данные'!$E:$E,"&gt;=6"))/COUNTIFS('3-данные'!$A:$A,'3-2'!$A11,'3-данные'!$H:$H,'3-2'!N$1,'3-данные'!$E:$E,"&gt;=0"),"")</f>
        <v/>
      </c>
    </row>
    <row r="12" spans="1:14" x14ac:dyDescent="0.25">
      <c r="A12" s="7" t="s">
        <v>38</v>
      </c>
      <c r="B12" s="26">
        <f>IFERROR((COUNTIFS('3-данные'!$A:$A,'3-2'!$A12,'3-данные'!$H:$H,'3-2'!B$1,'3-данные'!$E:$E,"&gt;=9")-COUNTIFS('3-данные'!$A:$A,'3-2'!$A12,'3-данные'!$H:$H,'3-2'!B$1,'3-данные'!$E:$E,"&gt;=6"))/COUNTIFS('3-данные'!$A:$A,'3-2'!$A12,'3-данные'!$H:$H,'3-2'!B$1,'3-данные'!$E:$E,"&gt;=0"),"")</f>
        <v>-0.66666666666666663</v>
      </c>
      <c r="C12" s="26">
        <f>IFERROR((COUNTIFS('3-данные'!$A:$A,'3-2'!$A12,'3-данные'!$H:$H,'3-2'!C$1,'3-данные'!$E:$E,"&gt;=9")-COUNTIFS('3-данные'!$A:$A,'3-2'!$A12,'3-данные'!$H:$H,'3-2'!C$1,'3-данные'!$E:$E,"&gt;=6"))/COUNTIFS('3-данные'!$A:$A,'3-2'!$A12,'3-данные'!$H:$H,'3-2'!C$1,'3-данные'!$E:$E,"&gt;=0"),"")</f>
        <v>-0.2857142857142857</v>
      </c>
      <c r="D12" s="26">
        <f>IFERROR((COUNTIFS('3-данные'!$A:$A,'3-2'!$A12,'3-данные'!$H:$H,'3-2'!D$1,'3-данные'!$E:$E,"&gt;=9")-COUNTIFS('3-данные'!$A:$A,'3-2'!$A12,'3-данные'!$H:$H,'3-2'!D$1,'3-данные'!$E:$E,"&gt;=6"))/COUNTIFS('3-данные'!$A:$A,'3-2'!$A12,'3-данные'!$H:$H,'3-2'!D$1,'3-данные'!$E:$E,"&gt;=0"),"")</f>
        <v>-0.5</v>
      </c>
      <c r="E12" s="26">
        <f>IFERROR((COUNTIFS('3-данные'!$A:$A,'3-2'!$A12,'3-данные'!$H:$H,'3-2'!E$1,'3-данные'!$E:$E,"&gt;=9")-COUNTIFS('3-данные'!$A:$A,'3-2'!$A12,'3-данные'!$H:$H,'3-2'!E$1,'3-данные'!$E:$E,"&gt;=6"))/COUNTIFS('3-данные'!$A:$A,'3-2'!$A12,'3-данные'!$H:$H,'3-2'!E$1,'3-данные'!$E:$E,"&gt;=0"),"")</f>
        <v>-0.16666666666666666</v>
      </c>
      <c r="F12" s="26">
        <f>IFERROR((COUNTIFS('3-данные'!$A:$A,'3-2'!$A12,'3-данные'!$H:$H,'3-2'!F$1,'3-данные'!$E:$E,"&gt;=9")-COUNTIFS('3-данные'!$A:$A,'3-2'!$A12,'3-данные'!$H:$H,'3-2'!F$1,'3-данные'!$E:$E,"&gt;=6"))/COUNTIFS('3-данные'!$A:$A,'3-2'!$A12,'3-данные'!$H:$H,'3-2'!F$1,'3-данные'!$E:$E,"&gt;=0"),"")</f>
        <v>0</v>
      </c>
      <c r="G12" s="26">
        <f>IFERROR((COUNTIFS('3-данные'!$A:$A,'3-2'!$A12,'3-данные'!$H:$H,'3-2'!G$1,'3-данные'!$E:$E,"&gt;=9")-COUNTIFS('3-данные'!$A:$A,'3-2'!$A12,'3-данные'!$H:$H,'3-2'!G$1,'3-данные'!$E:$E,"&gt;=6"))/COUNTIFS('3-данные'!$A:$A,'3-2'!$A12,'3-данные'!$H:$H,'3-2'!G$1,'3-данные'!$E:$E,"&gt;=0"),"")</f>
        <v>-0.875</v>
      </c>
      <c r="H12" s="26">
        <f>IFERROR((COUNTIFS('3-данные'!$A:$A,'3-2'!$A12,'3-данные'!$H:$H,'3-2'!H$1,'3-данные'!$E:$E,"&gt;=9")-COUNTIFS('3-данные'!$A:$A,'3-2'!$A12,'3-данные'!$H:$H,'3-2'!H$1,'3-данные'!$E:$E,"&gt;=6"))/COUNTIFS('3-данные'!$A:$A,'3-2'!$A12,'3-данные'!$H:$H,'3-2'!H$1,'3-данные'!$E:$E,"&gt;=0"),"")</f>
        <v>-1</v>
      </c>
      <c r="I12" s="26">
        <f>IFERROR((COUNTIFS('3-данные'!$A:$A,'3-2'!$A12,'3-данные'!$H:$H,'3-2'!I$1,'3-данные'!$E:$E,"&gt;=9")-COUNTIFS('3-данные'!$A:$A,'3-2'!$A12,'3-данные'!$H:$H,'3-2'!I$1,'3-данные'!$E:$E,"&gt;=6"))/COUNTIFS('3-данные'!$A:$A,'3-2'!$A12,'3-данные'!$H:$H,'3-2'!I$1,'3-данные'!$E:$E,"&gt;=0"),"")</f>
        <v>-0.5</v>
      </c>
      <c r="J12" s="26">
        <f>IFERROR((COUNTIFS('3-данные'!$A:$A,'3-2'!$A12,'3-данные'!$H:$H,'3-2'!J$1,'3-данные'!$E:$E,"&gt;=9")-COUNTIFS('3-данные'!$A:$A,'3-2'!$A12,'3-данные'!$H:$H,'3-2'!J$1,'3-данные'!$E:$E,"&gt;=6"))/COUNTIFS('3-данные'!$A:$A,'3-2'!$A12,'3-данные'!$H:$H,'3-2'!J$1,'3-данные'!$E:$E,"&gt;=0"),"")</f>
        <v>-0.6</v>
      </c>
      <c r="K12" s="26">
        <f>IFERROR((COUNTIFS('3-данные'!$A:$A,'3-2'!$A12,'3-данные'!$H:$H,'3-2'!K$1,'3-данные'!$E:$E,"&gt;=9")-COUNTIFS('3-данные'!$A:$A,'3-2'!$A12,'3-данные'!$H:$H,'3-2'!K$1,'3-данные'!$E:$E,"&gt;=6"))/COUNTIFS('3-данные'!$A:$A,'3-2'!$A12,'3-данные'!$H:$H,'3-2'!K$1,'3-данные'!$E:$E,"&gt;=0"),"")</f>
        <v>-0.66666666666666663</v>
      </c>
      <c r="L12" s="26">
        <f>IFERROR((COUNTIFS('3-данные'!$A:$A,'3-2'!$A12,'3-данные'!$H:$H,'3-2'!L$1,'3-данные'!$E:$E,"&gt;=9")-COUNTIFS('3-данные'!$A:$A,'3-2'!$A12,'3-данные'!$H:$H,'3-2'!L$1,'3-данные'!$E:$E,"&gt;=6"))/COUNTIFS('3-данные'!$A:$A,'3-2'!$A12,'3-данные'!$H:$H,'3-2'!L$1,'3-данные'!$E:$E,"&gt;=0"),"")</f>
        <v>-0.25</v>
      </c>
      <c r="M12" s="26">
        <f>IFERROR((COUNTIFS('3-данные'!$A:$A,'3-2'!$A12,'3-данные'!$H:$H,'3-2'!M$1,'3-данные'!$E:$E,"&gt;=9")-COUNTIFS('3-данные'!$A:$A,'3-2'!$A12,'3-данные'!$H:$H,'3-2'!M$1,'3-данные'!$E:$E,"&gt;=6"))/COUNTIFS('3-данные'!$A:$A,'3-2'!$A12,'3-данные'!$H:$H,'3-2'!M$1,'3-данные'!$E:$E,"&gt;=0"),"")</f>
        <v>-0.4</v>
      </c>
      <c r="N12" s="26">
        <f>IFERROR((COUNTIFS('3-данные'!$A:$A,'3-2'!$A12,'3-данные'!$H:$H,'3-2'!N$1,'3-данные'!$E:$E,"&gt;=9")-COUNTIFS('3-данные'!$A:$A,'3-2'!$A12,'3-данные'!$H:$H,'3-2'!N$1,'3-данные'!$E:$E,"&gt;=6"))/COUNTIFS('3-данные'!$A:$A,'3-2'!$A12,'3-данные'!$H:$H,'3-2'!N$1,'3-данные'!$E:$E,"&gt;=0"),"")</f>
        <v>-0.66666666666666663</v>
      </c>
    </row>
    <row r="13" spans="1:14" x14ac:dyDescent="0.25">
      <c r="A13" s="7" t="s">
        <v>21</v>
      </c>
      <c r="B13" s="26">
        <f>IFERROR((COUNTIFS('3-данные'!$A:$A,'3-2'!$A13,'3-данные'!$H:$H,'3-2'!B$1,'3-данные'!$E:$E,"&gt;=9")-COUNTIFS('3-данные'!$A:$A,'3-2'!$A13,'3-данные'!$H:$H,'3-2'!B$1,'3-данные'!$E:$E,"&gt;=6"))/COUNTIFS('3-данные'!$A:$A,'3-2'!$A13,'3-данные'!$H:$H,'3-2'!B$1,'3-данные'!$E:$E,"&gt;=0"),"")</f>
        <v>-0.375</v>
      </c>
      <c r="C13" s="26">
        <f>IFERROR((COUNTIFS('3-данные'!$A:$A,'3-2'!$A13,'3-данные'!$H:$H,'3-2'!C$1,'3-данные'!$E:$E,"&gt;=9")-COUNTIFS('3-данные'!$A:$A,'3-2'!$A13,'3-данные'!$H:$H,'3-2'!C$1,'3-данные'!$E:$E,"&gt;=6"))/COUNTIFS('3-данные'!$A:$A,'3-2'!$A13,'3-данные'!$H:$H,'3-2'!C$1,'3-данные'!$E:$E,"&gt;=0"),"")</f>
        <v>-0.66666666666666663</v>
      </c>
      <c r="D13" s="26">
        <f>IFERROR((COUNTIFS('3-данные'!$A:$A,'3-2'!$A13,'3-данные'!$H:$H,'3-2'!D$1,'3-данные'!$E:$E,"&gt;=9")-COUNTIFS('3-данные'!$A:$A,'3-2'!$A13,'3-данные'!$H:$H,'3-2'!D$1,'3-данные'!$E:$E,"&gt;=6"))/COUNTIFS('3-данные'!$A:$A,'3-2'!$A13,'3-данные'!$H:$H,'3-2'!D$1,'3-данные'!$E:$E,"&gt;=0"),"")</f>
        <v>-0.4</v>
      </c>
      <c r="E13" s="26">
        <f>IFERROR((COUNTIFS('3-данные'!$A:$A,'3-2'!$A13,'3-данные'!$H:$H,'3-2'!E$1,'3-данные'!$E:$E,"&gt;=9")-COUNTIFS('3-данные'!$A:$A,'3-2'!$A13,'3-данные'!$H:$H,'3-2'!E$1,'3-данные'!$E:$E,"&gt;=6"))/COUNTIFS('3-данные'!$A:$A,'3-2'!$A13,'3-данные'!$H:$H,'3-2'!E$1,'3-данные'!$E:$E,"&gt;=0"),"")</f>
        <v>-0.66666666666666663</v>
      </c>
      <c r="F13" s="26">
        <f>IFERROR((COUNTIFS('3-данные'!$A:$A,'3-2'!$A13,'3-данные'!$H:$H,'3-2'!F$1,'3-данные'!$E:$E,"&gt;=9")-COUNTIFS('3-данные'!$A:$A,'3-2'!$A13,'3-данные'!$H:$H,'3-2'!F$1,'3-данные'!$E:$E,"&gt;=6"))/COUNTIFS('3-данные'!$A:$A,'3-2'!$A13,'3-данные'!$H:$H,'3-2'!F$1,'3-данные'!$E:$E,"&gt;=0"),"")</f>
        <v>-0.33333333333333331</v>
      </c>
      <c r="G13" s="26">
        <f>IFERROR((COUNTIFS('3-данные'!$A:$A,'3-2'!$A13,'3-данные'!$H:$H,'3-2'!G$1,'3-данные'!$E:$E,"&gt;=9")-COUNTIFS('3-данные'!$A:$A,'3-2'!$A13,'3-данные'!$H:$H,'3-2'!G$1,'3-данные'!$E:$E,"&gt;=6"))/COUNTIFS('3-данные'!$A:$A,'3-2'!$A13,'3-данные'!$H:$H,'3-2'!G$1,'3-данные'!$E:$E,"&gt;=0"),"")</f>
        <v>-0.4</v>
      </c>
      <c r="H13" s="26">
        <f>IFERROR((COUNTIFS('3-данные'!$A:$A,'3-2'!$A13,'3-данные'!$H:$H,'3-2'!H$1,'3-данные'!$E:$E,"&gt;=9")-COUNTIFS('3-данные'!$A:$A,'3-2'!$A13,'3-данные'!$H:$H,'3-2'!H$1,'3-данные'!$E:$E,"&gt;=6"))/COUNTIFS('3-данные'!$A:$A,'3-2'!$A13,'3-данные'!$H:$H,'3-2'!H$1,'3-данные'!$E:$E,"&gt;=0"),"")</f>
        <v>-0.72727272727272729</v>
      </c>
      <c r="I13" s="26">
        <f>IFERROR((COUNTIFS('3-данные'!$A:$A,'3-2'!$A13,'3-данные'!$H:$H,'3-2'!I$1,'3-данные'!$E:$E,"&gt;=9")-COUNTIFS('3-данные'!$A:$A,'3-2'!$A13,'3-данные'!$H:$H,'3-2'!I$1,'3-данные'!$E:$E,"&gt;=6"))/COUNTIFS('3-данные'!$A:$A,'3-2'!$A13,'3-данные'!$H:$H,'3-2'!I$1,'3-данные'!$E:$E,"&gt;=0"),"")</f>
        <v>-0.44444444444444442</v>
      </c>
      <c r="J13" s="26">
        <f>IFERROR((COUNTIFS('3-данные'!$A:$A,'3-2'!$A13,'3-данные'!$H:$H,'3-2'!J$1,'3-данные'!$E:$E,"&gt;=9")-COUNTIFS('3-данные'!$A:$A,'3-2'!$A13,'3-данные'!$H:$H,'3-2'!J$1,'3-данные'!$E:$E,"&gt;=6"))/COUNTIFS('3-данные'!$A:$A,'3-2'!$A13,'3-данные'!$H:$H,'3-2'!J$1,'3-данные'!$E:$E,"&gt;=0"),"")</f>
        <v>-0.66666666666666663</v>
      </c>
      <c r="K13" s="26">
        <f>IFERROR((COUNTIFS('3-данные'!$A:$A,'3-2'!$A13,'3-данные'!$H:$H,'3-2'!K$1,'3-данные'!$E:$E,"&gt;=9")-COUNTIFS('3-данные'!$A:$A,'3-2'!$A13,'3-данные'!$H:$H,'3-2'!K$1,'3-данные'!$E:$E,"&gt;=6"))/COUNTIFS('3-данные'!$A:$A,'3-2'!$A13,'3-данные'!$H:$H,'3-2'!K$1,'3-данные'!$E:$E,"&gt;=0"),"")</f>
        <v>-0.5</v>
      </c>
      <c r="L13" s="26">
        <f>IFERROR((COUNTIFS('3-данные'!$A:$A,'3-2'!$A13,'3-данные'!$H:$H,'3-2'!L$1,'3-данные'!$E:$E,"&gt;=9")-COUNTIFS('3-данные'!$A:$A,'3-2'!$A13,'3-данные'!$H:$H,'3-2'!L$1,'3-данные'!$E:$E,"&gt;=6"))/COUNTIFS('3-данные'!$A:$A,'3-2'!$A13,'3-данные'!$H:$H,'3-2'!L$1,'3-данные'!$E:$E,"&gt;=0"),"")</f>
        <v>-0.625</v>
      </c>
      <c r="M13" s="26">
        <f>IFERROR((COUNTIFS('3-данные'!$A:$A,'3-2'!$A13,'3-данные'!$H:$H,'3-2'!M$1,'3-данные'!$E:$E,"&gt;=9")-COUNTIFS('3-данные'!$A:$A,'3-2'!$A13,'3-данные'!$H:$H,'3-2'!M$1,'3-данные'!$E:$E,"&gt;=6"))/COUNTIFS('3-данные'!$A:$A,'3-2'!$A13,'3-данные'!$H:$H,'3-2'!M$1,'3-данные'!$E:$E,"&gt;=0"),"")</f>
        <v>-0.5</v>
      </c>
      <c r="N13" s="26" t="str">
        <f>IFERROR((COUNTIFS('3-данные'!$A:$A,'3-2'!$A13,'3-данные'!$H:$H,'3-2'!N$1,'3-данные'!$E:$E,"&gt;=9")-COUNTIFS('3-данные'!$A:$A,'3-2'!$A13,'3-данные'!$H:$H,'3-2'!N$1,'3-данные'!$E:$E,"&gt;=6"))/COUNTIFS('3-данные'!$A:$A,'3-2'!$A13,'3-данные'!$H:$H,'3-2'!N$1,'3-данные'!$E:$E,"&gt;=0"),"")</f>
        <v/>
      </c>
    </row>
  </sheetData>
  <conditionalFormatting sqref="B2:N1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700B1-C787-4C77-80B1-7DC0DC7DB2B7}">
  <dimension ref="A1:N13"/>
  <sheetViews>
    <sheetView workbookViewId="0">
      <selection activeCell="G20" sqref="G20"/>
    </sheetView>
  </sheetViews>
  <sheetFormatPr defaultRowHeight="15" x14ac:dyDescent="0.25"/>
  <cols>
    <col min="1" max="1" width="30.5703125" bestFit="1" customWidth="1"/>
    <col min="2" max="2" width="13.42578125" customWidth="1"/>
    <col min="3" max="14" width="12" bestFit="1" customWidth="1"/>
  </cols>
  <sheetData>
    <row r="1" spans="1:14" x14ac:dyDescent="0.25">
      <c r="A1" s="4" t="s">
        <v>458</v>
      </c>
      <c r="B1" s="24" t="s">
        <v>488</v>
      </c>
      <c r="C1" s="24" t="s">
        <v>489</v>
      </c>
      <c r="D1" s="24" t="s">
        <v>490</v>
      </c>
      <c r="E1" s="24" t="s">
        <v>491</v>
      </c>
      <c r="F1" s="24" t="s">
        <v>492</v>
      </c>
      <c r="G1" s="24" t="s">
        <v>493</v>
      </c>
      <c r="H1" s="24" t="s">
        <v>494</v>
      </c>
      <c r="I1" s="24" t="s">
        <v>495</v>
      </c>
      <c r="J1" s="24" t="s">
        <v>496</v>
      </c>
      <c r="K1" s="24" t="s">
        <v>497</v>
      </c>
      <c r="L1" s="24" t="s">
        <v>498</v>
      </c>
      <c r="M1" s="24" t="s">
        <v>499</v>
      </c>
      <c r="N1" s="24" t="s">
        <v>500</v>
      </c>
    </row>
    <row r="2" spans="1:14" x14ac:dyDescent="0.25">
      <c r="A2" s="7" t="s">
        <v>5</v>
      </c>
      <c r="B2" s="27">
        <f>IFERROR(AVERAGEIFS('3-данные'!$D:$D,'3-данные'!$A:$A,'3-3'!$A2,'3-данные'!$H:$H,'3-3'!B$1),"")</f>
        <v>68048.166666666672</v>
      </c>
      <c r="C2" s="27">
        <f>IFERROR(AVERAGEIFS('3-данные'!$D:$D,'3-данные'!$A:$A,'3-3'!$A2,'3-данные'!$H:$H,'3-3'!C$1),"")</f>
        <v>56320.142857142855</v>
      </c>
      <c r="D2" s="27">
        <f>IFERROR(AVERAGEIFS('3-данные'!$D:$D,'3-данные'!$A:$A,'3-3'!$A2,'3-данные'!$H:$H,'3-3'!D$1),"")</f>
        <v>77726.428571428565</v>
      </c>
      <c r="E2" s="27">
        <f>IFERROR(AVERAGEIFS('3-данные'!$D:$D,'3-данные'!$A:$A,'3-3'!$A2,'3-данные'!$H:$H,'3-3'!E$1),"")</f>
        <v>47020.333333333336</v>
      </c>
      <c r="F2" s="27">
        <f>IFERROR(AVERAGEIFS('3-данные'!$D:$D,'3-данные'!$A:$A,'3-3'!$A2,'3-данные'!$H:$H,'3-3'!F$1),"")</f>
        <v>60518</v>
      </c>
      <c r="G2" s="27">
        <f>IFERROR(AVERAGEIFS('3-данные'!$D:$D,'3-данные'!$A:$A,'3-3'!$A2,'3-данные'!$H:$H,'3-3'!G$1),"")</f>
        <v>40601.571428571428</v>
      </c>
      <c r="H2" s="27">
        <f>IFERROR(AVERAGEIFS('3-данные'!$D:$D,'3-данные'!$A:$A,'3-3'!$A2,'3-данные'!$H:$H,'3-3'!H$1),"")</f>
        <v>67500.363636363632</v>
      </c>
      <c r="I2" s="27">
        <f>IFERROR(AVERAGEIFS('3-данные'!$D:$D,'3-данные'!$A:$A,'3-3'!$A2,'3-данные'!$H:$H,'3-3'!I$1),"")</f>
        <v>55794.428571428572</v>
      </c>
      <c r="J2" s="27">
        <f>IFERROR(AVERAGEIFS('3-данные'!$D:$D,'3-данные'!$A:$A,'3-3'!$A2,'3-данные'!$H:$H,'3-3'!J$1),"")</f>
        <v>28324.857142857141</v>
      </c>
      <c r="K2" s="27">
        <f>IFERROR(AVERAGEIFS('3-данные'!$D:$D,'3-данные'!$A:$A,'3-3'!$A2,'3-данные'!$H:$H,'3-3'!K$1),"")</f>
        <v>36720</v>
      </c>
      <c r="L2" s="27">
        <f>IFERROR(AVERAGEIFS('3-данные'!$D:$D,'3-данные'!$A:$A,'3-3'!$A2,'3-данные'!$H:$H,'3-3'!L$1),"")</f>
        <v>63862.875</v>
      </c>
      <c r="M2" s="27">
        <f>IFERROR(AVERAGEIFS('3-данные'!$D:$D,'3-данные'!$A:$A,'3-3'!$A2,'3-данные'!$H:$H,'3-3'!M$1),"")</f>
        <v>62825</v>
      </c>
      <c r="N2" s="27" t="str">
        <f>IFERROR(AVERAGEIFS('3-данные'!$D:$D,'3-данные'!$A:$A,'3-3'!$A2,'3-данные'!$H:$H,'3-3'!N$1),"")</f>
        <v/>
      </c>
    </row>
    <row r="3" spans="1:14" x14ac:dyDescent="0.25">
      <c r="A3" s="7" t="s">
        <v>43</v>
      </c>
      <c r="B3" s="27">
        <f>IFERROR(AVERAGEIFS('3-данные'!$D:$D,'3-данные'!$A:$A,'3-3'!$A3,'3-данные'!$H:$H,'3-3'!B$1),"")</f>
        <v>45902.400000000001</v>
      </c>
      <c r="C3" s="27">
        <f>IFERROR(AVERAGEIFS('3-данные'!$D:$D,'3-данные'!$A:$A,'3-3'!$A3,'3-данные'!$H:$H,'3-3'!C$1),"")</f>
        <v>65944.428571428565</v>
      </c>
      <c r="D3" s="27">
        <f>IFERROR(AVERAGEIFS('3-данные'!$D:$D,'3-данные'!$A:$A,'3-3'!$A3,'3-данные'!$H:$H,'3-3'!D$1),"")</f>
        <v>52836.428571428572</v>
      </c>
      <c r="E3" s="27">
        <f>IFERROR(AVERAGEIFS('3-данные'!$D:$D,'3-данные'!$A:$A,'3-3'!$A3,'3-данные'!$H:$H,'3-3'!E$1),"")</f>
        <v>45186.833333333336</v>
      </c>
      <c r="F3" s="27">
        <f>IFERROR(AVERAGEIFS('3-данные'!$D:$D,'3-данные'!$A:$A,'3-3'!$A3,'3-данные'!$H:$H,'3-3'!F$1),"")</f>
        <v>33117.666666666664</v>
      </c>
      <c r="G3" s="27">
        <f>IFERROR(AVERAGEIFS('3-данные'!$D:$D,'3-данные'!$A:$A,'3-3'!$A3,'3-данные'!$H:$H,'3-3'!G$1),"")</f>
        <v>66434</v>
      </c>
      <c r="H3" s="27">
        <f>IFERROR(AVERAGEIFS('3-данные'!$D:$D,'3-данные'!$A:$A,'3-3'!$A3,'3-данные'!$H:$H,'3-3'!H$1),"")</f>
        <v>41246.454545454544</v>
      </c>
      <c r="I3" s="27">
        <f>IFERROR(AVERAGEIFS('3-данные'!$D:$D,'3-данные'!$A:$A,'3-3'!$A3,'3-данные'!$H:$H,'3-3'!I$1),"")</f>
        <v>48045.8</v>
      </c>
      <c r="J3" s="27">
        <f>IFERROR(AVERAGEIFS('3-данные'!$D:$D,'3-данные'!$A:$A,'3-3'!$A3,'3-данные'!$H:$H,'3-3'!J$1),"")</f>
        <v>50977.571428571428</v>
      </c>
      <c r="K3" s="27">
        <f>IFERROR(AVERAGEIFS('3-данные'!$D:$D,'3-данные'!$A:$A,'3-3'!$A3,'3-данные'!$H:$H,'3-3'!K$1),"")</f>
        <v>50030</v>
      </c>
      <c r="L3" s="27">
        <f>IFERROR(AVERAGEIFS('3-данные'!$D:$D,'3-данные'!$A:$A,'3-3'!$A3,'3-данные'!$H:$H,'3-3'!L$1),"")</f>
        <v>48136.9</v>
      </c>
      <c r="M3" s="27">
        <f>IFERROR(AVERAGEIFS('3-данные'!$D:$D,'3-данные'!$A:$A,'3-3'!$A3,'3-данные'!$H:$H,'3-3'!M$1),"")</f>
        <v>35759</v>
      </c>
      <c r="N3" s="27" t="str">
        <f>IFERROR(AVERAGEIFS('3-данные'!$D:$D,'3-данные'!$A:$A,'3-3'!$A3,'3-данные'!$H:$H,'3-3'!N$1),"")</f>
        <v/>
      </c>
    </row>
    <row r="4" spans="1:14" x14ac:dyDescent="0.25">
      <c r="A4" s="7" t="s">
        <v>55</v>
      </c>
      <c r="B4" s="27">
        <f>IFERROR(AVERAGEIFS('3-данные'!$D:$D,'3-данные'!$A:$A,'3-3'!$A4,'3-данные'!$H:$H,'3-3'!B$1),"")</f>
        <v>56377.5</v>
      </c>
      <c r="C4" s="27">
        <f>IFERROR(AVERAGEIFS('3-данные'!$D:$D,'3-данные'!$A:$A,'3-3'!$A4,'3-данные'!$H:$H,'3-3'!C$1),"")</f>
        <v>54299.181818181816</v>
      </c>
      <c r="D4" s="27">
        <f>IFERROR(AVERAGEIFS('3-данные'!$D:$D,'3-данные'!$A:$A,'3-3'!$A4,'3-данные'!$H:$H,'3-3'!D$1),"")</f>
        <v>52224</v>
      </c>
      <c r="E4" s="27">
        <f>IFERROR(AVERAGEIFS('3-данные'!$D:$D,'3-данные'!$A:$A,'3-3'!$A4,'3-данные'!$H:$H,'3-3'!E$1),"")</f>
        <v>50827.333333333336</v>
      </c>
      <c r="F4" s="27">
        <f>IFERROR(AVERAGEIFS('3-данные'!$D:$D,'3-данные'!$A:$A,'3-3'!$A4,'3-данные'!$H:$H,'3-3'!F$1),"")</f>
        <v>54316</v>
      </c>
      <c r="G4" s="27">
        <f>IFERROR(AVERAGEIFS('3-данные'!$D:$D,'3-данные'!$A:$A,'3-3'!$A4,'3-данные'!$H:$H,'3-3'!G$1),"")</f>
        <v>63998.571428571428</v>
      </c>
      <c r="H4" s="27">
        <f>IFERROR(AVERAGEIFS('3-данные'!$D:$D,'3-данные'!$A:$A,'3-3'!$A4,'3-данные'!$H:$H,'3-3'!H$1),"")</f>
        <v>52332.5</v>
      </c>
      <c r="I4" s="27">
        <f>IFERROR(AVERAGEIFS('3-данные'!$D:$D,'3-данные'!$A:$A,'3-3'!$A4,'3-данные'!$H:$H,'3-3'!I$1),"")</f>
        <v>61575.5</v>
      </c>
      <c r="J4" s="27">
        <f>IFERROR(AVERAGEIFS('3-данные'!$D:$D,'3-данные'!$A:$A,'3-3'!$A4,'3-данные'!$H:$H,'3-3'!J$1),"")</f>
        <v>53740.181818181816</v>
      </c>
      <c r="K4" s="27">
        <f>IFERROR(AVERAGEIFS('3-данные'!$D:$D,'3-данные'!$A:$A,'3-3'!$A4,'3-данные'!$H:$H,'3-3'!K$1),"")</f>
        <v>53873.75</v>
      </c>
      <c r="L4" s="27">
        <f>IFERROR(AVERAGEIFS('3-данные'!$D:$D,'3-данные'!$A:$A,'3-3'!$A4,'3-данные'!$H:$H,'3-3'!L$1),"")</f>
        <v>65080.125</v>
      </c>
      <c r="M4" s="27">
        <f>IFERROR(AVERAGEIFS('3-данные'!$D:$D,'3-данные'!$A:$A,'3-3'!$A4,'3-данные'!$H:$H,'3-3'!M$1),"")</f>
        <v>56945.142857142855</v>
      </c>
      <c r="N4" s="27" t="str">
        <f>IFERROR(AVERAGEIFS('3-данные'!$D:$D,'3-данные'!$A:$A,'3-3'!$A4,'3-данные'!$H:$H,'3-3'!N$1),"")</f>
        <v/>
      </c>
    </row>
    <row r="5" spans="1:14" x14ac:dyDescent="0.25">
      <c r="A5" s="7" t="s">
        <v>11</v>
      </c>
      <c r="B5" s="27">
        <f>IFERROR(AVERAGEIFS('3-данные'!$D:$D,'3-данные'!$A:$A,'3-3'!$A5,'3-данные'!$H:$H,'3-3'!B$1),"")</f>
        <v>59533.9</v>
      </c>
      <c r="C5" s="27">
        <f>IFERROR(AVERAGEIFS('3-данные'!$D:$D,'3-данные'!$A:$A,'3-3'!$A5,'3-данные'!$H:$H,'3-3'!C$1),"")</f>
        <v>50046.666666666664</v>
      </c>
      <c r="D5" s="27">
        <f>IFERROR(AVERAGEIFS('3-данные'!$D:$D,'3-данные'!$A:$A,'3-3'!$A5,'3-данные'!$H:$H,'3-3'!D$1),"")</f>
        <v>34732.25</v>
      </c>
      <c r="E5" s="27">
        <f>IFERROR(AVERAGEIFS('3-данные'!$D:$D,'3-данные'!$A:$A,'3-3'!$A5,'3-данные'!$H:$H,'3-3'!E$1),"")</f>
        <v>53202.6</v>
      </c>
      <c r="F5" s="27">
        <f>IFERROR(AVERAGEIFS('3-данные'!$D:$D,'3-данные'!$A:$A,'3-3'!$A5,'3-данные'!$H:$H,'3-3'!F$1),"")</f>
        <v>30210.2</v>
      </c>
      <c r="G5" s="27">
        <f>IFERROR(AVERAGEIFS('3-данные'!$D:$D,'3-данные'!$A:$A,'3-3'!$A5,'3-данные'!$H:$H,'3-3'!G$1),"")</f>
        <v>58470.125</v>
      </c>
      <c r="H5" s="27">
        <f>IFERROR(AVERAGEIFS('3-данные'!$D:$D,'3-данные'!$A:$A,'3-3'!$A5,'3-данные'!$H:$H,'3-3'!H$1),"")</f>
        <v>65408.75</v>
      </c>
      <c r="I5" s="27">
        <f>IFERROR(AVERAGEIFS('3-данные'!$D:$D,'3-данные'!$A:$A,'3-3'!$A5,'3-данные'!$H:$H,'3-3'!I$1),"")</f>
        <v>54155.142857142855</v>
      </c>
      <c r="J5" s="27">
        <f>IFERROR(AVERAGEIFS('3-данные'!$D:$D,'3-данные'!$A:$A,'3-3'!$A5,'3-данные'!$H:$H,'3-3'!J$1),"")</f>
        <v>54105.375</v>
      </c>
      <c r="K5" s="27">
        <f>IFERROR(AVERAGEIFS('3-данные'!$D:$D,'3-данные'!$A:$A,'3-3'!$A5,'3-данные'!$H:$H,'3-3'!K$1),"")</f>
        <v>72069.28571428571</v>
      </c>
      <c r="L5" s="27">
        <f>IFERROR(AVERAGEIFS('3-данные'!$D:$D,'3-данные'!$A:$A,'3-3'!$A5,'3-данные'!$H:$H,'3-3'!L$1),"")</f>
        <v>47535.625</v>
      </c>
      <c r="M5" s="27">
        <f>IFERROR(AVERAGEIFS('3-данные'!$D:$D,'3-данные'!$A:$A,'3-3'!$A5,'3-данные'!$H:$H,'3-3'!M$1),"")</f>
        <v>52823.4</v>
      </c>
      <c r="N5" s="27" t="str">
        <f>IFERROR(AVERAGEIFS('3-данные'!$D:$D,'3-данные'!$A:$A,'3-3'!$A5,'3-данные'!$H:$H,'3-3'!N$1),"")</f>
        <v/>
      </c>
    </row>
    <row r="6" spans="1:14" x14ac:dyDescent="0.25">
      <c r="A6" s="7" t="s">
        <v>29</v>
      </c>
      <c r="B6" s="27">
        <f>IFERROR(AVERAGEIFS('3-данные'!$D:$D,'3-данные'!$A:$A,'3-3'!$A6,'3-данные'!$H:$H,'3-3'!B$1),"")</f>
        <v>49830.625</v>
      </c>
      <c r="C6" s="27">
        <f>IFERROR(AVERAGEIFS('3-данные'!$D:$D,'3-данные'!$A:$A,'3-3'!$A6,'3-данные'!$H:$H,'3-3'!C$1),"")</f>
        <v>39063.4</v>
      </c>
      <c r="D6" s="27">
        <f>IFERROR(AVERAGEIFS('3-данные'!$D:$D,'3-данные'!$A:$A,'3-3'!$A6,'3-данные'!$H:$H,'3-3'!D$1),"")</f>
        <v>51821.5</v>
      </c>
      <c r="E6" s="27">
        <f>IFERROR(AVERAGEIFS('3-данные'!$D:$D,'3-данные'!$A:$A,'3-3'!$A6,'3-данные'!$H:$H,'3-3'!E$1),"")</f>
        <v>65806.2</v>
      </c>
      <c r="F6" s="27">
        <f>IFERROR(AVERAGEIFS('3-данные'!$D:$D,'3-данные'!$A:$A,'3-3'!$A6,'3-данные'!$H:$H,'3-3'!F$1),"")</f>
        <v>52326.285714285717</v>
      </c>
      <c r="G6" s="27">
        <f>IFERROR(AVERAGEIFS('3-данные'!$D:$D,'3-данные'!$A:$A,'3-3'!$A6,'3-данные'!$H:$H,'3-3'!G$1),"")</f>
        <v>47382</v>
      </c>
      <c r="H6" s="27">
        <f>IFERROR(AVERAGEIFS('3-данные'!$D:$D,'3-данные'!$A:$A,'3-3'!$A6,'3-данные'!$H:$H,'3-3'!H$1),"")</f>
        <v>69335.8</v>
      </c>
      <c r="I6" s="27">
        <f>IFERROR(AVERAGEIFS('3-данные'!$D:$D,'3-данные'!$A:$A,'3-3'!$A6,'3-данные'!$H:$H,'3-3'!I$1),"")</f>
        <v>69317.571428571435</v>
      </c>
      <c r="J6" s="27">
        <f>IFERROR(AVERAGEIFS('3-данные'!$D:$D,'3-данные'!$A:$A,'3-3'!$A6,'3-данные'!$H:$H,'3-3'!J$1),"")</f>
        <v>74275</v>
      </c>
      <c r="K6" s="27">
        <f>IFERROR(AVERAGEIFS('3-данные'!$D:$D,'3-данные'!$A:$A,'3-3'!$A6,'3-данные'!$H:$H,'3-3'!K$1),"")</f>
        <v>43915</v>
      </c>
      <c r="L6" s="27">
        <f>IFERROR(AVERAGEIFS('3-данные'!$D:$D,'3-данные'!$A:$A,'3-3'!$A6,'3-данные'!$H:$H,'3-3'!L$1),"")</f>
        <v>51821.4</v>
      </c>
      <c r="M6" s="27">
        <f>IFERROR(AVERAGEIFS('3-данные'!$D:$D,'3-данные'!$A:$A,'3-3'!$A6,'3-данные'!$H:$H,'3-3'!M$1),"")</f>
        <v>43015.375</v>
      </c>
      <c r="N6" s="27">
        <f>IFERROR(AVERAGEIFS('3-данные'!$D:$D,'3-данные'!$A:$A,'3-3'!$A6,'3-данные'!$H:$H,'3-3'!N$1),"")</f>
        <v>99849</v>
      </c>
    </row>
    <row r="7" spans="1:14" x14ac:dyDescent="0.25">
      <c r="A7" s="7" t="s">
        <v>13</v>
      </c>
      <c r="B7" s="27">
        <f>IFERROR(AVERAGEIFS('3-данные'!$D:$D,'3-данные'!$A:$A,'3-3'!$A7,'3-данные'!$H:$H,'3-3'!B$1),"")</f>
        <v>46172.375</v>
      </c>
      <c r="C7" s="27">
        <f>IFERROR(AVERAGEIFS('3-данные'!$D:$D,'3-данные'!$A:$A,'3-3'!$A7,'3-данные'!$H:$H,'3-3'!C$1),"")</f>
        <v>74997.8</v>
      </c>
      <c r="D7" s="27">
        <f>IFERROR(AVERAGEIFS('3-данные'!$D:$D,'3-данные'!$A:$A,'3-3'!$A7,'3-данные'!$H:$H,'3-3'!D$1),"")</f>
        <v>48777.222222222219</v>
      </c>
      <c r="E7" s="27">
        <f>IFERROR(AVERAGEIFS('3-данные'!$D:$D,'3-данные'!$A:$A,'3-3'!$A7,'3-данные'!$H:$H,'3-3'!E$1),"")</f>
        <v>42171.25</v>
      </c>
      <c r="F7" s="27">
        <f>IFERROR(AVERAGEIFS('3-данные'!$D:$D,'3-данные'!$A:$A,'3-3'!$A7,'3-данные'!$H:$H,'3-3'!F$1),"")</f>
        <v>54098.777777777781</v>
      </c>
      <c r="G7" s="27">
        <f>IFERROR(AVERAGEIFS('3-данные'!$D:$D,'3-данные'!$A:$A,'3-3'!$A7,'3-данные'!$H:$H,'3-3'!G$1),"")</f>
        <v>73604.666666666672</v>
      </c>
      <c r="H7" s="27">
        <f>IFERROR(AVERAGEIFS('3-данные'!$D:$D,'3-данные'!$A:$A,'3-3'!$A7,'3-данные'!$H:$H,'3-3'!H$1),"")</f>
        <v>65004.625</v>
      </c>
      <c r="I7" s="27">
        <f>IFERROR(AVERAGEIFS('3-данные'!$D:$D,'3-данные'!$A:$A,'3-3'!$A7,'3-данные'!$H:$H,'3-3'!I$1),"")</f>
        <v>45980.428571428572</v>
      </c>
      <c r="J7" s="27">
        <f>IFERROR(AVERAGEIFS('3-данные'!$D:$D,'3-данные'!$A:$A,'3-3'!$A7,'3-данные'!$H:$H,'3-3'!J$1),"")</f>
        <v>50294.400000000001</v>
      </c>
      <c r="K7" s="27">
        <f>IFERROR(AVERAGEIFS('3-данные'!$D:$D,'3-данные'!$A:$A,'3-3'!$A7,'3-данные'!$H:$H,'3-3'!K$1),"")</f>
        <v>35339.833333333336</v>
      </c>
      <c r="L7" s="27">
        <f>IFERROR(AVERAGEIFS('3-данные'!$D:$D,'3-данные'!$A:$A,'3-3'!$A7,'3-данные'!$H:$H,'3-3'!L$1),"")</f>
        <v>63170</v>
      </c>
      <c r="M7" s="27">
        <f>IFERROR(AVERAGEIFS('3-данные'!$D:$D,'3-данные'!$A:$A,'3-3'!$A7,'3-данные'!$H:$H,'3-3'!M$1),"")</f>
        <v>47621.857142857145</v>
      </c>
      <c r="N7" s="27" t="str">
        <f>IFERROR(AVERAGEIFS('3-данные'!$D:$D,'3-данные'!$A:$A,'3-3'!$A7,'3-данные'!$H:$H,'3-3'!N$1),"")</f>
        <v/>
      </c>
    </row>
    <row r="8" spans="1:14" x14ac:dyDescent="0.25">
      <c r="A8" s="7" t="s">
        <v>19</v>
      </c>
      <c r="B8" s="27">
        <f>IFERROR(AVERAGEIFS('3-данные'!$D:$D,'3-данные'!$A:$A,'3-3'!$A8,'3-данные'!$H:$H,'3-3'!B$1),"")</f>
        <v>57696.777777777781</v>
      </c>
      <c r="C8" s="27">
        <f>IFERROR(AVERAGEIFS('3-данные'!$D:$D,'3-данные'!$A:$A,'3-3'!$A8,'3-данные'!$H:$H,'3-3'!C$1),"")</f>
        <v>31626.428571428572</v>
      </c>
      <c r="D8" s="27">
        <f>IFERROR(AVERAGEIFS('3-данные'!$D:$D,'3-данные'!$A:$A,'3-3'!$A8,'3-данные'!$H:$H,'3-3'!D$1),"")</f>
        <v>55117.5</v>
      </c>
      <c r="E8" s="27">
        <f>IFERROR(AVERAGEIFS('3-данные'!$D:$D,'3-данные'!$A:$A,'3-3'!$A8,'3-данные'!$H:$H,'3-3'!E$1),"")</f>
        <v>54209.166666666664</v>
      </c>
      <c r="F8" s="27">
        <f>IFERROR(AVERAGEIFS('3-данные'!$D:$D,'3-данные'!$A:$A,'3-3'!$A8,'3-данные'!$H:$H,'3-3'!F$1),"")</f>
        <v>51878.75</v>
      </c>
      <c r="G8" s="27">
        <f>IFERROR(AVERAGEIFS('3-данные'!$D:$D,'3-данные'!$A:$A,'3-3'!$A8,'3-данные'!$H:$H,'3-3'!G$1),"")</f>
        <v>39875.333333333336</v>
      </c>
      <c r="H8" s="27">
        <f>IFERROR(AVERAGEIFS('3-данные'!$D:$D,'3-данные'!$A:$A,'3-3'!$A8,'3-данные'!$H:$H,'3-3'!H$1),"")</f>
        <v>36183.5</v>
      </c>
      <c r="I8" s="27">
        <f>IFERROR(AVERAGEIFS('3-данные'!$D:$D,'3-данные'!$A:$A,'3-3'!$A8,'3-данные'!$H:$H,'3-3'!I$1),"")</f>
        <v>64146.8125</v>
      </c>
      <c r="J8" s="27">
        <f>IFERROR(AVERAGEIFS('3-данные'!$D:$D,'3-данные'!$A:$A,'3-3'!$A8,'3-данные'!$H:$H,'3-3'!J$1),"")</f>
        <v>57015</v>
      </c>
      <c r="K8" s="27">
        <f>IFERROR(AVERAGEIFS('3-данные'!$D:$D,'3-данные'!$A:$A,'3-3'!$A8,'3-данные'!$H:$H,'3-3'!K$1),"")</f>
        <v>53380.125</v>
      </c>
      <c r="L8" s="27">
        <f>IFERROR(AVERAGEIFS('3-данные'!$D:$D,'3-данные'!$A:$A,'3-3'!$A8,'3-данные'!$H:$H,'3-3'!L$1),"")</f>
        <v>58323.909090909088</v>
      </c>
      <c r="M8" s="27">
        <f>IFERROR(AVERAGEIFS('3-данные'!$D:$D,'3-данные'!$A:$A,'3-3'!$A8,'3-данные'!$H:$H,'3-3'!M$1),"")</f>
        <v>59343.75</v>
      </c>
      <c r="N8" s="27">
        <f>IFERROR(AVERAGEIFS('3-данные'!$D:$D,'3-данные'!$A:$A,'3-3'!$A8,'3-данные'!$H:$H,'3-3'!N$1),"")</f>
        <v>37517</v>
      </c>
    </row>
    <row r="9" spans="1:14" x14ac:dyDescent="0.25">
      <c r="A9" s="7" t="s">
        <v>16</v>
      </c>
      <c r="B9" s="27">
        <f>IFERROR(AVERAGEIFS('3-данные'!$D:$D,'3-данные'!$A:$A,'3-3'!$A9,'3-данные'!$H:$H,'3-3'!B$1),"")</f>
        <v>41726</v>
      </c>
      <c r="C9" s="27">
        <f>IFERROR(AVERAGEIFS('3-данные'!$D:$D,'3-данные'!$A:$A,'3-3'!$A9,'3-данные'!$H:$H,'3-3'!C$1),"")</f>
        <v>66934.428571428565</v>
      </c>
      <c r="D9" s="27">
        <f>IFERROR(AVERAGEIFS('3-данные'!$D:$D,'3-данные'!$A:$A,'3-3'!$A9,'3-данные'!$H:$H,'3-3'!D$1),"")</f>
        <v>62802.875</v>
      </c>
      <c r="E9" s="27">
        <f>IFERROR(AVERAGEIFS('3-данные'!$D:$D,'3-данные'!$A:$A,'3-3'!$A9,'3-данные'!$H:$H,'3-3'!E$1),"")</f>
        <v>50496.5</v>
      </c>
      <c r="F9" s="27">
        <f>IFERROR(AVERAGEIFS('3-данные'!$D:$D,'3-данные'!$A:$A,'3-3'!$A9,'3-данные'!$H:$H,'3-3'!F$1),"")</f>
        <v>57190.666666666664</v>
      </c>
      <c r="G9" s="27">
        <f>IFERROR(AVERAGEIFS('3-данные'!$D:$D,'3-данные'!$A:$A,'3-3'!$A9,'3-данные'!$H:$H,'3-3'!G$1),"")</f>
        <v>78111.777777777781</v>
      </c>
      <c r="H9" s="27">
        <f>IFERROR(AVERAGEIFS('3-данные'!$D:$D,'3-данные'!$A:$A,'3-3'!$A9,'3-данные'!$H:$H,'3-3'!H$1),"")</f>
        <v>38452</v>
      </c>
      <c r="I9" s="27">
        <f>IFERROR(AVERAGEIFS('3-данные'!$D:$D,'3-данные'!$A:$A,'3-3'!$A9,'3-данные'!$H:$H,'3-3'!I$1),"")</f>
        <v>64941.625</v>
      </c>
      <c r="J9" s="27">
        <f>IFERROR(AVERAGEIFS('3-данные'!$D:$D,'3-данные'!$A:$A,'3-3'!$A9,'3-данные'!$H:$H,'3-3'!J$1),"")</f>
        <v>41794.199999999997</v>
      </c>
      <c r="K9" s="27">
        <f>IFERROR(AVERAGEIFS('3-данные'!$D:$D,'3-данные'!$A:$A,'3-3'!$A9,'3-данные'!$H:$H,'3-3'!K$1),"")</f>
        <v>33808.800000000003</v>
      </c>
      <c r="L9" s="27">
        <f>IFERROR(AVERAGEIFS('3-данные'!$D:$D,'3-данные'!$A:$A,'3-3'!$A9,'3-данные'!$H:$H,'3-3'!L$1),"")</f>
        <v>50165.36363636364</v>
      </c>
      <c r="M9" s="27">
        <f>IFERROR(AVERAGEIFS('3-данные'!$D:$D,'3-данные'!$A:$A,'3-3'!$A9,'3-данные'!$H:$H,'3-3'!M$1),"")</f>
        <v>51043.428571428572</v>
      </c>
      <c r="N9" s="27" t="str">
        <f>IFERROR(AVERAGEIFS('3-данные'!$D:$D,'3-данные'!$A:$A,'3-3'!$A9,'3-данные'!$H:$H,'3-3'!N$1),"")</f>
        <v/>
      </c>
    </row>
    <row r="10" spans="1:14" x14ac:dyDescent="0.25">
      <c r="A10" s="7" t="s">
        <v>8</v>
      </c>
      <c r="B10" s="27">
        <f>IFERROR(AVERAGEIFS('3-данные'!$D:$D,'3-данные'!$A:$A,'3-3'!$A10,'3-данные'!$H:$H,'3-3'!B$1),"")</f>
        <v>62001.666666666664</v>
      </c>
      <c r="C10" s="27">
        <f>IFERROR(AVERAGEIFS('3-данные'!$D:$D,'3-данные'!$A:$A,'3-3'!$A10,'3-данные'!$H:$H,'3-3'!C$1),"")</f>
        <v>59236.857142857145</v>
      </c>
      <c r="D10" s="27">
        <f>IFERROR(AVERAGEIFS('3-данные'!$D:$D,'3-данные'!$A:$A,'3-3'!$A10,'3-данные'!$H:$H,'3-3'!D$1),"")</f>
        <v>68926.333333333328</v>
      </c>
      <c r="E10" s="27">
        <f>IFERROR(AVERAGEIFS('3-данные'!$D:$D,'3-данные'!$A:$A,'3-3'!$A10,'3-данные'!$H:$H,'3-3'!E$1),"")</f>
        <v>42241.8</v>
      </c>
      <c r="F10" s="27">
        <f>IFERROR(AVERAGEIFS('3-данные'!$D:$D,'3-данные'!$A:$A,'3-3'!$A10,'3-данные'!$H:$H,'3-3'!F$1),"")</f>
        <v>61995.888888888891</v>
      </c>
      <c r="G10" s="27">
        <f>IFERROR(AVERAGEIFS('3-данные'!$D:$D,'3-данные'!$A:$A,'3-3'!$A10,'3-данные'!$H:$H,'3-3'!G$1),"")</f>
        <v>51853.75</v>
      </c>
      <c r="H10" s="27">
        <f>IFERROR(AVERAGEIFS('3-данные'!$D:$D,'3-данные'!$A:$A,'3-3'!$A10,'3-данные'!$H:$H,'3-3'!H$1),"")</f>
        <v>69153</v>
      </c>
      <c r="I10" s="27">
        <f>IFERROR(AVERAGEIFS('3-данные'!$D:$D,'3-данные'!$A:$A,'3-3'!$A10,'3-данные'!$H:$H,'3-3'!I$1),"")</f>
        <v>41468.714285714283</v>
      </c>
      <c r="J10" s="27">
        <f>IFERROR(AVERAGEIFS('3-данные'!$D:$D,'3-данные'!$A:$A,'3-3'!$A10,'3-данные'!$H:$H,'3-3'!J$1),"")</f>
        <v>56825.285714285717</v>
      </c>
      <c r="K10" s="27">
        <f>IFERROR(AVERAGEIFS('3-данные'!$D:$D,'3-данные'!$A:$A,'3-3'!$A10,'3-данные'!$H:$H,'3-3'!K$1),"")</f>
        <v>55926.555555555555</v>
      </c>
      <c r="L10" s="27">
        <f>IFERROR(AVERAGEIFS('3-данные'!$D:$D,'3-данные'!$A:$A,'3-3'!$A10,'3-данные'!$H:$H,'3-3'!L$1),"")</f>
        <v>55794.166666666664</v>
      </c>
      <c r="M10" s="27">
        <f>IFERROR(AVERAGEIFS('3-данные'!$D:$D,'3-данные'!$A:$A,'3-3'!$A10,'3-данные'!$H:$H,'3-3'!M$1),"")</f>
        <v>39867</v>
      </c>
      <c r="N10" s="27" t="str">
        <f>IFERROR(AVERAGEIFS('3-данные'!$D:$D,'3-данные'!$A:$A,'3-3'!$A10,'3-данные'!$H:$H,'3-3'!N$1),"")</f>
        <v/>
      </c>
    </row>
    <row r="11" spans="1:14" x14ac:dyDescent="0.25">
      <c r="A11" s="7" t="s">
        <v>26</v>
      </c>
      <c r="B11" s="27">
        <f>IFERROR(AVERAGEIFS('3-данные'!$D:$D,'3-данные'!$A:$A,'3-3'!$A11,'3-данные'!$H:$H,'3-3'!B$1),"")</f>
        <v>51553.714285714283</v>
      </c>
      <c r="C11" s="27">
        <f>IFERROR(AVERAGEIFS('3-данные'!$D:$D,'3-данные'!$A:$A,'3-3'!$A11,'3-данные'!$H:$H,'3-3'!C$1),"")</f>
        <v>45778.714285714283</v>
      </c>
      <c r="D11" s="27">
        <f>IFERROR(AVERAGEIFS('3-данные'!$D:$D,'3-данные'!$A:$A,'3-3'!$A11,'3-данные'!$H:$H,'3-3'!D$1),"")</f>
        <v>52829.714285714283</v>
      </c>
      <c r="E11" s="27">
        <f>IFERROR(AVERAGEIFS('3-данные'!$D:$D,'3-данные'!$A:$A,'3-3'!$A11,'3-данные'!$H:$H,'3-3'!E$1),"")</f>
        <v>59157.25</v>
      </c>
      <c r="F11" s="27">
        <f>IFERROR(AVERAGEIFS('3-данные'!$D:$D,'3-данные'!$A:$A,'3-3'!$A11,'3-данные'!$H:$H,'3-3'!F$1),"")</f>
        <v>51455</v>
      </c>
      <c r="G11" s="27">
        <f>IFERROR(AVERAGEIFS('3-данные'!$D:$D,'3-данные'!$A:$A,'3-3'!$A11,'3-данные'!$H:$H,'3-3'!G$1),"")</f>
        <v>64545.25</v>
      </c>
      <c r="H11" s="27">
        <f>IFERROR(AVERAGEIFS('3-данные'!$D:$D,'3-данные'!$A:$A,'3-3'!$A11,'3-данные'!$H:$H,'3-3'!H$1),"")</f>
        <v>51712.25</v>
      </c>
      <c r="I11" s="27">
        <f>IFERROR(AVERAGEIFS('3-данные'!$D:$D,'3-данные'!$A:$A,'3-3'!$A11,'3-данные'!$H:$H,'3-3'!I$1),"")</f>
        <v>47391.142857142855</v>
      </c>
      <c r="J11" s="27">
        <f>IFERROR(AVERAGEIFS('3-данные'!$D:$D,'3-данные'!$A:$A,'3-3'!$A11,'3-данные'!$H:$H,'3-3'!J$1),"")</f>
        <v>59377.4</v>
      </c>
      <c r="K11" s="27">
        <f>IFERROR(AVERAGEIFS('3-данные'!$D:$D,'3-данные'!$A:$A,'3-3'!$A11,'3-данные'!$H:$H,'3-3'!K$1),"")</f>
        <v>55877</v>
      </c>
      <c r="L11" s="27">
        <f>IFERROR(AVERAGEIFS('3-данные'!$D:$D,'3-данные'!$A:$A,'3-3'!$A11,'3-данные'!$H:$H,'3-3'!L$1),"")</f>
        <v>72197.28571428571</v>
      </c>
      <c r="M11" s="27">
        <f>IFERROR(AVERAGEIFS('3-данные'!$D:$D,'3-данные'!$A:$A,'3-3'!$A11,'3-данные'!$H:$H,'3-3'!M$1),"")</f>
        <v>54977.25</v>
      </c>
      <c r="N11" s="27" t="str">
        <f>IFERROR(AVERAGEIFS('3-данные'!$D:$D,'3-данные'!$A:$A,'3-3'!$A11,'3-данные'!$H:$H,'3-3'!N$1),"")</f>
        <v/>
      </c>
    </row>
    <row r="12" spans="1:14" x14ac:dyDescent="0.25">
      <c r="A12" s="7" t="s">
        <v>38</v>
      </c>
      <c r="B12" s="27">
        <f>IFERROR(AVERAGEIFS('3-данные'!$D:$D,'3-данные'!$A:$A,'3-3'!$A12,'3-данные'!$H:$H,'3-3'!B$1),"")</f>
        <v>83361.666666666672</v>
      </c>
      <c r="C12" s="27">
        <f>IFERROR(AVERAGEIFS('3-данные'!$D:$D,'3-данные'!$A:$A,'3-3'!$A12,'3-данные'!$H:$H,'3-3'!C$1),"")</f>
        <v>50693.571428571428</v>
      </c>
      <c r="D12" s="27">
        <f>IFERROR(AVERAGEIFS('3-данные'!$D:$D,'3-данные'!$A:$A,'3-3'!$A12,'3-данные'!$H:$H,'3-3'!D$1),"")</f>
        <v>43409</v>
      </c>
      <c r="E12" s="27">
        <f>IFERROR(AVERAGEIFS('3-данные'!$D:$D,'3-данные'!$A:$A,'3-3'!$A12,'3-данные'!$H:$H,'3-3'!E$1),"")</f>
        <v>47574.833333333336</v>
      </c>
      <c r="F12" s="27">
        <f>IFERROR(AVERAGEIFS('3-данные'!$D:$D,'3-данные'!$A:$A,'3-3'!$A12,'3-данные'!$H:$H,'3-3'!F$1),"")</f>
        <v>47070</v>
      </c>
      <c r="G12" s="27">
        <f>IFERROR(AVERAGEIFS('3-данные'!$D:$D,'3-данные'!$A:$A,'3-3'!$A12,'3-данные'!$H:$H,'3-3'!G$1),"")</f>
        <v>42493.375</v>
      </c>
      <c r="H12" s="27">
        <f>IFERROR(AVERAGEIFS('3-данные'!$D:$D,'3-данные'!$A:$A,'3-3'!$A12,'3-данные'!$H:$H,'3-3'!H$1),"")</f>
        <v>58015.25</v>
      </c>
      <c r="I12" s="27">
        <f>IFERROR(AVERAGEIFS('3-данные'!$D:$D,'3-данные'!$A:$A,'3-3'!$A12,'3-данные'!$H:$H,'3-3'!I$1),"")</f>
        <v>53142</v>
      </c>
      <c r="J12" s="27">
        <f>IFERROR(AVERAGEIFS('3-данные'!$D:$D,'3-данные'!$A:$A,'3-3'!$A12,'3-данные'!$H:$H,'3-3'!J$1),"")</f>
        <v>57518.6</v>
      </c>
      <c r="K12" s="27">
        <f>IFERROR(AVERAGEIFS('3-данные'!$D:$D,'3-данные'!$A:$A,'3-3'!$A12,'3-данные'!$H:$H,'3-3'!K$1),"")</f>
        <v>33458.166666666664</v>
      </c>
      <c r="L12" s="27">
        <f>IFERROR(AVERAGEIFS('3-данные'!$D:$D,'3-данные'!$A:$A,'3-3'!$A12,'3-данные'!$H:$H,'3-3'!L$1),"")</f>
        <v>57332.5</v>
      </c>
      <c r="M12" s="27">
        <f>IFERROR(AVERAGEIFS('3-данные'!$D:$D,'3-данные'!$A:$A,'3-3'!$A12,'3-данные'!$H:$H,'3-3'!M$1),"")</f>
        <v>45907</v>
      </c>
      <c r="N12" s="27">
        <f>IFERROR(AVERAGEIFS('3-данные'!$D:$D,'3-данные'!$A:$A,'3-3'!$A12,'3-данные'!$H:$H,'3-3'!N$1),"")</f>
        <v>61469</v>
      </c>
    </row>
    <row r="13" spans="1:14" x14ac:dyDescent="0.25">
      <c r="A13" s="7" t="s">
        <v>21</v>
      </c>
      <c r="B13" s="27">
        <f>IFERROR(AVERAGEIFS('3-данные'!$D:$D,'3-данные'!$A:$A,'3-3'!$A13,'3-данные'!$H:$H,'3-3'!B$1),"")</f>
        <v>43485.125</v>
      </c>
      <c r="C13" s="27">
        <f>IFERROR(AVERAGEIFS('3-данные'!$D:$D,'3-данные'!$A:$A,'3-3'!$A13,'3-данные'!$H:$H,'3-3'!C$1),"")</f>
        <v>79146</v>
      </c>
      <c r="D13" s="27">
        <f>IFERROR(AVERAGEIFS('3-данные'!$D:$D,'3-данные'!$A:$A,'3-3'!$A13,'3-данные'!$H:$H,'3-3'!D$1),"")</f>
        <v>63702</v>
      </c>
      <c r="E13" s="27">
        <f>IFERROR(AVERAGEIFS('3-данные'!$D:$D,'3-данные'!$A:$A,'3-3'!$A13,'3-данные'!$H:$H,'3-3'!E$1),"")</f>
        <v>57853</v>
      </c>
      <c r="F13" s="27">
        <f>IFERROR(AVERAGEIFS('3-данные'!$D:$D,'3-данные'!$A:$A,'3-3'!$A13,'3-данные'!$H:$H,'3-3'!F$1),"")</f>
        <v>45414.888888888891</v>
      </c>
      <c r="G13" s="27">
        <f>IFERROR(AVERAGEIFS('3-данные'!$D:$D,'3-данные'!$A:$A,'3-3'!$A13,'3-данные'!$H:$H,'3-3'!G$1),"")</f>
        <v>66549</v>
      </c>
      <c r="H13" s="27">
        <f>IFERROR(AVERAGEIFS('3-данные'!$D:$D,'3-данные'!$A:$A,'3-3'!$A13,'3-данные'!$H:$H,'3-3'!H$1),"")</f>
        <v>62343</v>
      </c>
      <c r="I13" s="27">
        <f>IFERROR(AVERAGEIFS('3-данные'!$D:$D,'3-данные'!$A:$A,'3-3'!$A13,'3-данные'!$H:$H,'3-3'!I$1),"")</f>
        <v>58315.333333333336</v>
      </c>
      <c r="J13" s="27">
        <f>IFERROR(AVERAGEIFS('3-данные'!$D:$D,'3-данные'!$A:$A,'3-3'!$A13,'3-данные'!$H:$H,'3-3'!J$1),"")</f>
        <v>43048.666666666664</v>
      </c>
      <c r="K13" s="27">
        <f>IFERROR(AVERAGEIFS('3-данные'!$D:$D,'3-данные'!$A:$A,'3-3'!$A13,'3-данные'!$H:$H,'3-3'!K$1),"")</f>
        <v>52752.5</v>
      </c>
      <c r="L13" s="27">
        <f>IFERROR(AVERAGEIFS('3-данные'!$D:$D,'3-данные'!$A:$A,'3-3'!$A13,'3-данные'!$H:$H,'3-3'!L$1),"")</f>
        <v>69910.625</v>
      </c>
      <c r="M13" s="27">
        <f>IFERROR(AVERAGEIFS('3-данные'!$D:$D,'3-данные'!$A:$A,'3-3'!$A13,'3-данные'!$H:$H,'3-3'!M$1),"")</f>
        <v>64527.3</v>
      </c>
      <c r="N13" s="27" t="str">
        <f>IFERROR(AVERAGEIFS('3-данные'!$D:$D,'3-данные'!$A:$A,'3-3'!$A13,'3-данные'!$H:$H,'3-3'!N$1),"")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95"/>
  <sheetViews>
    <sheetView tabSelected="1" topLeftCell="A71" workbookViewId="0">
      <selection activeCell="N99" sqref="N99"/>
    </sheetView>
  </sheetViews>
  <sheetFormatPr defaultRowHeight="15" x14ac:dyDescent="0.25"/>
  <cols>
    <col min="1" max="1" width="27.140625" customWidth="1"/>
    <col min="2" max="2" width="46.85546875" customWidth="1"/>
    <col min="3" max="3" width="10.140625" bestFit="1" customWidth="1"/>
    <col min="4" max="4" width="10.28515625" bestFit="1" customWidth="1"/>
    <col min="5" max="5" width="10.140625" bestFit="1" customWidth="1"/>
    <col min="7" max="7" width="33.5703125" customWidth="1"/>
    <col min="8" max="9" width="13.140625" customWidth="1"/>
    <col min="10" max="10" width="14.28515625" customWidth="1"/>
    <col min="11" max="35" width="13.140625" customWidth="1"/>
  </cols>
  <sheetData>
    <row r="1" spans="1:11" x14ac:dyDescent="0.25">
      <c r="A1" t="s">
        <v>455</v>
      </c>
      <c r="B1" s="2" t="s">
        <v>505</v>
      </c>
    </row>
    <row r="2" spans="1:11" ht="30" x14ac:dyDescent="0.25">
      <c r="A2" s="3" t="s">
        <v>456</v>
      </c>
      <c r="B2" t="s">
        <v>457</v>
      </c>
      <c r="G2" s="4" t="s">
        <v>458</v>
      </c>
      <c r="H2" s="5" t="s">
        <v>459</v>
      </c>
      <c r="I2" s="5" t="s">
        <v>460</v>
      </c>
      <c r="J2" s="6" t="s">
        <v>461</v>
      </c>
      <c r="K2" s="5" t="s">
        <v>4</v>
      </c>
    </row>
    <row r="3" spans="1:11" x14ac:dyDescent="0.25">
      <c r="B3" t="s">
        <v>462</v>
      </c>
      <c r="F3">
        <v>1</v>
      </c>
      <c r="G3" s="7" t="s">
        <v>5</v>
      </c>
      <c r="H3" s="7">
        <f>COUNTIF('1'!D:D,результат!G3)</f>
        <v>62</v>
      </c>
      <c r="I3" s="8">
        <f>SUMIF(Данные!A:A,результат!G3,Данные!D:D)</f>
        <v>4556971</v>
      </c>
      <c r="J3" s="7">
        <f>VLOOKUP(G3,'1-1'!A:E,5,0)</f>
        <v>274</v>
      </c>
      <c r="K3" s="23">
        <f>(COUNTIFS(Данные!A:A,результат!G3,Данные!E:E,"&gt;=9")-COUNTIFS(Данные!A:A,результат!G3,Данные!E:E,"&gt;=6"))/COUNTIFS(Данные!A:A,результат!G3,Данные!E:E,"&gt;=0")</f>
        <v>-0.53749999999999998</v>
      </c>
    </row>
    <row r="4" spans="1:11" x14ac:dyDescent="0.25">
      <c r="B4" t="s">
        <v>463</v>
      </c>
      <c r="F4">
        <v>2</v>
      </c>
      <c r="G4" s="7" t="s">
        <v>43</v>
      </c>
      <c r="H4" s="7">
        <f>COUNTIF('1'!D:D,результат!G4)</f>
        <v>63</v>
      </c>
      <c r="I4" s="8">
        <f>SUMIF(Данные!A:A,результат!G4,Данные!D:D)</f>
        <v>3838343</v>
      </c>
      <c r="J4" s="7">
        <f>VLOOKUP(G4,'1-1'!A:E,5,0)</f>
        <v>276</v>
      </c>
      <c r="K4" s="23">
        <f>(COUNTIFS(Данные!A:A,результат!G4,Данные!E:E,"&gt;=9")-COUNTIFS(Данные!A:A,результат!G4,Данные!E:E,"&gt;=6"))/COUNTIFS(Данные!A:A,результат!G4,Данные!E:E,"&gt;=0")</f>
        <v>-0.44303797468354428</v>
      </c>
    </row>
    <row r="5" spans="1:11" x14ac:dyDescent="0.25">
      <c r="B5" t="s">
        <v>464</v>
      </c>
      <c r="F5">
        <v>3</v>
      </c>
      <c r="G5" s="7" t="s">
        <v>55</v>
      </c>
      <c r="H5" s="7">
        <f>COUNTIF('1'!D:D,результат!G5)</f>
        <v>63</v>
      </c>
      <c r="I5" s="8">
        <f>SUMIF(Данные!A:A,результат!G5,Данные!D:D)</f>
        <v>4421289</v>
      </c>
      <c r="J5" s="7">
        <f>VLOOKUP(G5,'1-1'!A:E,5,0)</f>
        <v>293</v>
      </c>
      <c r="K5" s="23">
        <f>(COUNTIFS(Данные!A:A,результат!G5,Данные!E:E,"&gt;=9")-COUNTIFS(Данные!A:A,результат!G5,Данные!E:E,"&gt;=6"))/COUNTIFS(Данные!A:A,результат!G5,Данные!E:E,"&gt;=0")</f>
        <v>-0.53846153846153844</v>
      </c>
    </row>
    <row r="6" spans="1:11" x14ac:dyDescent="0.25">
      <c r="B6" s="9" t="s">
        <v>465</v>
      </c>
      <c r="F6">
        <v>4</v>
      </c>
      <c r="G6" s="7" t="s">
        <v>11</v>
      </c>
      <c r="H6" s="7">
        <f>COUNTIF('1'!D:D,результат!G6)</f>
        <v>72</v>
      </c>
      <c r="I6" s="8">
        <f>SUMIF(Данные!A:A,результат!G6,Данные!D:D)</f>
        <v>4968767</v>
      </c>
      <c r="J6" s="7">
        <f>VLOOKUP(G6,'1-1'!A:E,5,0)</f>
        <v>258</v>
      </c>
      <c r="K6" s="23">
        <f>(COUNTIFS(Данные!A:A,результат!G6,Данные!E:E,"&gt;=9")-COUNTIFS(Данные!A:A,результат!G6,Данные!E:E,"&gt;=6"))/COUNTIFS(Данные!A:A,результат!G6,Данные!E:E,"&gt;=0")</f>
        <v>-0.48936170212765956</v>
      </c>
    </row>
    <row r="7" spans="1:11" x14ac:dyDescent="0.25">
      <c r="B7" s="10" t="s">
        <v>466</v>
      </c>
      <c r="F7">
        <v>5</v>
      </c>
      <c r="G7" s="7" t="s">
        <v>29</v>
      </c>
      <c r="H7" s="7">
        <f>COUNTIF('1'!D:D,результат!G7)</f>
        <v>60</v>
      </c>
      <c r="I7" s="8">
        <f>SUMIF(Данные!A:A,результат!G7,Данные!D:D)</f>
        <v>4086942</v>
      </c>
      <c r="J7" s="7">
        <f>VLOOKUP(G7,'1-1'!A:E,5,0)</f>
        <v>318</v>
      </c>
      <c r="K7" s="23">
        <f>(COUNTIFS(Данные!A:A,результат!G7,Данные!E:E,"&gt;=9")-COUNTIFS(Данные!A:A,результат!G7,Данные!E:E,"&gt;=6"))/COUNTIFS(Данные!A:A,результат!G7,Данные!E:E,"&gt;=0")</f>
        <v>-0.43243243243243246</v>
      </c>
    </row>
    <row r="8" spans="1:11" x14ac:dyDescent="0.25">
      <c r="B8" t="s">
        <v>467</v>
      </c>
      <c r="F8">
        <v>6</v>
      </c>
      <c r="G8" s="7" t="s">
        <v>13</v>
      </c>
      <c r="H8" s="7">
        <f>COUNTIF('1'!D:D,результат!G8)</f>
        <v>73</v>
      </c>
      <c r="I8" s="8">
        <f>SUMIF(Данные!A:A,результат!G8,Данные!D:D)</f>
        <v>5076701</v>
      </c>
      <c r="J8" s="7">
        <f>VLOOKUP(G8,'1-1'!A:E,5,0)</f>
        <v>307</v>
      </c>
      <c r="K8" s="23">
        <f>(COUNTIFS(Данные!A:A,результат!G8,Данные!E:E,"&gt;=9")-COUNTIFS(Данные!A:A,результат!G8,Данные!E:E,"&gt;=6"))/COUNTIFS(Данные!A:A,результат!G8,Данные!E:E,"&gt;=0")</f>
        <v>-0.52083333333333337</v>
      </c>
    </row>
    <row r="9" spans="1:11" x14ac:dyDescent="0.25">
      <c r="F9">
        <v>7</v>
      </c>
      <c r="G9" s="7" t="s">
        <v>19</v>
      </c>
      <c r="H9" s="7">
        <f>COUNTIF('1'!D:D,результат!G9)</f>
        <v>80</v>
      </c>
      <c r="I9" s="8">
        <f>SUMIF(Данные!A:A,результат!G9,Данные!D:D)</f>
        <v>5629942</v>
      </c>
      <c r="J9" s="7">
        <f>VLOOKUP(G9,'1-1'!A:E,5,0)</f>
        <v>308</v>
      </c>
      <c r="K9" s="23">
        <f>(COUNTIFS(Данные!A:A,результат!G9,Данные!E:E,"&gt;=9")-COUNTIFS(Данные!A:A,результат!G9,Данные!E:E,"&gt;=6"))/COUNTIFS(Данные!A:A,результат!G9,Данные!E:E,"&gt;=0")</f>
        <v>-0.5714285714285714</v>
      </c>
    </row>
    <row r="10" spans="1:11" x14ac:dyDescent="0.25">
      <c r="F10">
        <v>8</v>
      </c>
      <c r="G10" s="7" t="s">
        <v>16</v>
      </c>
      <c r="H10" s="7">
        <f>COUNTIF('1'!D:D,результат!G10)</f>
        <v>67</v>
      </c>
      <c r="I10" s="8">
        <f>SUMIF(Данные!A:A,результат!G10,Данные!D:D)</f>
        <v>4590291</v>
      </c>
      <c r="J10" s="7">
        <f>VLOOKUP(G10,'1-1'!A:E,5,0)</f>
        <v>312</v>
      </c>
      <c r="K10" s="23">
        <f>(COUNTIFS(Данные!A:A,результат!G10,Данные!E:E,"&gt;=9")-COUNTIFS(Данные!A:A,результат!G10,Данные!E:E,"&gt;=6"))/COUNTIFS(Данные!A:A,результат!G10,Данные!E:E,"&gt;=0")</f>
        <v>-0.55952380952380953</v>
      </c>
    </row>
    <row r="11" spans="1:11" x14ac:dyDescent="0.25">
      <c r="F11">
        <v>9</v>
      </c>
      <c r="G11" s="7" t="s">
        <v>8</v>
      </c>
      <c r="H11" s="7">
        <f>COUNTIF('1'!D:D,результат!G11)</f>
        <v>60</v>
      </c>
      <c r="I11" s="8">
        <f>SUMIF(Данные!A:A,результат!G11,Данные!D:D)</f>
        <v>4019842</v>
      </c>
      <c r="J11" s="7">
        <f>VLOOKUP(G11,'1-1'!A:E,5,0)</f>
        <v>322</v>
      </c>
      <c r="K11" s="23">
        <f>(COUNTIFS(Данные!A:A,результат!G11,Данные!E:E,"&gt;=9")-COUNTIFS(Данные!A:A,результат!G11,Данные!E:E,"&gt;=6"))/COUNTIFS(Данные!A:A,результат!G11,Данные!E:E,"&gt;=0")</f>
        <v>-0.52054794520547942</v>
      </c>
    </row>
    <row r="12" spans="1:11" x14ac:dyDescent="0.25">
      <c r="B12" t="s">
        <v>468</v>
      </c>
      <c r="F12">
        <v>10</v>
      </c>
      <c r="G12" s="7" t="s">
        <v>26</v>
      </c>
      <c r="H12" s="7">
        <f>COUNTIF('1'!D:D,результат!G12)</f>
        <v>62</v>
      </c>
      <c r="I12" s="8">
        <f>SUMIF(Данные!A:A,результат!G12,Данные!D:D)</f>
        <v>4022126</v>
      </c>
      <c r="J12" s="7">
        <f>VLOOKUP(G12,'1-1'!A:E,5,0)</f>
        <v>212</v>
      </c>
      <c r="K12" s="23">
        <f>(COUNTIFS(Данные!A:A,результат!G12,Данные!E:E,"&gt;=9")-COUNTIFS(Данные!A:A,результат!G12,Данные!E:E,"&gt;=6"))/COUNTIFS(Данные!A:A,результат!G12,Данные!E:E,"&gt;=0")</f>
        <v>-0.50684931506849318</v>
      </c>
    </row>
    <row r="13" spans="1:11" x14ac:dyDescent="0.25">
      <c r="A13" t="s">
        <v>469</v>
      </c>
      <c r="B13" s="11" t="str">
        <f>INDEX(G3:G14,MATCH(MAX(H3:H14),H3:H14,0))</f>
        <v>Петров Владимир Кириллович</v>
      </c>
      <c r="F13">
        <v>11</v>
      </c>
      <c r="G13" s="7" t="s">
        <v>38</v>
      </c>
      <c r="H13" s="7">
        <f>COUNTIF('1'!D:D,результат!G13)</f>
        <v>57</v>
      </c>
      <c r="I13" s="8">
        <f>SUMIF(Данные!A:A,результат!G13,Данные!D:D)</f>
        <v>3826277</v>
      </c>
      <c r="J13" s="7">
        <f>VLOOKUP(G13,'1-1'!A:E,5,0)</f>
        <v>319</v>
      </c>
      <c r="K13" s="23">
        <f>(COUNTIFS(Данные!A:A,результат!G13,Данные!E:E,"&gt;=9")-COUNTIFS(Данные!A:A,результат!G13,Данные!E:E,"&gt;=6"))/COUNTIFS(Данные!A:A,результат!G13,Данные!E:E,"&gt;=0")</f>
        <v>-0.46052631578947367</v>
      </c>
    </row>
    <row r="14" spans="1:11" x14ac:dyDescent="0.25">
      <c r="F14">
        <v>12</v>
      </c>
      <c r="G14" s="7" t="s">
        <v>21</v>
      </c>
      <c r="H14" s="7">
        <f>COUNTIF('1'!D:D,результат!G14)</f>
        <v>70</v>
      </c>
      <c r="I14" s="8">
        <f>SUMIF(Данные!A:A,результат!G14,Данные!D:D)</f>
        <v>5196199</v>
      </c>
      <c r="J14" s="7">
        <f>VLOOKUP(G14,'1-1'!A:E,5,0)</f>
        <v>331</v>
      </c>
      <c r="K14" s="23">
        <f>(COUNTIFS(Данные!A:A,результат!G14,Данные!E:E,"&gt;=9")-COUNTIFS(Данные!A:A,результат!G14,Данные!E:E,"&gt;=6"))/COUNTIFS(Данные!A:A,результат!G14,Данные!E:E,"&gt;=0")</f>
        <v>-0.52272727272727271</v>
      </c>
    </row>
    <row r="15" spans="1:11" x14ac:dyDescent="0.25">
      <c r="A15" t="s">
        <v>470</v>
      </c>
      <c r="B15" s="11" t="str">
        <f>INDEX(G3:G14,MATCH(MAX(I3:I14),I3:I14,0))</f>
        <v>Петров Владимир Кириллович</v>
      </c>
    </row>
    <row r="17" spans="1:11" ht="15.75" x14ac:dyDescent="0.25">
      <c r="A17" t="s">
        <v>471</v>
      </c>
      <c r="B17" s="11" t="str">
        <f>INDEX(G3:G14,MATCH(MAX(J3:J14),J3:J14,0))</f>
        <v>Яковлев Артем Игоревич</v>
      </c>
      <c r="G17" s="12"/>
    </row>
    <row r="19" spans="1:11" x14ac:dyDescent="0.25">
      <c r="A19" t="s">
        <v>4</v>
      </c>
      <c r="B19" s="11" t="str">
        <f>INDEX(G3:G14,MATCH(MAX(K3:K14),K3:K14,0))</f>
        <v>Новикова Ольга Петровна</v>
      </c>
    </row>
    <row r="21" spans="1:11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</row>
    <row r="23" spans="1:11" x14ac:dyDescent="0.25">
      <c r="A23" s="3" t="s">
        <v>472</v>
      </c>
      <c r="B23" t="s">
        <v>473</v>
      </c>
      <c r="G23" t="s">
        <v>474</v>
      </c>
    </row>
    <row r="24" spans="1:11" x14ac:dyDescent="0.25">
      <c r="B24" s="14" t="s">
        <v>475</v>
      </c>
      <c r="G24" t="s">
        <v>476</v>
      </c>
      <c r="H24" t="s">
        <v>477</v>
      </c>
      <c r="I24" t="s">
        <v>460</v>
      </c>
    </row>
    <row r="25" spans="1:11" x14ac:dyDescent="0.25">
      <c r="B25" s="14" t="s">
        <v>478</v>
      </c>
      <c r="F25">
        <v>1</v>
      </c>
      <c r="G25" s="7" t="s">
        <v>6</v>
      </c>
      <c r="H25" s="7">
        <v>5</v>
      </c>
      <c r="I25" s="7">
        <v>281526</v>
      </c>
    </row>
    <row r="26" spans="1:11" x14ac:dyDescent="0.25">
      <c r="B26" s="14" t="s">
        <v>479</v>
      </c>
      <c r="F26">
        <v>2</v>
      </c>
      <c r="G26" s="7" t="s">
        <v>9</v>
      </c>
      <c r="H26" s="7">
        <v>3</v>
      </c>
      <c r="I26" s="7">
        <v>145906</v>
      </c>
    </row>
    <row r="27" spans="1:11" x14ac:dyDescent="0.25">
      <c r="F27">
        <v>3</v>
      </c>
      <c r="G27" s="7" t="s">
        <v>12</v>
      </c>
      <c r="H27" s="7">
        <v>7</v>
      </c>
      <c r="I27" s="7">
        <v>404571</v>
      </c>
    </row>
    <row r="28" spans="1:11" x14ac:dyDescent="0.25">
      <c r="F28">
        <v>4</v>
      </c>
      <c r="G28" s="7" t="s">
        <v>14</v>
      </c>
      <c r="H28" s="7">
        <v>5</v>
      </c>
      <c r="I28" s="7">
        <v>269061</v>
      </c>
    </row>
    <row r="29" spans="1:11" x14ac:dyDescent="0.25">
      <c r="F29">
        <v>5</v>
      </c>
      <c r="G29" s="7" t="s">
        <v>15</v>
      </c>
      <c r="H29" s="7">
        <v>5</v>
      </c>
      <c r="I29" s="7">
        <v>261766</v>
      </c>
    </row>
    <row r="30" spans="1:11" x14ac:dyDescent="0.25">
      <c r="F30">
        <v>6</v>
      </c>
      <c r="G30" s="7" t="s">
        <v>17</v>
      </c>
      <c r="H30" s="7">
        <v>1</v>
      </c>
      <c r="I30" s="7">
        <v>53965</v>
      </c>
    </row>
    <row r="31" spans="1:11" x14ac:dyDescent="0.25">
      <c r="F31">
        <v>7</v>
      </c>
      <c r="G31" s="7" t="s">
        <v>18</v>
      </c>
      <c r="H31" s="7">
        <v>8</v>
      </c>
      <c r="I31" s="7">
        <v>462646</v>
      </c>
    </row>
    <row r="32" spans="1:11" x14ac:dyDescent="0.25">
      <c r="F32">
        <v>8</v>
      </c>
      <c r="G32" s="7" t="s">
        <v>20</v>
      </c>
      <c r="H32" s="7">
        <v>5</v>
      </c>
      <c r="I32" s="7">
        <v>286001</v>
      </c>
    </row>
    <row r="33" spans="6:9" x14ac:dyDescent="0.25">
      <c r="F33">
        <v>9</v>
      </c>
      <c r="G33" s="7" t="s">
        <v>22</v>
      </c>
      <c r="H33" s="7">
        <v>12</v>
      </c>
      <c r="I33" s="7">
        <v>521707</v>
      </c>
    </row>
    <row r="34" spans="6:9" x14ac:dyDescent="0.25">
      <c r="F34">
        <v>10</v>
      </c>
      <c r="G34" s="7" t="s">
        <v>24</v>
      </c>
      <c r="H34" s="7">
        <v>2</v>
      </c>
      <c r="I34" s="7">
        <v>133615</v>
      </c>
    </row>
    <row r="37" spans="6:9" x14ac:dyDescent="0.25">
      <c r="G37" t="s">
        <v>480</v>
      </c>
    </row>
    <row r="38" spans="6:9" x14ac:dyDescent="0.25">
      <c r="G38" t="s">
        <v>476</v>
      </c>
      <c r="H38" t="s">
        <v>477</v>
      </c>
      <c r="I38" t="s">
        <v>460</v>
      </c>
    </row>
    <row r="39" spans="6:9" x14ac:dyDescent="0.25">
      <c r="F39">
        <v>1</v>
      </c>
      <c r="G39" s="7" t="s">
        <v>93</v>
      </c>
      <c r="H39" s="7">
        <v>2</v>
      </c>
      <c r="I39" s="7">
        <v>110354</v>
      </c>
    </row>
    <row r="40" spans="6:9" x14ac:dyDescent="0.25">
      <c r="F40">
        <v>2</v>
      </c>
      <c r="G40" s="7" t="s">
        <v>65</v>
      </c>
      <c r="H40" s="7">
        <v>3</v>
      </c>
      <c r="I40" s="7">
        <v>81576</v>
      </c>
    </row>
    <row r="41" spans="6:9" x14ac:dyDescent="0.25">
      <c r="F41">
        <v>3</v>
      </c>
      <c r="G41" s="7" t="s">
        <v>269</v>
      </c>
      <c r="H41" s="7">
        <v>1</v>
      </c>
      <c r="I41" s="7">
        <v>41661</v>
      </c>
    </row>
    <row r="42" spans="6:9" x14ac:dyDescent="0.25">
      <c r="F42">
        <v>4</v>
      </c>
      <c r="G42" s="7" t="s">
        <v>159</v>
      </c>
      <c r="H42" s="7">
        <v>1</v>
      </c>
      <c r="I42" s="7">
        <v>66499</v>
      </c>
    </row>
    <row r="43" spans="6:9" x14ac:dyDescent="0.25">
      <c r="F43">
        <v>5</v>
      </c>
      <c r="G43" s="7" t="s">
        <v>186</v>
      </c>
      <c r="H43" s="7">
        <v>1</v>
      </c>
      <c r="I43" s="7">
        <v>49077</v>
      </c>
    </row>
    <row r="44" spans="6:9" x14ac:dyDescent="0.25">
      <c r="F44">
        <v>6</v>
      </c>
      <c r="G44" s="7" t="s">
        <v>188</v>
      </c>
      <c r="H44" s="7">
        <v>1</v>
      </c>
      <c r="I44" s="7">
        <v>94842</v>
      </c>
    </row>
    <row r="45" spans="6:9" x14ac:dyDescent="0.25">
      <c r="F45">
        <v>7</v>
      </c>
      <c r="G45" s="7" t="s">
        <v>154</v>
      </c>
      <c r="H45" s="7">
        <v>1</v>
      </c>
      <c r="I45" s="7">
        <v>26488</v>
      </c>
    </row>
    <row r="46" spans="6:9" x14ac:dyDescent="0.25">
      <c r="F46">
        <v>8</v>
      </c>
      <c r="G46" s="7" t="s">
        <v>52</v>
      </c>
      <c r="H46" s="7">
        <v>1</v>
      </c>
      <c r="I46" s="7">
        <v>68538</v>
      </c>
    </row>
    <row r="47" spans="6:9" x14ac:dyDescent="0.25">
      <c r="F47">
        <v>9</v>
      </c>
      <c r="G47" s="7" t="s">
        <v>410</v>
      </c>
      <c r="H47" s="7">
        <v>1</v>
      </c>
      <c r="I47" s="7">
        <v>89042</v>
      </c>
    </row>
    <row r="48" spans="6:9" x14ac:dyDescent="0.25">
      <c r="F48">
        <v>10</v>
      </c>
      <c r="G48" s="7" t="s">
        <v>392</v>
      </c>
      <c r="H48" s="7">
        <v>1</v>
      </c>
      <c r="I48" s="7">
        <v>17306</v>
      </c>
    </row>
    <row r="50" spans="1:20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</row>
    <row r="51" spans="1:20" x14ac:dyDescent="0.25">
      <c r="C51" s="15" t="s">
        <v>481</v>
      </c>
      <c r="D51" s="15">
        <v>13</v>
      </c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</row>
    <row r="52" spans="1:20" x14ac:dyDescent="0.25">
      <c r="A52" s="3" t="s">
        <v>482</v>
      </c>
      <c r="B52" t="s">
        <v>483</v>
      </c>
      <c r="C52" s="15"/>
      <c r="D52" s="15"/>
      <c r="G52" t="s">
        <v>484</v>
      </c>
    </row>
    <row r="53" spans="1:20" x14ac:dyDescent="0.25">
      <c r="B53" t="s">
        <v>485</v>
      </c>
      <c r="C53" s="15" t="s">
        <v>486</v>
      </c>
      <c r="D53" s="15" t="s">
        <v>487</v>
      </c>
      <c r="G53" s="17" t="s">
        <v>458</v>
      </c>
      <c r="H53" s="7" t="s">
        <v>488</v>
      </c>
      <c r="I53" s="7" t="s">
        <v>489</v>
      </c>
      <c r="J53" s="7" t="s">
        <v>490</v>
      </c>
      <c r="K53" s="7" t="s">
        <v>491</v>
      </c>
      <c r="L53" s="7" t="s">
        <v>492</v>
      </c>
      <c r="M53" s="7" t="s">
        <v>493</v>
      </c>
      <c r="N53" s="7" t="s">
        <v>494</v>
      </c>
      <c r="O53" s="7" t="s">
        <v>495</v>
      </c>
      <c r="P53" s="7" t="s">
        <v>496</v>
      </c>
      <c r="Q53" s="7" t="s">
        <v>497</v>
      </c>
      <c r="R53" s="7" t="s">
        <v>498</v>
      </c>
      <c r="S53" s="7" t="s">
        <v>499</v>
      </c>
      <c r="T53" s="7" t="s">
        <v>500</v>
      </c>
    </row>
    <row r="54" spans="1:20" x14ac:dyDescent="0.25">
      <c r="B54" t="s">
        <v>501</v>
      </c>
      <c r="C54" s="18">
        <v>45170</v>
      </c>
      <c r="D54" s="19">
        <v>45537</v>
      </c>
      <c r="G54" s="7" t="s">
        <v>5</v>
      </c>
      <c r="H54" s="7">
        <v>6</v>
      </c>
      <c r="I54" s="7">
        <v>7</v>
      </c>
      <c r="J54" s="7">
        <v>7</v>
      </c>
      <c r="K54" s="7">
        <v>3</v>
      </c>
      <c r="L54" s="7">
        <v>9</v>
      </c>
      <c r="M54" s="7">
        <v>7</v>
      </c>
      <c r="N54" s="7">
        <v>11</v>
      </c>
      <c r="O54" s="7">
        <v>7</v>
      </c>
      <c r="P54" s="7">
        <v>7</v>
      </c>
      <c r="Q54" s="7">
        <v>4</v>
      </c>
      <c r="R54" s="7">
        <v>8</v>
      </c>
      <c r="S54" s="7">
        <v>4</v>
      </c>
      <c r="T54" s="7">
        <v>0</v>
      </c>
    </row>
    <row r="55" spans="1:20" x14ac:dyDescent="0.25">
      <c r="B55" t="s">
        <v>502</v>
      </c>
      <c r="C55" s="15">
        <v>2023</v>
      </c>
      <c r="D55" s="15">
        <v>2024</v>
      </c>
      <c r="G55" s="7" t="s">
        <v>43</v>
      </c>
      <c r="H55" s="7">
        <v>5</v>
      </c>
      <c r="I55" s="7">
        <v>7</v>
      </c>
      <c r="J55" s="7">
        <v>7</v>
      </c>
      <c r="K55" s="7">
        <v>6</v>
      </c>
      <c r="L55" s="7">
        <v>6</v>
      </c>
      <c r="M55" s="7">
        <v>5</v>
      </c>
      <c r="N55" s="7">
        <v>11</v>
      </c>
      <c r="O55" s="7">
        <v>5</v>
      </c>
      <c r="P55" s="7">
        <v>7</v>
      </c>
      <c r="Q55" s="7">
        <v>6</v>
      </c>
      <c r="R55" s="7">
        <v>10</v>
      </c>
      <c r="S55" s="7">
        <v>4</v>
      </c>
      <c r="T55" s="7">
        <v>0</v>
      </c>
    </row>
    <row r="56" spans="1:20" x14ac:dyDescent="0.25">
      <c r="C56" s="15">
        <v>9</v>
      </c>
      <c r="D56" s="15">
        <v>9</v>
      </c>
      <c r="G56" s="7" t="s">
        <v>55</v>
      </c>
      <c r="H56" s="7">
        <v>4</v>
      </c>
      <c r="I56" s="7">
        <v>11</v>
      </c>
      <c r="J56" s="7">
        <v>8</v>
      </c>
      <c r="K56" s="7">
        <v>3</v>
      </c>
      <c r="L56" s="7">
        <v>7</v>
      </c>
      <c r="M56" s="7">
        <v>7</v>
      </c>
      <c r="N56" s="7">
        <v>2</v>
      </c>
      <c r="O56" s="7">
        <v>6</v>
      </c>
      <c r="P56" s="7">
        <v>11</v>
      </c>
      <c r="Q56" s="7">
        <v>4</v>
      </c>
      <c r="R56" s="7">
        <v>8</v>
      </c>
      <c r="S56" s="7">
        <v>7</v>
      </c>
      <c r="T56" s="7">
        <v>0</v>
      </c>
    </row>
    <row r="57" spans="1:20" x14ac:dyDescent="0.25">
      <c r="G57" s="7" t="s">
        <v>11</v>
      </c>
      <c r="H57" s="7">
        <v>10</v>
      </c>
      <c r="I57" s="7">
        <v>9</v>
      </c>
      <c r="J57" s="7">
        <v>4</v>
      </c>
      <c r="K57" s="7">
        <v>5</v>
      </c>
      <c r="L57" s="7">
        <v>10</v>
      </c>
      <c r="M57" s="7">
        <v>8</v>
      </c>
      <c r="N57" s="7">
        <v>8</v>
      </c>
      <c r="O57" s="7">
        <v>7</v>
      </c>
      <c r="P57" s="7">
        <v>8</v>
      </c>
      <c r="Q57" s="7">
        <v>7</v>
      </c>
      <c r="R57" s="7">
        <v>8</v>
      </c>
      <c r="S57" s="7">
        <v>10</v>
      </c>
      <c r="T57" s="7">
        <v>0</v>
      </c>
    </row>
    <row r="58" spans="1:20" x14ac:dyDescent="0.25">
      <c r="G58" s="7" t="s">
        <v>29</v>
      </c>
      <c r="H58" s="7">
        <v>8</v>
      </c>
      <c r="I58" s="7">
        <v>5</v>
      </c>
      <c r="J58" s="7">
        <v>6</v>
      </c>
      <c r="K58" s="7">
        <v>5</v>
      </c>
      <c r="L58" s="7">
        <v>7</v>
      </c>
      <c r="M58" s="7">
        <v>4</v>
      </c>
      <c r="N58" s="7">
        <v>5</v>
      </c>
      <c r="O58" s="7">
        <v>7</v>
      </c>
      <c r="P58" s="7">
        <v>5</v>
      </c>
      <c r="Q58" s="7">
        <v>3</v>
      </c>
      <c r="R58" s="7">
        <v>10</v>
      </c>
      <c r="S58" s="7">
        <v>8</v>
      </c>
      <c r="T58" s="7">
        <v>1</v>
      </c>
    </row>
    <row r="59" spans="1:20" x14ac:dyDescent="0.25">
      <c r="G59" s="7" t="s">
        <v>13</v>
      </c>
      <c r="H59" s="7">
        <v>8</v>
      </c>
      <c r="I59" s="7">
        <v>5</v>
      </c>
      <c r="J59" s="7">
        <v>9</v>
      </c>
      <c r="K59" s="7">
        <v>12</v>
      </c>
      <c r="L59" s="7">
        <v>9</v>
      </c>
      <c r="M59" s="7">
        <v>6</v>
      </c>
      <c r="N59" s="7">
        <v>8</v>
      </c>
      <c r="O59" s="7">
        <v>7</v>
      </c>
      <c r="P59" s="7">
        <v>10</v>
      </c>
      <c r="Q59" s="7">
        <v>6</v>
      </c>
      <c r="R59" s="7">
        <v>9</v>
      </c>
      <c r="S59" s="7">
        <v>7</v>
      </c>
      <c r="T59" s="7">
        <v>0</v>
      </c>
    </row>
    <row r="60" spans="1:20" x14ac:dyDescent="0.25">
      <c r="G60" s="7" t="s">
        <v>19</v>
      </c>
      <c r="H60" s="7">
        <v>9</v>
      </c>
      <c r="I60" s="7">
        <v>7</v>
      </c>
      <c r="J60" s="7">
        <v>10</v>
      </c>
      <c r="K60" s="7">
        <v>6</v>
      </c>
      <c r="L60" s="7">
        <v>12</v>
      </c>
      <c r="M60" s="7">
        <v>6</v>
      </c>
      <c r="N60" s="7">
        <v>4</v>
      </c>
      <c r="O60" s="7">
        <v>16</v>
      </c>
      <c r="P60" s="7">
        <v>7</v>
      </c>
      <c r="Q60" s="7">
        <v>8</v>
      </c>
      <c r="R60" s="7">
        <v>11</v>
      </c>
      <c r="S60" s="7">
        <v>8</v>
      </c>
      <c r="T60" s="7">
        <v>1</v>
      </c>
    </row>
    <row r="61" spans="1:20" x14ac:dyDescent="0.25">
      <c r="G61" s="7" t="s">
        <v>16</v>
      </c>
      <c r="H61" s="7">
        <v>8</v>
      </c>
      <c r="I61" s="7">
        <v>7</v>
      </c>
      <c r="J61" s="7">
        <v>8</v>
      </c>
      <c r="K61" s="7">
        <v>4</v>
      </c>
      <c r="L61" s="7">
        <v>6</v>
      </c>
      <c r="M61" s="7">
        <v>9</v>
      </c>
      <c r="N61" s="7">
        <v>6</v>
      </c>
      <c r="O61" s="7">
        <v>8</v>
      </c>
      <c r="P61" s="7">
        <v>5</v>
      </c>
      <c r="Q61" s="7">
        <v>5</v>
      </c>
      <c r="R61" s="7">
        <v>11</v>
      </c>
      <c r="S61" s="7">
        <v>7</v>
      </c>
      <c r="T61" s="7">
        <v>0</v>
      </c>
    </row>
    <row r="62" spans="1:20" x14ac:dyDescent="0.25">
      <c r="G62" s="7" t="s">
        <v>8</v>
      </c>
      <c r="H62" s="7">
        <v>9</v>
      </c>
      <c r="I62" s="7">
        <v>7</v>
      </c>
      <c r="J62" s="7">
        <v>3</v>
      </c>
      <c r="K62" s="7">
        <v>5</v>
      </c>
      <c r="L62" s="7">
        <v>9</v>
      </c>
      <c r="M62" s="7">
        <v>4</v>
      </c>
      <c r="N62" s="7">
        <v>2</v>
      </c>
      <c r="O62" s="7">
        <v>7</v>
      </c>
      <c r="P62" s="7">
        <v>7</v>
      </c>
      <c r="Q62" s="7">
        <v>9</v>
      </c>
      <c r="R62" s="7">
        <v>6</v>
      </c>
      <c r="S62" s="7">
        <v>5</v>
      </c>
      <c r="T62" s="7">
        <v>0</v>
      </c>
    </row>
    <row r="63" spans="1:20" x14ac:dyDescent="0.25">
      <c r="G63" s="7" t="s">
        <v>26</v>
      </c>
      <c r="H63" s="7">
        <v>7</v>
      </c>
      <c r="I63" s="7">
        <v>7</v>
      </c>
      <c r="J63" s="7">
        <v>7</v>
      </c>
      <c r="K63" s="7">
        <v>8</v>
      </c>
      <c r="L63" s="7">
        <v>7</v>
      </c>
      <c r="M63" s="7">
        <v>4</v>
      </c>
      <c r="N63" s="7">
        <v>8</v>
      </c>
      <c r="O63" s="7">
        <v>7</v>
      </c>
      <c r="P63" s="7">
        <v>5</v>
      </c>
      <c r="Q63" s="7">
        <v>2</v>
      </c>
      <c r="R63" s="7">
        <v>7</v>
      </c>
      <c r="S63" s="7">
        <v>4</v>
      </c>
      <c r="T63" s="7">
        <v>0</v>
      </c>
    </row>
    <row r="64" spans="1:20" x14ac:dyDescent="0.25">
      <c r="G64" s="7" t="s">
        <v>38</v>
      </c>
      <c r="H64" s="7">
        <v>3</v>
      </c>
      <c r="I64" s="7">
        <v>7</v>
      </c>
      <c r="J64" s="7">
        <v>6</v>
      </c>
      <c r="K64" s="7">
        <v>6</v>
      </c>
      <c r="L64" s="7">
        <v>9</v>
      </c>
      <c r="M64" s="7">
        <v>8</v>
      </c>
      <c r="N64" s="7">
        <v>4</v>
      </c>
      <c r="O64" s="7">
        <v>6</v>
      </c>
      <c r="P64" s="7">
        <v>5</v>
      </c>
      <c r="Q64" s="7">
        <v>6</v>
      </c>
      <c r="R64" s="7">
        <v>8</v>
      </c>
      <c r="S64" s="7">
        <v>5</v>
      </c>
      <c r="T64" s="7">
        <v>3</v>
      </c>
    </row>
    <row r="65" spans="7:20" x14ac:dyDescent="0.25">
      <c r="G65" s="7" t="s">
        <v>21</v>
      </c>
      <c r="H65" s="7">
        <v>8</v>
      </c>
      <c r="I65" s="7">
        <v>6</v>
      </c>
      <c r="J65" s="7">
        <v>5</v>
      </c>
      <c r="K65" s="7">
        <v>6</v>
      </c>
      <c r="L65" s="7">
        <v>9</v>
      </c>
      <c r="M65" s="7">
        <v>5</v>
      </c>
      <c r="N65" s="7">
        <v>11</v>
      </c>
      <c r="O65" s="7">
        <v>9</v>
      </c>
      <c r="P65" s="7">
        <v>3</v>
      </c>
      <c r="Q65" s="7">
        <v>8</v>
      </c>
      <c r="R65" s="7">
        <v>8</v>
      </c>
      <c r="S65" s="7">
        <v>10</v>
      </c>
      <c r="T65" s="7">
        <v>0</v>
      </c>
    </row>
    <row r="66" spans="7:20" x14ac:dyDescent="0.25"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</row>
    <row r="67" spans="7:20" x14ac:dyDescent="0.25">
      <c r="G67" t="s">
        <v>4</v>
      </c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</row>
    <row r="68" spans="7:20" x14ac:dyDescent="0.25">
      <c r="G68" s="17" t="s">
        <v>458</v>
      </c>
      <c r="H68" s="7" t="s">
        <v>488</v>
      </c>
      <c r="I68" s="7" t="s">
        <v>489</v>
      </c>
      <c r="J68" s="7" t="s">
        <v>490</v>
      </c>
      <c r="K68" s="7" t="s">
        <v>491</v>
      </c>
      <c r="L68" s="7" t="s">
        <v>492</v>
      </c>
      <c r="M68" s="7" t="s">
        <v>493</v>
      </c>
      <c r="N68" s="7" t="s">
        <v>494</v>
      </c>
      <c r="O68" s="7" t="s">
        <v>495</v>
      </c>
      <c r="P68" s="7" t="s">
        <v>496</v>
      </c>
      <c r="Q68" s="7" t="s">
        <v>497</v>
      </c>
      <c r="R68" s="7" t="s">
        <v>498</v>
      </c>
      <c r="S68" s="7" t="s">
        <v>499</v>
      </c>
      <c r="T68" s="7" t="s">
        <v>500</v>
      </c>
    </row>
    <row r="69" spans="7:20" x14ac:dyDescent="0.25">
      <c r="G69" s="7" t="s">
        <v>5</v>
      </c>
      <c r="H69" s="21">
        <v>-0.5</v>
      </c>
      <c r="I69" s="21">
        <v>-0.8571428571428571</v>
      </c>
      <c r="J69" s="21">
        <v>-0.42857142857142855</v>
      </c>
      <c r="K69" s="21">
        <v>0</v>
      </c>
      <c r="L69" s="21">
        <v>-0.44444444444444442</v>
      </c>
      <c r="M69" s="21">
        <v>-0.7142857142857143</v>
      </c>
      <c r="N69" s="21">
        <v>-0.45454545454545453</v>
      </c>
      <c r="O69" s="21">
        <v>-0.7142857142857143</v>
      </c>
      <c r="P69" s="21">
        <v>-0.42857142857142855</v>
      </c>
      <c r="Q69" s="21">
        <v>-0.75</v>
      </c>
      <c r="R69" s="21">
        <v>-0.625</v>
      </c>
      <c r="S69" s="21">
        <v>-0.25</v>
      </c>
      <c r="T69" s="21" t="s">
        <v>503</v>
      </c>
    </row>
    <row r="70" spans="7:20" x14ac:dyDescent="0.25">
      <c r="G70" s="7" t="s">
        <v>43</v>
      </c>
      <c r="H70" s="21">
        <v>-0.4</v>
      </c>
      <c r="I70" s="21">
        <v>-0.42857142857142855</v>
      </c>
      <c r="J70" s="21">
        <v>-0.5714285714285714</v>
      </c>
      <c r="K70" s="21">
        <v>-0.66666666666666663</v>
      </c>
      <c r="L70" s="21">
        <v>-0.33333333333333331</v>
      </c>
      <c r="M70" s="21">
        <v>-0.4</v>
      </c>
      <c r="N70" s="21">
        <v>-0.36363636363636365</v>
      </c>
      <c r="O70" s="21">
        <v>-0.4</v>
      </c>
      <c r="P70" s="21">
        <v>-0.5714285714285714</v>
      </c>
      <c r="Q70" s="21">
        <v>-0.5</v>
      </c>
      <c r="R70" s="21">
        <v>-0.3</v>
      </c>
      <c r="S70" s="21">
        <v>-0.5</v>
      </c>
      <c r="T70" s="21" t="s">
        <v>503</v>
      </c>
    </row>
    <row r="71" spans="7:20" x14ac:dyDescent="0.25">
      <c r="G71" s="7" t="s">
        <v>55</v>
      </c>
      <c r="H71" s="21">
        <v>-1</v>
      </c>
      <c r="I71" s="21">
        <v>-0.45454545454545453</v>
      </c>
      <c r="J71" s="21">
        <v>-0.5</v>
      </c>
      <c r="K71" s="21">
        <v>-0.33333333333333331</v>
      </c>
      <c r="L71" s="21">
        <v>-0.5714285714285714</v>
      </c>
      <c r="M71" s="21">
        <v>-0.7142857142857143</v>
      </c>
      <c r="N71" s="21">
        <v>-1</v>
      </c>
      <c r="O71" s="21">
        <v>-0.66666666666666663</v>
      </c>
      <c r="P71" s="21">
        <v>-0.36363636363636365</v>
      </c>
      <c r="Q71" s="21">
        <v>-0.75</v>
      </c>
      <c r="R71" s="21">
        <v>-0.375</v>
      </c>
      <c r="S71" s="21">
        <v>-0.42857142857142855</v>
      </c>
      <c r="T71" s="21" t="s">
        <v>503</v>
      </c>
    </row>
    <row r="72" spans="7:20" x14ac:dyDescent="0.25">
      <c r="G72" s="7" t="s">
        <v>11</v>
      </c>
      <c r="H72" s="21">
        <v>-0.4</v>
      </c>
      <c r="I72" s="21">
        <v>-0.44444444444444442</v>
      </c>
      <c r="J72" s="21">
        <v>-0.5</v>
      </c>
      <c r="K72" s="21">
        <v>-0.6</v>
      </c>
      <c r="L72" s="21">
        <v>-0.7</v>
      </c>
      <c r="M72" s="21">
        <v>-0.375</v>
      </c>
      <c r="N72" s="21">
        <v>-0.5</v>
      </c>
      <c r="O72" s="21">
        <v>-0.7142857142857143</v>
      </c>
      <c r="P72" s="21">
        <v>-0.75</v>
      </c>
      <c r="Q72" s="21">
        <v>-0.5714285714285714</v>
      </c>
      <c r="R72" s="21">
        <v>-0.25</v>
      </c>
      <c r="S72" s="21">
        <v>-0.2</v>
      </c>
      <c r="T72" s="21" t="s">
        <v>503</v>
      </c>
    </row>
    <row r="73" spans="7:20" x14ac:dyDescent="0.25">
      <c r="G73" s="7" t="s">
        <v>29</v>
      </c>
      <c r="H73" s="21">
        <v>-0.375</v>
      </c>
      <c r="I73" s="21">
        <v>-0.4</v>
      </c>
      <c r="J73" s="21">
        <v>-0.33333333333333331</v>
      </c>
      <c r="K73" s="21">
        <v>-0.6</v>
      </c>
      <c r="L73" s="21">
        <v>-0.5714285714285714</v>
      </c>
      <c r="M73" s="21">
        <v>-0.75</v>
      </c>
      <c r="N73" s="21">
        <v>-0.8</v>
      </c>
      <c r="O73" s="21">
        <v>-0.5714285714285714</v>
      </c>
      <c r="P73" s="21">
        <v>-0.2</v>
      </c>
      <c r="Q73" s="21">
        <v>0</v>
      </c>
      <c r="R73" s="21">
        <v>-0.3</v>
      </c>
      <c r="S73" s="21">
        <v>-0.375</v>
      </c>
      <c r="T73" s="21">
        <v>0</v>
      </c>
    </row>
    <row r="74" spans="7:20" x14ac:dyDescent="0.25">
      <c r="G74" s="7" t="s">
        <v>13</v>
      </c>
      <c r="H74" s="21">
        <v>-0.625</v>
      </c>
      <c r="I74" s="21">
        <v>-0.4</v>
      </c>
      <c r="J74" s="21">
        <v>-0.66666666666666663</v>
      </c>
      <c r="K74" s="21">
        <v>-0.58333333333333337</v>
      </c>
      <c r="L74" s="21">
        <v>-0.66666666666666663</v>
      </c>
      <c r="M74" s="21">
        <v>-0.33333333333333331</v>
      </c>
      <c r="N74" s="21">
        <v>-0.625</v>
      </c>
      <c r="O74" s="21">
        <v>-0.2857142857142857</v>
      </c>
      <c r="P74" s="21">
        <v>-0.6</v>
      </c>
      <c r="Q74" s="21">
        <v>-0.5</v>
      </c>
      <c r="R74" s="21">
        <v>-0.55555555555555558</v>
      </c>
      <c r="S74" s="21">
        <v>-0.14285714285714285</v>
      </c>
      <c r="T74" s="21" t="s">
        <v>503</v>
      </c>
    </row>
    <row r="75" spans="7:20" x14ac:dyDescent="0.25">
      <c r="G75" s="7" t="s">
        <v>19</v>
      </c>
      <c r="H75" s="21">
        <v>-0.77777777777777779</v>
      </c>
      <c r="I75" s="21">
        <v>-0.5714285714285714</v>
      </c>
      <c r="J75" s="21">
        <v>-0.6</v>
      </c>
      <c r="K75" s="21">
        <v>-0.5</v>
      </c>
      <c r="L75" s="21">
        <v>-0.75</v>
      </c>
      <c r="M75" s="21">
        <v>-0.33333333333333331</v>
      </c>
      <c r="N75" s="21">
        <v>-0.5</v>
      </c>
      <c r="O75" s="21">
        <v>-0.625</v>
      </c>
      <c r="P75" s="21">
        <v>-0.7142857142857143</v>
      </c>
      <c r="Q75" s="21">
        <v>-0.25</v>
      </c>
      <c r="R75" s="21">
        <v>-0.45454545454545453</v>
      </c>
      <c r="S75" s="21">
        <v>-0.5</v>
      </c>
      <c r="T75" s="21">
        <v>-1</v>
      </c>
    </row>
    <row r="76" spans="7:20" x14ac:dyDescent="0.25">
      <c r="G76" s="7" t="s">
        <v>16</v>
      </c>
      <c r="H76" s="21">
        <v>-0.25</v>
      </c>
      <c r="I76" s="21">
        <v>-0.2857142857142857</v>
      </c>
      <c r="J76" s="21">
        <v>-0.75</v>
      </c>
      <c r="K76" s="21">
        <v>-0.25</v>
      </c>
      <c r="L76" s="21">
        <v>-0.66666666666666663</v>
      </c>
      <c r="M76" s="21">
        <v>-0.55555555555555558</v>
      </c>
      <c r="N76" s="21">
        <v>-0.5</v>
      </c>
      <c r="O76" s="21">
        <v>-0.75</v>
      </c>
      <c r="P76" s="21">
        <v>-0.4</v>
      </c>
      <c r="Q76" s="21">
        <v>-0.6</v>
      </c>
      <c r="R76" s="21">
        <v>-0.63636363636363635</v>
      </c>
      <c r="S76" s="21">
        <v>-0.8571428571428571</v>
      </c>
      <c r="T76" s="21" t="s">
        <v>503</v>
      </c>
    </row>
    <row r="77" spans="7:20" x14ac:dyDescent="0.25">
      <c r="G77" s="7" t="s">
        <v>8</v>
      </c>
      <c r="H77" s="21">
        <v>-0.66666666666666663</v>
      </c>
      <c r="I77" s="21">
        <v>-0.2857142857142857</v>
      </c>
      <c r="J77" s="21">
        <v>-0.33333333333333331</v>
      </c>
      <c r="K77" s="21">
        <v>-0.2</v>
      </c>
      <c r="L77" s="21">
        <v>-0.55555555555555558</v>
      </c>
      <c r="M77" s="21">
        <v>-0.5</v>
      </c>
      <c r="N77" s="21">
        <v>-1</v>
      </c>
      <c r="O77" s="21">
        <v>-0.42857142857142855</v>
      </c>
      <c r="P77" s="21">
        <v>-0.7142857142857143</v>
      </c>
      <c r="Q77" s="21">
        <v>-0.33333333333333331</v>
      </c>
      <c r="R77" s="21">
        <v>-0.66666666666666663</v>
      </c>
      <c r="S77" s="21">
        <v>-0.8</v>
      </c>
      <c r="T77" s="21" t="s">
        <v>503</v>
      </c>
    </row>
    <row r="78" spans="7:20" x14ac:dyDescent="0.25">
      <c r="G78" s="7" t="s">
        <v>26</v>
      </c>
      <c r="H78" s="21">
        <v>-0.2857142857142857</v>
      </c>
      <c r="I78" s="21">
        <v>-0.7142857142857143</v>
      </c>
      <c r="J78" s="21">
        <v>-0.42857142857142855</v>
      </c>
      <c r="K78" s="21">
        <v>-0.625</v>
      </c>
      <c r="L78" s="21">
        <v>-0.42857142857142855</v>
      </c>
      <c r="M78" s="21">
        <v>-0.5</v>
      </c>
      <c r="N78" s="21">
        <v>-0.75</v>
      </c>
      <c r="O78" s="21">
        <v>-0.5714285714285714</v>
      </c>
      <c r="P78" s="21">
        <v>-0.6</v>
      </c>
      <c r="Q78" s="21">
        <v>-0.5</v>
      </c>
      <c r="R78" s="21">
        <v>-0.42857142857142855</v>
      </c>
      <c r="S78" s="21">
        <v>0</v>
      </c>
      <c r="T78" s="21" t="s">
        <v>503</v>
      </c>
    </row>
    <row r="79" spans="7:20" x14ac:dyDescent="0.25">
      <c r="G79" s="7" t="s">
        <v>38</v>
      </c>
      <c r="H79" s="21">
        <v>-0.66666666666666663</v>
      </c>
      <c r="I79" s="21">
        <v>-0.2857142857142857</v>
      </c>
      <c r="J79" s="21">
        <v>-0.5</v>
      </c>
      <c r="K79" s="21">
        <v>-0.16666666666666666</v>
      </c>
      <c r="L79" s="21">
        <v>0</v>
      </c>
      <c r="M79" s="21">
        <v>-0.875</v>
      </c>
      <c r="N79" s="21">
        <v>-1</v>
      </c>
      <c r="O79" s="21">
        <v>-0.5</v>
      </c>
      <c r="P79" s="21">
        <v>-0.6</v>
      </c>
      <c r="Q79" s="21">
        <v>-0.66666666666666663</v>
      </c>
      <c r="R79" s="21">
        <v>-0.25</v>
      </c>
      <c r="S79" s="21">
        <v>-0.4</v>
      </c>
      <c r="T79" s="21">
        <v>-0.66666666666666663</v>
      </c>
    </row>
    <row r="80" spans="7:20" x14ac:dyDescent="0.25">
      <c r="G80" s="7" t="s">
        <v>21</v>
      </c>
      <c r="H80" s="21">
        <v>-0.375</v>
      </c>
      <c r="I80" s="21">
        <v>-0.66666666666666663</v>
      </c>
      <c r="J80" s="21">
        <v>-0.4</v>
      </c>
      <c r="K80" s="21">
        <v>-0.66666666666666663</v>
      </c>
      <c r="L80" s="21">
        <v>-0.33333333333333331</v>
      </c>
      <c r="M80" s="21">
        <v>-0.4</v>
      </c>
      <c r="N80" s="21">
        <v>-0.72727272727272729</v>
      </c>
      <c r="O80" s="21">
        <v>-0.44444444444444442</v>
      </c>
      <c r="P80" s="21">
        <v>-0.66666666666666663</v>
      </c>
      <c r="Q80" s="21">
        <v>-0.5</v>
      </c>
      <c r="R80" s="21">
        <v>-0.625</v>
      </c>
      <c r="S80" s="21">
        <v>-0.5</v>
      </c>
      <c r="T80" s="21" t="s">
        <v>503</v>
      </c>
    </row>
    <row r="81" spans="7:20" x14ac:dyDescent="0.25"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</row>
    <row r="82" spans="7:20" x14ac:dyDescent="0.25">
      <c r="G82" t="s">
        <v>504</v>
      </c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</row>
    <row r="83" spans="7:20" x14ac:dyDescent="0.25">
      <c r="G83" s="17" t="s">
        <v>458</v>
      </c>
      <c r="H83" s="7" t="s">
        <v>488</v>
      </c>
      <c r="I83" s="7" t="s">
        <v>489</v>
      </c>
      <c r="J83" s="7" t="s">
        <v>490</v>
      </c>
      <c r="K83" s="7" t="s">
        <v>491</v>
      </c>
      <c r="L83" s="7" t="s">
        <v>492</v>
      </c>
      <c r="M83" s="7" t="s">
        <v>493</v>
      </c>
      <c r="N83" s="7" t="s">
        <v>494</v>
      </c>
      <c r="O83" s="7" t="s">
        <v>495</v>
      </c>
      <c r="P83" s="7" t="s">
        <v>496</v>
      </c>
      <c r="Q83" s="7" t="s">
        <v>497</v>
      </c>
      <c r="R83" s="7" t="s">
        <v>498</v>
      </c>
      <c r="S83" s="7" t="s">
        <v>499</v>
      </c>
      <c r="T83" s="7" t="s">
        <v>500</v>
      </c>
    </row>
    <row r="84" spans="7:20" x14ac:dyDescent="0.25">
      <c r="G84" s="7" t="s">
        <v>5</v>
      </c>
      <c r="H84" s="8">
        <v>68048.166666666672</v>
      </c>
      <c r="I84" s="8">
        <v>56320.142857142855</v>
      </c>
      <c r="J84" s="8">
        <v>77726.428571428565</v>
      </c>
      <c r="K84" s="8">
        <v>47020.333333333336</v>
      </c>
      <c r="L84" s="8">
        <v>60518</v>
      </c>
      <c r="M84" s="8">
        <v>40601.571428571428</v>
      </c>
      <c r="N84" s="8">
        <v>67500.363636363632</v>
      </c>
      <c r="O84" s="8">
        <v>55794.428571428572</v>
      </c>
      <c r="P84" s="8">
        <v>28324.857142857141</v>
      </c>
      <c r="Q84" s="8">
        <v>36720</v>
      </c>
      <c r="R84" s="8">
        <v>63862.875</v>
      </c>
      <c r="S84" s="8">
        <v>62825</v>
      </c>
      <c r="T84" s="8" t="s">
        <v>503</v>
      </c>
    </row>
    <row r="85" spans="7:20" x14ac:dyDescent="0.25">
      <c r="G85" s="7" t="s">
        <v>43</v>
      </c>
      <c r="H85" s="8">
        <v>45902.400000000001</v>
      </c>
      <c r="I85" s="8">
        <v>65944.428571428565</v>
      </c>
      <c r="J85" s="8">
        <v>52836.428571428572</v>
      </c>
      <c r="K85" s="8">
        <v>45186.833333333336</v>
      </c>
      <c r="L85" s="8">
        <v>33117.666666666664</v>
      </c>
      <c r="M85" s="8">
        <v>66434</v>
      </c>
      <c r="N85" s="8">
        <v>41246.454545454544</v>
      </c>
      <c r="O85" s="8">
        <v>48045.8</v>
      </c>
      <c r="P85" s="8">
        <v>50977.571428571428</v>
      </c>
      <c r="Q85" s="8">
        <v>50030</v>
      </c>
      <c r="R85" s="8">
        <v>48136.9</v>
      </c>
      <c r="S85" s="8">
        <v>35759</v>
      </c>
      <c r="T85" s="8" t="s">
        <v>503</v>
      </c>
    </row>
    <row r="86" spans="7:20" x14ac:dyDescent="0.25">
      <c r="G86" s="7" t="s">
        <v>55</v>
      </c>
      <c r="H86" s="8">
        <v>56377.5</v>
      </c>
      <c r="I86" s="8">
        <v>54299.181818181816</v>
      </c>
      <c r="J86" s="8">
        <v>52224</v>
      </c>
      <c r="K86" s="8">
        <v>50827.333333333336</v>
      </c>
      <c r="L86" s="8">
        <v>54316</v>
      </c>
      <c r="M86" s="8">
        <v>63998.571428571428</v>
      </c>
      <c r="N86" s="8">
        <v>52332.5</v>
      </c>
      <c r="O86" s="8">
        <v>61575.5</v>
      </c>
      <c r="P86" s="8">
        <v>53740.181818181816</v>
      </c>
      <c r="Q86" s="8">
        <v>53873.75</v>
      </c>
      <c r="R86" s="8">
        <v>65080.125</v>
      </c>
      <c r="S86" s="8">
        <v>56945.142857142855</v>
      </c>
      <c r="T86" s="8" t="s">
        <v>503</v>
      </c>
    </row>
    <row r="87" spans="7:20" x14ac:dyDescent="0.25">
      <c r="G87" s="7" t="s">
        <v>11</v>
      </c>
      <c r="H87" s="8">
        <v>59533.9</v>
      </c>
      <c r="I87" s="8">
        <v>50046.666666666664</v>
      </c>
      <c r="J87" s="8">
        <v>34732.25</v>
      </c>
      <c r="K87" s="8">
        <v>53202.6</v>
      </c>
      <c r="L87" s="8">
        <v>30210.2</v>
      </c>
      <c r="M87" s="8">
        <v>58470.125</v>
      </c>
      <c r="N87" s="8">
        <v>65408.75</v>
      </c>
      <c r="O87" s="8">
        <v>54155.142857142855</v>
      </c>
      <c r="P87" s="8">
        <v>54105.375</v>
      </c>
      <c r="Q87" s="8">
        <v>72069.28571428571</v>
      </c>
      <c r="R87" s="8">
        <v>47535.625</v>
      </c>
      <c r="S87" s="8">
        <v>52823.4</v>
      </c>
      <c r="T87" s="8" t="s">
        <v>503</v>
      </c>
    </row>
    <row r="88" spans="7:20" x14ac:dyDescent="0.25">
      <c r="G88" s="7" t="s">
        <v>29</v>
      </c>
      <c r="H88" s="8">
        <v>49830.625</v>
      </c>
      <c r="I88" s="8">
        <v>39063.4</v>
      </c>
      <c r="J88" s="8">
        <v>51821.5</v>
      </c>
      <c r="K88" s="8">
        <v>65806.2</v>
      </c>
      <c r="L88" s="8">
        <v>52326.285714285717</v>
      </c>
      <c r="M88" s="8">
        <v>47382</v>
      </c>
      <c r="N88" s="8">
        <v>69335.8</v>
      </c>
      <c r="O88" s="8">
        <v>69317.571428571435</v>
      </c>
      <c r="P88" s="8">
        <v>74275</v>
      </c>
      <c r="Q88" s="8">
        <v>43915</v>
      </c>
      <c r="R88" s="8">
        <v>51821.4</v>
      </c>
      <c r="S88" s="8">
        <v>43015.375</v>
      </c>
      <c r="T88" s="8">
        <v>99849</v>
      </c>
    </row>
    <row r="89" spans="7:20" x14ac:dyDescent="0.25">
      <c r="G89" s="7" t="s">
        <v>13</v>
      </c>
      <c r="H89" s="8">
        <v>46172.375</v>
      </c>
      <c r="I89" s="8">
        <v>74997.8</v>
      </c>
      <c r="J89" s="8">
        <v>48777.222222222219</v>
      </c>
      <c r="K89" s="8">
        <v>42171.25</v>
      </c>
      <c r="L89" s="8">
        <v>54098.777777777781</v>
      </c>
      <c r="M89" s="8">
        <v>73604.666666666672</v>
      </c>
      <c r="N89" s="8">
        <v>65004.625</v>
      </c>
      <c r="O89" s="8">
        <v>45980.428571428572</v>
      </c>
      <c r="P89" s="8">
        <v>50294.400000000001</v>
      </c>
      <c r="Q89" s="8">
        <v>35339.833333333336</v>
      </c>
      <c r="R89" s="8">
        <v>63170</v>
      </c>
      <c r="S89" s="8">
        <v>47621.857142857145</v>
      </c>
      <c r="T89" s="8" t="s">
        <v>503</v>
      </c>
    </row>
    <row r="90" spans="7:20" x14ac:dyDescent="0.25">
      <c r="G90" s="7" t="s">
        <v>19</v>
      </c>
      <c r="H90" s="8">
        <v>57696.777777777781</v>
      </c>
      <c r="I90" s="8">
        <v>31626.428571428572</v>
      </c>
      <c r="J90" s="8">
        <v>55117.5</v>
      </c>
      <c r="K90" s="8">
        <v>54209.166666666664</v>
      </c>
      <c r="L90" s="8">
        <v>51878.75</v>
      </c>
      <c r="M90" s="8">
        <v>39875.333333333336</v>
      </c>
      <c r="N90" s="8">
        <v>36183.5</v>
      </c>
      <c r="O90" s="8">
        <v>64146.8125</v>
      </c>
      <c r="P90" s="8">
        <v>57015</v>
      </c>
      <c r="Q90" s="8">
        <v>53380.125</v>
      </c>
      <c r="R90" s="8">
        <v>58323.909090909088</v>
      </c>
      <c r="S90" s="8">
        <v>59343.75</v>
      </c>
      <c r="T90" s="8">
        <v>37517</v>
      </c>
    </row>
    <row r="91" spans="7:20" x14ac:dyDescent="0.25">
      <c r="G91" s="7" t="s">
        <v>16</v>
      </c>
      <c r="H91" s="8">
        <v>41726</v>
      </c>
      <c r="I91" s="8">
        <v>66934.428571428565</v>
      </c>
      <c r="J91" s="8">
        <v>62802.875</v>
      </c>
      <c r="K91" s="8">
        <v>50496.5</v>
      </c>
      <c r="L91" s="8">
        <v>57190.666666666664</v>
      </c>
      <c r="M91" s="8">
        <v>78111.777777777781</v>
      </c>
      <c r="N91" s="8">
        <v>38452</v>
      </c>
      <c r="O91" s="8">
        <v>64941.625</v>
      </c>
      <c r="P91" s="8">
        <v>41794.199999999997</v>
      </c>
      <c r="Q91" s="8">
        <v>33808.800000000003</v>
      </c>
      <c r="R91" s="8">
        <v>50165.36363636364</v>
      </c>
      <c r="S91" s="8">
        <v>51043.428571428572</v>
      </c>
      <c r="T91" s="8" t="s">
        <v>503</v>
      </c>
    </row>
    <row r="92" spans="7:20" x14ac:dyDescent="0.25">
      <c r="G92" s="7" t="s">
        <v>8</v>
      </c>
      <c r="H92" s="8">
        <v>62001.666666666664</v>
      </c>
      <c r="I92" s="8">
        <v>59236.857142857145</v>
      </c>
      <c r="J92" s="8">
        <v>68926.333333333328</v>
      </c>
      <c r="K92" s="8">
        <v>42241.8</v>
      </c>
      <c r="L92" s="8">
        <v>61995.888888888891</v>
      </c>
      <c r="M92" s="8">
        <v>51853.75</v>
      </c>
      <c r="N92" s="8">
        <v>69153</v>
      </c>
      <c r="O92" s="8">
        <v>41468.714285714283</v>
      </c>
      <c r="P92" s="8">
        <v>56825.285714285717</v>
      </c>
      <c r="Q92" s="8">
        <v>55926.555555555555</v>
      </c>
      <c r="R92" s="8">
        <v>55794.166666666664</v>
      </c>
      <c r="S92" s="8">
        <v>39867</v>
      </c>
      <c r="T92" s="8" t="s">
        <v>503</v>
      </c>
    </row>
    <row r="93" spans="7:20" x14ac:dyDescent="0.25">
      <c r="G93" s="7" t="s">
        <v>26</v>
      </c>
      <c r="H93" s="8">
        <v>51553.714285714283</v>
      </c>
      <c r="I93" s="8">
        <v>45778.714285714283</v>
      </c>
      <c r="J93" s="8">
        <v>52829.714285714283</v>
      </c>
      <c r="K93" s="8">
        <v>59157.25</v>
      </c>
      <c r="L93" s="8">
        <v>51455</v>
      </c>
      <c r="M93" s="8">
        <v>64545.25</v>
      </c>
      <c r="N93" s="8">
        <v>51712.25</v>
      </c>
      <c r="O93" s="8">
        <v>47391.142857142855</v>
      </c>
      <c r="P93" s="8">
        <v>59377.4</v>
      </c>
      <c r="Q93" s="8">
        <v>55877</v>
      </c>
      <c r="R93" s="8">
        <v>72197.28571428571</v>
      </c>
      <c r="S93" s="8">
        <v>54977.25</v>
      </c>
      <c r="T93" s="8" t="s">
        <v>503</v>
      </c>
    </row>
    <row r="94" spans="7:20" x14ac:dyDescent="0.25">
      <c r="G94" s="7" t="s">
        <v>38</v>
      </c>
      <c r="H94" s="8">
        <v>83361.666666666672</v>
      </c>
      <c r="I94" s="8">
        <v>50693.571428571428</v>
      </c>
      <c r="J94" s="8">
        <v>43409</v>
      </c>
      <c r="K94" s="8">
        <v>47574.833333333336</v>
      </c>
      <c r="L94" s="8">
        <v>47070</v>
      </c>
      <c r="M94" s="8">
        <v>42493.375</v>
      </c>
      <c r="N94" s="8">
        <v>58015.25</v>
      </c>
      <c r="O94" s="8">
        <v>53142</v>
      </c>
      <c r="P94" s="8">
        <v>57518.6</v>
      </c>
      <c r="Q94" s="8">
        <v>33458.166666666664</v>
      </c>
      <c r="R94" s="8">
        <v>57332.5</v>
      </c>
      <c r="S94" s="8">
        <v>45907</v>
      </c>
      <c r="T94" s="8">
        <v>61469</v>
      </c>
    </row>
    <row r="95" spans="7:20" x14ac:dyDescent="0.25">
      <c r="G95" s="7" t="s">
        <v>21</v>
      </c>
      <c r="H95" s="8">
        <v>43485.125</v>
      </c>
      <c r="I95" s="8">
        <v>79146</v>
      </c>
      <c r="J95" s="8">
        <v>63702</v>
      </c>
      <c r="K95" s="8">
        <v>57853</v>
      </c>
      <c r="L95" s="8">
        <v>45414.888888888891</v>
      </c>
      <c r="M95" s="8">
        <v>66549</v>
      </c>
      <c r="N95" s="8">
        <v>62343</v>
      </c>
      <c r="O95" s="8">
        <v>58315.333333333336</v>
      </c>
      <c r="P95" s="8">
        <v>43048.666666666664</v>
      </c>
      <c r="Q95" s="8">
        <v>52752.5</v>
      </c>
      <c r="R95" s="8">
        <v>69910.625</v>
      </c>
      <c r="S95" s="8">
        <v>64527.3</v>
      </c>
      <c r="T95" s="8" t="s">
        <v>503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Данные</vt:lpstr>
      <vt:lpstr>1</vt:lpstr>
      <vt:lpstr>1-1</vt:lpstr>
      <vt:lpstr>2</vt:lpstr>
      <vt:lpstr>3-данные</vt:lpstr>
      <vt:lpstr>3</vt:lpstr>
      <vt:lpstr>3-2</vt:lpstr>
      <vt:lpstr>3-3</vt:lpstr>
      <vt:lpstr>результат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Настасья</cp:lastModifiedBy>
  <dcterms:created xsi:type="dcterms:W3CDTF">2025-11-13T20:18:41Z</dcterms:created>
  <dcterms:modified xsi:type="dcterms:W3CDTF">2026-10-11T03:47:55Z</dcterms:modified>
</cp:coreProperties>
</file>